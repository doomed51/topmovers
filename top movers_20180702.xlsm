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69" yWindow="120" windowWidth="32777" windowHeight="14991"/>
  </bookViews>
  <sheets>
    <sheet name="dailyMovers_Data" sheetId="1" r:id="rId1"/>
    <sheet name="Pivot" sheetId="4" r:id="rId2"/>
  </sheets>
  <functionGroups builtInGroupCount="17"/>
  <definedNames>
    <definedName name="_xlnm._FilterDatabase" localSheetId="0" hidden="1">dailyMovers_Data!$A$1:$G$10001</definedName>
    <definedName name="_xlnm._FilterDatabase" localSheetId="1" hidden="1">Pivot!$A$3:$B$828</definedName>
  </definedNames>
  <calcPr calcId="144525"/>
  <pivotCaches>
    <pivotCache cacheId="0" r:id="rId3"/>
    <pivotCache cacheId="1" r:id="rId4"/>
  </pivotCaches>
  <fileRecoveryPr repairLoad="1"/>
</workbook>
</file>

<file path=xl/calcChain.xml><?xml version="1.0" encoding="utf-8"?>
<calcChain xmlns="http://schemas.openxmlformats.org/spreadsheetml/2006/main">
  <c r="K10" i="1" l="1"/>
  <c r="L3" i="1" l="1"/>
  <c r="L5" i="1" l="1"/>
  <c r="L4" i="1"/>
  <c r="G5" i="4"/>
  <c r="G6" i="4"/>
  <c r="G7" i="4"/>
  <c r="G8" i="4"/>
  <c r="G9" i="4"/>
  <c r="G10" i="4"/>
  <c r="G11" i="4"/>
</calcChain>
</file>

<file path=xl/comments1.xml><?xml version="1.0" encoding="utf-8"?>
<comments xmlns="http://schemas.openxmlformats.org/spreadsheetml/2006/main">
  <authors>
    <author>Haber Dashery</author>
  </authors>
  <commentList>
    <comment ref="K19" authorId="0">
      <text>
        <r>
          <rPr>
            <b/>
            <sz val="9"/>
            <color indexed="81"/>
            <rFont val="Tahoma"/>
            <family val="2"/>
          </rPr>
          <t>Haber Dashery:</t>
        </r>
        <r>
          <rPr>
            <sz val="9"/>
            <color indexed="81"/>
            <rFont val="Tahoma"/>
            <family val="2"/>
          </rPr>
          <t xml:space="preserve">
MM-DD-YYYY
</t>
        </r>
      </text>
    </comment>
  </commentList>
</comments>
</file>

<file path=xl/sharedStrings.xml><?xml version="1.0" encoding="utf-8"?>
<sst xmlns="http://schemas.openxmlformats.org/spreadsheetml/2006/main" count="6555" uniqueCount="2167">
  <si>
    <t>Symbol</t>
  </si>
  <si>
    <t xml:space="preserve">Price </t>
  </si>
  <si>
    <t>Change</t>
  </si>
  <si>
    <t>% Change</t>
  </si>
  <si>
    <t xml:space="preserve">Volume </t>
  </si>
  <si>
    <t>Date</t>
  </si>
  <si>
    <t>Row Labels</t>
  </si>
  <si>
    <t>Grand Total</t>
  </si>
  <si>
    <t>Count of Symbol</t>
  </si>
  <si>
    <t>Sum of Count of Symbol</t>
  </si>
  <si>
    <t>C:\Workbench\htmloutput.html</t>
  </si>
  <si>
    <t>mdcTable</t>
  </si>
  <si>
    <t>URL</t>
  </si>
  <si>
    <t>Table Class Name</t>
  </si>
  <si>
    <t>FileName</t>
  </si>
  <si>
    <t>http://www.wsj.com/mdc/public/page/2_3021-gaincomp-gainer-20180122.html</t>
  </si>
  <si>
    <t>Date Range</t>
  </si>
  <si>
    <t xml:space="preserve">BlueLinx Holdings (BXC)  </t>
  </si>
  <si>
    <t xml:space="preserve">Net Element (NETE)  </t>
  </si>
  <si>
    <t xml:space="preserve">NTN Buzztime (NTN)  </t>
  </si>
  <si>
    <t xml:space="preserve">Oclaro (OCLR)  </t>
  </si>
  <si>
    <t xml:space="preserve">Loop Industries (LOOP)  </t>
  </si>
  <si>
    <t xml:space="preserve">Innovate Biopharmaceuticals (INNT)  </t>
  </si>
  <si>
    <t xml:space="preserve">Pacific Ethanol (PEIX)  </t>
  </si>
  <si>
    <t xml:space="preserve">United Community Bancorp (UCBA)  </t>
  </si>
  <si>
    <t xml:space="preserve">Arcadia Biosciences (RKDA)  </t>
  </si>
  <si>
    <t xml:space="preserve">CounterPath (CPAH)  </t>
  </si>
  <si>
    <t xml:space="preserve">Carver Bancorp (CARV)  </t>
  </si>
  <si>
    <t xml:space="preserve">Juniper Pharmaceuticals (JNP)  </t>
  </si>
  <si>
    <t xml:space="preserve">China Customer Relations Centers (CCRC)  </t>
  </si>
  <si>
    <t xml:space="preserve">Novelion Therapeutics (NVLN)  </t>
  </si>
  <si>
    <t xml:space="preserve">Codexis (CDXS)  </t>
  </si>
  <si>
    <t xml:space="preserve">Zynerba Pharmaceuticals (ZYNE)  </t>
  </si>
  <si>
    <t xml:space="preserve">Cocrystal Pharma (COCP)  </t>
  </si>
  <si>
    <t xml:space="preserve">Ceco Environmental (CECE)  </t>
  </si>
  <si>
    <t xml:space="preserve">American Superconductor (AMSC)  </t>
  </si>
  <si>
    <t xml:space="preserve">Cogentix Medical (CGNT)  </t>
  </si>
  <si>
    <t xml:space="preserve">Overseas Shipholding Group Cl A (OSG)  </t>
  </si>
  <si>
    <t xml:space="preserve">LongFin Cl A (LFIN)  </t>
  </si>
  <si>
    <t xml:space="preserve">Nxt-ID (NXTD)  </t>
  </si>
  <si>
    <t xml:space="preserve">Novume Solutions (NVMM)  </t>
  </si>
  <si>
    <t xml:space="preserve">Future FinTech Group (FTFT)  </t>
  </si>
  <si>
    <t xml:space="preserve">Tetraphase Pharmaceuticals (TTPH)  </t>
  </si>
  <si>
    <t xml:space="preserve">Joint (JYNT)  </t>
  </si>
  <si>
    <t xml:space="preserve">Casa Systems (CASA)  </t>
  </si>
  <si>
    <t xml:space="preserve">ChinaNet Online Holdings (CNET)  </t>
  </si>
  <si>
    <t xml:space="preserve">NVE (NVEC)  </t>
  </si>
  <si>
    <t xml:space="preserve">Dermira (DERM)  </t>
  </si>
  <si>
    <t xml:space="preserve">Stone Energy (SGY)  </t>
  </si>
  <si>
    <t xml:space="preserve">U.S. Global Investors Cl A (GROW)  </t>
  </si>
  <si>
    <t xml:space="preserve">ITUS (ITUS)  </t>
  </si>
  <si>
    <t xml:space="preserve">Assembly Biosciences (ASMB)  </t>
  </si>
  <si>
    <t xml:space="preserve">Ultra Petroleum (UPL)  </t>
  </si>
  <si>
    <t xml:space="preserve">Polar Power (POLA)  </t>
  </si>
  <si>
    <t xml:space="preserve">Intellicheck (IDN)  </t>
  </si>
  <si>
    <t xml:space="preserve">Immune Design (IMDZ)  </t>
  </si>
  <si>
    <t xml:space="preserve">R1 RCM (RCM)  </t>
  </si>
  <si>
    <t xml:space="preserve">RISE Education Cayman ADR (REDU)  </t>
  </si>
  <si>
    <t xml:space="preserve">Mannatech (MTEX)  </t>
  </si>
  <si>
    <t xml:space="preserve">Ultralife (ULBI)  </t>
  </si>
  <si>
    <t xml:space="preserve">Tsakos Energy Navigation (TNP)  </t>
  </si>
  <si>
    <t xml:space="preserve">Micron Technology (MU)  </t>
  </si>
  <si>
    <t xml:space="preserve">Limoneira (LMNR)  </t>
  </si>
  <si>
    <t xml:space="preserve">Bel Fuse Cl B (BELFB)  </t>
  </si>
  <si>
    <t xml:space="preserve">Conifer Holdings (CNFR)  </t>
  </si>
  <si>
    <t xml:space="preserve">Profire Energy (PFIE)  </t>
  </si>
  <si>
    <t xml:space="preserve">Tenax Therapeutics (TENX)  </t>
  </si>
  <si>
    <t xml:space="preserve">BeyondSpring (BYSI)  </t>
  </si>
  <si>
    <t xml:space="preserve">Jounce Therapeutics (JNCE)  </t>
  </si>
  <si>
    <t xml:space="preserve">InfoSonics (IFON)  </t>
  </si>
  <si>
    <t xml:space="preserve">RF Industries (RFIL)  </t>
  </si>
  <si>
    <t xml:space="preserve">InflaRx (IFRX)  </t>
  </si>
  <si>
    <t xml:space="preserve">Ocular Therapeutix (OCUL)  </t>
  </si>
  <si>
    <t xml:space="preserve">Novus Therapeutics (NVUS)  </t>
  </si>
  <si>
    <t xml:space="preserve">Nuverra Environmental Solutions (NES)  </t>
  </si>
  <si>
    <t xml:space="preserve">Applied Optoelectronics (AAOI)  </t>
  </si>
  <si>
    <t xml:space="preserve">Champions Oncology (CSBR)  </t>
  </si>
  <si>
    <t xml:space="preserve">Optical Cable (OCC)  </t>
  </si>
  <si>
    <t xml:space="preserve">Endocyte (ECYT)  </t>
  </si>
  <si>
    <t xml:space="preserve">Reata Pharmaceuticals Cl A (RETA)  </t>
  </si>
  <si>
    <t xml:space="preserve">NeoPhotonics (NPTN)  </t>
  </si>
  <si>
    <t xml:space="preserve">Xcerra (XCRA)  </t>
  </si>
  <si>
    <t xml:space="preserve">Mexco Energy (MXC)  </t>
  </si>
  <si>
    <t xml:space="preserve">Veritone (VERI)  </t>
  </si>
  <si>
    <t xml:space="preserve">Jupai Holdings ADR (JP)  </t>
  </si>
  <si>
    <t xml:space="preserve">Big 5 Sporting Goods (BGFV)  </t>
  </si>
  <si>
    <t xml:space="preserve">CUI Global (CUI)  </t>
  </si>
  <si>
    <t xml:space="preserve">Yirendai ADR (YRD)  </t>
  </si>
  <si>
    <t xml:space="preserve">Aqua Metals (AQMS)  </t>
  </si>
  <si>
    <t xml:space="preserve">Surmodics (SRDX)  </t>
  </si>
  <si>
    <t xml:space="preserve">China Online Education Group ADR (COE)  </t>
  </si>
  <si>
    <t xml:space="preserve">PPDAI Group ADR (PPDF)  </t>
  </si>
  <si>
    <t xml:space="preserve">Eagle Bulk Shipping (EGLE)  </t>
  </si>
  <si>
    <t xml:space="preserve">Global Partners (GLP)  </t>
  </si>
  <si>
    <t xml:space="preserve">Rent-A-Center (RCII)  </t>
  </si>
  <si>
    <t xml:space="preserve">PRGX Global (PRGX)  </t>
  </si>
  <si>
    <t xml:space="preserve">Stitch Fix Cl A (SFIX)  </t>
  </si>
  <si>
    <t xml:space="preserve">Schnitzer Steel Industries (SCHN)  </t>
  </si>
  <si>
    <t xml:space="preserve">Alnylam Pharmaceuticals (ALNY)  </t>
  </si>
  <si>
    <t xml:space="preserve">Papa Murphy's Holdings (FRSH)  </t>
  </si>
  <si>
    <t xml:space="preserve">Genco Shipping&amp;Trading (GNK)  </t>
  </si>
  <si>
    <t xml:space="preserve">Motif Bio ADR (MTFB)  </t>
  </si>
  <si>
    <t xml:space="preserve">vTv Therapeutics Cl A (VTVT)  </t>
  </si>
  <si>
    <t xml:space="preserve">Orchids Paper Products (TIS)  </t>
  </si>
  <si>
    <t xml:space="preserve">MAG Silver (MAG)  </t>
  </si>
  <si>
    <t xml:space="preserve">Taylor Devices (TAYD)  </t>
  </si>
  <si>
    <t xml:space="preserve">DexCom (DXCM)  </t>
  </si>
  <si>
    <t xml:space="preserve">Highpower International (HPJ)  </t>
  </si>
  <si>
    <t xml:space="preserve">DMC Global (BOOM)  </t>
  </si>
  <si>
    <t xml:space="preserve">Alliance One International (AOI)  </t>
  </si>
  <si>
    <t xml:space="preserve">Sarepta Therapeutics (SRPT)  </t>
  </si>
  <si>
    <t xml:space="preserve">StoneMor Partners (STON)  </t>
  </si>
  <si>
    <t xml:space="preserve">Esperion Therapeutics (ESPR)  </t>
  </si>
  <si>
    <t xml:space="preserve">Delta Apparel (DLA)  </t>
  </si>
  <si>
    <t xml:space="preserve">Quanterix (QTRX)  </t>
  </si>
  <si>
    <t xml:space="preserve">Flex Pharma (FLKS)  </t>
  </si>
  <si>
    <t xml:space="preserve">Payment Data Systems (PYDS)  </t>
  </si>
  <si>
    <t>Rank</t>
  </si>
  <si>
    <t xml:space="preserve">Proteostasis Therapeutics (PTI)  </t>
  </si>
  <si>
    <t xml:space="preserve">Arsanis (ASNS)  </t>
  </si>
  <si>
    <t xml:space="preserve">Immuron ADR (IMRN)  </t>
  </si>
  <si>
    <t xml:space="preserve">Bovie Medical (BVX)  </t>
  </si>
  <si>
    <t xml:space="preserve">Orgenesis (ORGS)  </t>
  </si>
  <si>
    <t xml:space="preserve">Atomera (ATOM)  </t>
  </si>
  <si>
    <t xml:space="preserve">Professional Diversity Network (IPDN)  </t>
  </si>
  <si>
    <t xml:space="preserve">Allena Pharmaceuticals (ALNA)  </t>
  </si>
  <si>
    <t xml:space="preserve">American Vanguard (AVD)  </t>
  </si>
  <si>
    <t xml:space="preserve">Myovant Sciences (MYOV)  </t>
  </si>
  <si>
    <t xml:space="preserve">Vaxart (VXRT)  </t>
  </si>
  <si>
    <t xml:space="preserve">NorthStar Realty Europe (NRE)  </t>
  </si>
  <si>
    <t xml:space="preserve">Xplore Technologies (XPLR)  </t>
  </si>
  <si>
    <t xml:space="preserve">Presbia (LENS)  </t>
  </si>
  <si>
    <t xml:space="preserve">DSW Cl A (DSW)  </t>
  </si>
  <si>
    <t xml:space="preserve">Purple Innovation (PRPL)  </t>
  </si>
  <si>
    <t xml:space="preserve">BRT Apartments (BRT)  </t>
  </si>
  <si>
    <t xml:space="preserve">Sify Technologies ADR (SIFY)  </t>
  </si>
  <si>
    <t xml:space="preserve">G1 Therapeutics (GTHX)  </t>
  </si>
  <si>
    <t xml:space="preserve">CHF Solutions (CHFS)  </t>
  </si>
  <si>
    <t xml:space="preserve">Corvus Pharmaceuticals (CRVS)  </t>
  </si>
  <si>
    <t xml:space="preserve">Zosano Pharma (ZSAN)  </t>
  </si>
  <si>
    <t xml:space="preserve">Minerva Neurosciences (NERV)  </t>
  </si>
  <si>
    <t xml:space="preserve">Digital Ally (DGLY)  </t>
  </si>
  <si>
    <t xml:space="preserve">IZEA (IZEA)  </t>
  </si>
  <si>
    <t xml:space="preserve">Limbach Holdings (LMB)  </t>
  </si>
  <si>
    <t xml:space="preserve">Biofrontera ADR (BFRA)  </t>
  </si>
  <si>
    <t xml:space="preserve">InfuSystems Holdings (INFU)  </t>
  </si>
  <si>
    <t xml:space="preserve">Townsquare Media Cl A (TSQ)  </t>
  </si>
  <si>
    <t xml:space="preserve">Ceragon Networks (CRNT)  </t>
  </si>
  <si>
    <t xml:space="preserve">Zedge Cl B (ZDGE)  </t>
  </si>
  <si>
    <t xml:space="preserve">Oxbridge Re Holdings (OXBR)  </t>
  </si>
  <si>
    <t xml:space="preserve">Proteon Therapeutics (PRTO)  </t>
  </si>
  <si>
    <t xml:space="preserve">JAKKS Pacific (JAKK)  </t>
  </si>
  <si>
    <t xml:space="preserve">Rhythm Pharmaceuticals (RYTM)  </t>
  </si>
  <si>
    <t xml:space="preserve">Eastside Distilling (EAST)  </t>
  </si>
  <si>
    <t xml:space="preserve">BMO REX MicroSectors FANG+ Index -3X Inverse Leveraged ETN (FNGD)  </t>
  </si>
  <si>
    <t xml:space="preserve">Newater Technology (NEWA)  </t>
  </si>
  <si>
    <t xml:space="preserve">Core Molding Technologies (CMT)  </t>
  </si>
  <si>
    <t xml:space="preserve">Veritiv (VRTV)  </t>
  </si>
  <si>
    <t xml:space="preserve">Sol-Gel Technologies (SLGL)  </t>
  </si>
  <si>
    <t xml:space="preserve">China Natural Resources (CHNR)  </t>
  </si>
  <si>
    <t xml:space="preserve">Fortress Biotech (FBIO)  </t>
  </si>
  <si>
    <t xml:space="preserve">GenMark Diagnostics (GNMK)  </t>
  </si>
  <si>
    <t xml:space="preserve">Foresight Autonomous Holdings ADR (FRSX)  </t>
  </si>
  <si>
    <t xml:space="preserve">PG&amp;E (PCG)  </t>
  </si>
  <si>
    <t xml:space="preserve">Rosehill Resources Cl A (ROSE)  </t>
  </si>
  <si>
    <t xml:space="preserve">Jason Industries (JASN)  </t>
  </si>
  <si>
    <t xml:space="preserve">Galectin Therapeutics (GALT)  </t>
  </si>
  <si>
    <t xml:space="preserve">MediciNova (MNOV)  </t>
  </si>
  <si>
    <t xml:space="preserve">BioTime (BTX)  </t>
  </si>
  <si>
    <t xml:space="preserve">Syndax Pharmaceuticals (SNDX)  </t>
  </si>
  <si>
    <t xml:space="preserve">Mersana Therapeutics (MRSN)  </t>
  </si>
  <si>
    <t xml:space="preserve">Xerox (XRX)  </t>
  </si>
  <si>
    <t xml:space="preserve">Acer Therapeutics (ACER)  </t>
  </si>
  <si>
    <t xml:space="preserve">KemPharm (KMPH)  </t>
  </si>
  <si>
    <t xml:space="preserve">ASV Holdings (ASV)  </t>
  </si>
  <si>
    <t xml:space="preserve">Cutera (CUTR)  </t>
  </si>
  <si>
    <t xml:space="preserve">Direxion Daily Russia Bear 3x Shares (RUSS)  </t>
  </si>
  <si>
    <t xml:space="preserve">Contango Oil&amp;Gas (MCF)  </t>
  </si>
  <si>
    <t xml:space="preserve">Petrobras Argentina ADR (PZE)  </t>
  </si>
  <si>
    <t xml:space="preserve">Iridex (IRIX)  </t>
  </si>
  <si>
    <t xml:space="preserve">Eiger BioPharmaceuticals (EIGR)  </t>
  </si>
  <si>
    <t xml:space="preserve">Evoke Pharma (EVOK)  </t>
  </si>
  <si>
    <t xml:space="preserve">Five Oaks Investment (OAKS)  </t>
  </si>
  <si>
    <t xml:space="preserve">M.D.C. Holdings (MDC)  </t>
  </si>
  <si>
    <t xml:space="preserve">Ellomay Capital (ELLO)  </t>
  </si>
  <si>
    <t xml:space="preserve">Aptevo Therapeutics (APVO)  </t>
  </si>
  <si>
    <t xml:space="preserve">ChemoCentryx (CCXI)  </t>
  </si>
  <si>
    <t xml:space="preserve">Azure Power Global (AZRE)  </t>
  </si>
  <si>
    <t xml:space="preserve">Compugen (CGEN)  </t>
  </si>
  <si>
    <t xml:space="preserve">JetPay (JTPY)  </t>
  </si>
  <si>
    <t xml:space="preserve">ProPhase Labs (PRPH)  </t>
  </si>
  <si>
    <t xml:space="preserve">Collegium Pharmaceutical (COLL)  </t>
  </si>
  <si>
    <t xml:space="preserve">Genius Brands International (GNUS)  </t>
  </si>
  <si>
    <t xml:space="preserve">SSR Mining (SSRM)  </t>
  </si>
  <si>
    <t xml:space="preserve">Peoples Bancorp of North Carolina (PEBK)  </t>
  </si>
  <si>
    <t xml:space="preserve">P&amp;F Industries Cl A (PFIN)  </t>
  </si>
  <si>
    <t xml:space="preserve">Evogene (EVGN)  </t>
  </si>
  <si>
    <t xml:space="preserve">Motorcar Parts of America (MPAA)  </t>
  </si>
  <si>
    <t xml:space="preserve">LGI Homes (LGIH)  </t>
  </si>
  <si>
    <t xml:space="preserve">Aptose Biosciences (APTO)  </t>
  </si>
  <si>
    <t xml:space="preserve">Iteris (ITI)  </t>
  </si>
  <si>
    <t xml:space="preserve">Krystal Biotech (KRYS)  </t>
  </si>
  <si>
    <t xml:space="preserve">Alaska Air Group (ALK)  </t>
  </si>
  <si>
    <t xml:space="preserve">Kopin (KOPN)  </t>
  </si>
  <si>
    <t xml:space="preserve">Heron Therapeutics (HRTX)  </t>
  </si>
  <si>
    <t xml:space="preserve">Ossen Innovation ADR (OSN)  </t>
  </si>
  <si>
    <t xml:space="preserve">Arcimoto (FUV)  </t>
  </si>
  <si>
    <t xml:space="preserve">Direxion Daily Semiconductor Bear 3X Shares (SOXS)  </t>
  </si>
  <si>
    <t xml:space="preserve">Sears Holdings (SHLD)  </t>
  </si>
  <si>
    <t xml:space="preserve">Daxor (DXR)  </t>
  </si>
  <si>
    <t xml:space="preserve">RXi Pharmaceuticals (RXII)  </t>
  </si>
  <si>
    <t xml:space="preserve">Xtant Medical Holdings (XTNT)  </t>
  </si>
  <si>
    <t xml:space="preserve">AquaBounty Technologies (AQB)  </t>
  </si>
  <si>
    <t xml:space="preserve">Avenue Therapeutics (ATXI)  </t>
  </si>
  <si>
    <t xml:space="preserve">Seaspan (SSW)  </t>
  </si>
  <si>
    <t xml:space="preserve">Apellis Pharmaceuticals (APLS)  </t>
  </si>
  <si>
    <t xml:space="preserve">Carvana Cl A (CVNA)  </t>
  </si>
  <si>
    <t xml:space="preserve">OptimumBank Holdings (OPHC)  </t>
  </si>
  <si>
    <t xml:space="preserve">Cellectis ADR (CLLS)  </t>
  </si>
  <si>
    <t xml:space="preserve">Internet Gold-Golden Lines (IGLD)  </t>
  </si>
  <si>
    <t xml:space="preserve">Pfenex (PFNX)  </t>
  </si>
  <si>
    <t xml:space="preserve">MYnd Analytics (MYND)  </t>
  </si>
  <si>
    <t xml:space="preserve">Caleres (CAL)  </t>
  </si>
  <si>
    <t xml:space="preserve">Camping World Holdings Cl A (CWH)  </t>
  </si>
  <si>
    <t xml:space="preserve">Astrotech (ASTC)  </t>
  </si>
  <si>
    <t xml:space="preserve">PetIQ Cl A (PETQ)  </t>
  </si>
  <si>
    <t xml:space="preserve">Long Blockchain (LBCC)  </t>
  </si>
  <si>
    <t xml:space="preserve">Infinity Pharmaceuticals (INFI)  </t>
  </si>
  <si>
    <t xml:space="preserve">Denali Therapeutics (DNLI)  </t>
  </si>
  <si>
    <t xml:space="preserve">Histogenics (HSGX)  </t>
  </si>
  <si>
    <t xml:space="preserve">Gaia Cl A (GAIA)  </t>
  </si>
  <si>
    <t xml:space="preserve">AstroNova (ALOT)  </t>
  </si>
  <si>
    <t xml:space="preserve">Heat Biologics (HTBX)  </t>
  </si>
  <si>
    <t xml:space="preserve">Scientific Games (SGMS)  </t>
  </si>
  <si>
    <t xml:space="preserve">Spero Therapeutics (SPRO)  </t>
  </si>
  <si>
    <t xml:space="preserve">OncoCyte (OCX)  </t>
  </si>
  <si>
    <t xml:space="preserve">Comstock Resources (CRK)  </t>
  </si>
  <si>
    <t xml:space="preserve">MongoDB (MDB)  </t>
  </si>
  <si>
    <t xml:space="preserve">National Holdings (NHLD)  </t>
  </si>
  <si>
    <t xml:space="preserve">Bridgewater Bancshares (BWB)  </t>
  </si>
  <si>
    <t xml:space="preserve">II-VI (IIVI)  </t>
  </si>
  <si>
    <t xml:space="preserve">Twitter (TWTR)  </t>
  </si>
  <si>
    <t xml:space="preserve">Oragenics (OGEN)  </t>
  </si>
  <si>
    <t xml:space="preserve">OptiNose (OPTN)  </t>
  </si>
  <si>
    <t xml:space="preserve">LendingTree (TREE)  </t>
  </si>
  <si>
    <t xml:space="preserve">support.com (SPRT)  </t>
  </si>
  <si>
    <t xml:space="preserve">Fang Holdings ADR (SFUN)  </t>
  </si>
  <si>
    <t xml:space="preserve">MyoKardia (MYOK)  </t>
  </si>
  <si>
    <t xml:space="preserve">Enphase Energy (ENPH)  </t>
  </si>
  <si>
    <t xml:space="preserve">Videocon d2h ADR (VDTH)  </t>
  </si>
  <si>
    <t xml:space="preserve">Synthesis Energy Systems (SES)  </t>
  </si>
  <si>
    <t xml:space="preserve">Art's Way Manufacturing (ARTW)  </t>
  </si>
  <si>
    <t xml:space="preserve">Radiant Logistics (RLGT)  </t>
  </si>
  <si>
    <t xml:space="preserve">Resource Capital (RSO)  </t>
  </si>
  <si>
    <t xml:space="preserve">Rimini Street (RMNI)  </t>
  </si>
  <si>
    <t xml:space="preserve">Rubicon Technology (RBCN)  </t>
  </si>
  <si>
    <t xml:space="preserve">GTT Communications (GTT)  </t>
  </si>
  <si>
    <t xml:space="preserve">Mitel Networks (MITL)  </t>
  </si>
  <si>
    <t xml:space="preserve">Zendesk (ZEN)  </t>
  </si>
  <si>
    <t xml:space="preserve">Adverum Biotechnologies (ADVM)  </t>
  </si>
  <si>
    <t xml:space="preserve">Intra-Cellular Therapies (ITCI)  </t>
  </si>
  <si>
    <t xml:space="preserve">Cerus (CERS)  </t>
  </si>
  <si>
    <t xml:space="preserve">Prudential ADR (PUK)  </t>
  </si>
  <si>
    <t xml:space="preserve">Recro Pharma (REPH)  </t>
  </si>
  <si>
    <t xml:space="preserve">Valeant Pharmaceuticals International (VRX)  </t>
  </si>
  <si>
    <t xml:space="preserve">Adaptimmune Therapeutics ADR (ADAP)  </t>
  </si>
  <si>
    <t xml:space="preserve">Geron (GERN)  </t>
  </si>
  <si>
    <t xml:space="preserve">Square Cl A (SQ)  </t>
  </si>
  <si>
    <t xml:space="preserve">Asure Software (ASUR)  </t>
  </si>
  <si>
    <t xml:space="preserve">SunRun (RUN)  </t>
  </si>
  <si>
    <t xml:space="preserve">Pilgrim's Pride (PPC)  </t>
  </si>
  <si>
    <t xml:space="preserve">Dick's Sporting Goods (DKS)  </t>
  </si>
  <si>
    <t xml:space="preserve">Aduro Biotech (ADRO)  </t>
  </si>
  <si>
    <t xml:space="preserve">Calix (CALX)  </t>
  </si>
  <si>
    <t xml:space="preserve">Biostar Pharmaceuticals (BSPM)  </t>
  </si>
  <si>
    <t xml:space="preserve">ICC Holdings (ICCH)  </t>
  </si>
  <si>
    <t xml:space="preserve">Pandora Media (P)  </t>
  </si>
  <si>
    <t xml:space="preserve">arGEN-X ADR (ARGX)  </t>
  </si>
  <si>
    <t xml:space="preserve">ACM Research Cl A (ACMR)  </t>
  </si>
  <si>
    <t xml:space="preserve">Orion Group Holdings (ORN)  </t>
  </si>
  <si>
    <t xml:space="preserve">VelocityShares 3x Inverse Natural Gas ETN linked to the S&amp;P GSCI Natural Gas Index Excess Return (DGAZ)  </t>
  </si>
  <si>
    <t xml:space="preserve">Black Box (BBOX)  </t>
  </si>
  <si>
    <t xml:space="preserve">Urban One Cl D (UONEK)  </t>
  </si>
  <si>
    <t xml:space="preserve">Kazia Therapeutics ADR (KZIA)  </t>
  </si>
  <si>
    <t xml:space="preserve">Camtek (CAMT)  </t>
  </si>
  <si>
    <t xml:space="preserve">Medley Management Cl A (MDLY)  </t>
  </si>
  <si>
    <t xml:space="preserve">InspireMD (NSPR)  </t>
  </si>
  <si>
    <t xml:space="preserve">Kingtone Wirelessinfo Solution Holding ADR (KONE)  </t>
  </si>
  <si>
    <t xml:space="preserve">Children's Place (PLCE)  </t>
  </si>
  <si>
    <t xml:space="preserve">KBS Fashion Group (KBSF)  </t>
  </si>
  <si>
    <t xml:space="preserve">Image Sensing Systems (ISNS)  </t>
  </si>
  <si>
    <t xml:space="preserve">Akcea Therapeutics (AKCA)  </t>
  </si>
  <si>
    <t xml:space="preserve">Cogint (COGT)  </t>
  </si>
  <si>
    <t xml:space="preserve">Coastway Bancorp (CWAY)  </t>
  </si>
  <si>
    <t xml:space="preserve">Covenant Transportation Group Cl A (CVTI)  </t>
  </si>
  <si>
    <t xml:space="preserve">Allied Motion Technologies (AMOT)  </t>
  </si>
  <si>
    <t xml:space="preserve">Restoration Robotics (HAIR)  </t>
  </si>
  <si>
    <t xml:space="preserve">Arcus Biosciences (RCUS)  </t>
  </si>
  <si>
    <t xml:space="preserve">Avid Bioservices (CDMO)  </t>
  </si>
  <si>
    <t xml:space="preserve">Noodles Cl A (NDLS)  </t>
  </si>
  <si>
    <t xml:space="preserve">Sierra Metals (SMTS)  </t>
  </si>
  <si>
    <t xml:space="preserve">RLJ Entertainment (RLJE)  </t>
  </si>
  <si>
    <t xml:space="preserve">Semtech (SMTC)  </t>
  </si>
  <si>
    <t xml:space="preserve">Aehr Test Systems (AEHR)  </t>
  </si>
  <si>
    <t xml:space="preserve">Level Brands (LEVB)  </t>
  </si>
  <si>
    <t xml:space="preserve">Eltek (ELTK)  </t>
  </si>
  <si>
    <t xml:space="preserve">Tuesday Morning (TUES)  </t>
  </si>
  <si>
    <t xml:space="preserve">Connecticut Water Service (CTWS)  </t>
  </si>
  <si>
    <t xml:space="preserve">UBS AG 1xMonthly Short E-TRACS for Alerian MLP Infrastructure Total Return Index 2040 (MLPS)  </t>
  </si>
  <si>
    <t xml:space="preserve">CYREN (CYRN)  </t>
  </si>
  <si>
    <t xml:space="preserve">Inovio Pharmaceuticals (INO)  </t>
  </si>
  <si>
    <t xml:space="preserve">Quotient (QTNT)  </t>
  </si>
  <si>
    <t xml:space="preserve">Mastech Digital (MHH)  </t>
  </si>
  <si>
    <t xml:space="preserve">HMG/Courtland Properties (HMG)  </t>
  </si>
  <si>
    <t xml:space="preserve">Leap Therapeutics (LPTX)  </t>
  </si>
  <si>
    <t xml:space="preserve">TapImmune (TPIV)  </t>
  </si>
  <si>
    <t xml:space="preserve">Lawson Products (LAWS)  </t>
  </si>
  <si>
    <t xml:space="preserve">Verona Pharma ADR (VRNA)  </t>
  </si>
  <si>
    <t xml:space="preserve">Direxion Daily Natural Gas Related Bear 3x Shares (GASX)  </t>
  </si>
  <si>
    <t xml:space="preserve">Diversicare Healthcare Services (DVCR)  </t>
  </si>
  <si>
    <t xml:space="preserve">Civeo (CVEO)  </t>
  </si>
  <si>
    <t xml:space="preserve">Federated National Holding (FNHC)  </t>
  </si>
  <si>
    <t xml:space="preserve">inTEST (INTT)  </t>
  </si>
  <si>
    <t xml:space="preserve">CTI Industries (CTIB)  </t>
  </si>
  <si>
    <t xml:space="preserve">Galmed Pharmaceuticals (GLMD)  </t>
  </si>
  <si>
    <t xml:space="preserve">Consolidated Water (CWCO)  </t>
  </si>
  <si>
    <t xml:space="preserve">Zion Oil&amp;Gas (ZN)  </t>
  </si>
  <si>
    <t xml:space="preserve">Electro Scientific Industries (ESIO)  </t>
  </si>
  <si>
    <t xml:space="preserve">Aeglea BioTherapeutics (AGLE)  </t>
  </si>
  <si>
    <t xml:space="preserve">Barnes&amp;Noble (BKS)  </t>
  </si>
  <si>
    <t xml:space="preserve">Urban One Cl A (UONE)  </t>
  </si>
  <si>
    <t xml:space="preserve">ShotSpotter (SSTI)  </t>
  </si>
  <si>
    <t xml:space="preserve">Magna International (MGA)  </t>
  </si>
  <si>
    <t xml:space="preserve">Aratana Therapeutics (PETX)  </t>
  </si>
  <si>
    <t xml:space="preserve">Fuwei Films Holdings (FFHL)  </t>
  </si>
  <si>
    <t xml:space="preserve">ATA ADR (ATAI)  </t>
  </si>
  <si>
    <t xml:space="preserve">SMART Global Holdings (SGH)  </t>
  </si>
  <si>
    <t xml:space="preserve">3D Systems (DDD)  </t>
  </si>
  <si>
    <t xml:space="preserve">Good Times Restaurants (GTIM)  </t>
  </si>
  <si>
    <t xml:space="preserve">FTE Networks (FTNW)  </t>
  </si>
  <si>
    <t xml:space="preserve">SG Blocks (SGBX)  </t>
  </si>
  <si>
    <t xml:space="preserve">James River Group Holdings (JRVR)  </t>
  </si>
  <si>
    <t xml:space="preserve">Edgewater Technology (EDGW)  </t>
  </si>
  <si>
    <t xml:space="preserve">NovaBay Pharmaceuticals (NBY)  </t>
  </si>
  <si>
    <t xml:space="preserve">AAC Holdings (AAC)  </t>
  </si>
  <si>
    <t xml:space="preserve">NovaGold Resources (NG)  </t>
  </si>
  <si>
    <t xml:space="preserve">Hallador Energy (HNRG)  </t>
  </si>
  <si>
    <t xml:space="preserve">Dogness (International) (DOGZ)  </t>
  </si>
  <si>
    <t xml:space="preserve">NuCana ADR (NCNA)  </t>
  </si>
  <si>
    <t xml:space="preserve">GDS Holdings ADR (GDS)  </t>
  </si>
  <si>
    <t xml:space="preserve">Dollar General (DG)  </t>
  </si>
  <si>
    <t xml:space="preserve">Direxion Daily S&amp;P Biotech Bear 3X Shares (LABD)  </t>
  </si>
  <si>
    <t xml:space="preserve">Otelco Cl A (OTEL)  </t>
  </si>
  <si>
    <t xml:space="preserve">Vera Bradley (VRA)  </t>
  </si>
  <si>
    <t xml:space="preserve">Spark Energy (SPKE)  </t>
  </si>
  <si>
    <t xml:space="preserve">ProShares UltraShort MSCI Brazil Capped (BZQ)  </t>
  </si>
  <si>
    <t xml:space="preserve">Artesian Resources Cl A (ARTNA)  </t>
  </si>
  <si>
    <t xml:space="preserve">Zscaler (ZS)  </t>
  </si>
  <si>
    <t xml:space="preserve">Senmiao Technology (AIHS)  </t>
  </si>
  <si>
    <t xml:space="preserve">Qualstar (QBAK)  </t>
  </si>
  <si>
    <t xml:space="preserve">NextDecade (NEXT)  </t>
  </si>
  <si>
    <t xml:space="preserve">Teligent (TLGT)  </t>
  </si>
  <si>
    <t xml:space="preserve">Revlon Cl A (REV)  </t>
  </si>
  <si>
    <t xml:space="preserve">Chicken Soup for the Soul Entertainment Cl A (CSSE)  </t>
  </si>
  <si>
    <t xml:space="preserve">Amyris (AMRS)  </t>
  </si>
  <si>
    <t xml:space="preserve">Citi Trends (CTRN)  </t>
  </si>
  <si>
    <t xml:space="preserve">Eastman Kodak (KODK)  </t>
  </si>
  <si>
    <t xml:space="preserve">Stewardship Financial (SSFN)  </t>
  </si>
  <si>
    <t xml:space="preserve">Destination Maternity (DEST)  </t>
  </si>
  <si>
    <t xml:space="preserve">Forterra (FRTA)  </t>
  </si>
  <si>
    <t xml:space="preserve">Natera (NTRA)  </t>
  </si>
  <si>
    <t xml:space="preserve">iFresh (IFMK)  </t>
  </si>
  <si>
    <t xml:space="preserve">Spok Holdings (SPOK)  </t>
  </si>
  <si>
    <t xml:space="preserve">Shoe Carnival (SCVL)  </t>
  </si>
  <si>
    <t xml:space="preserve">RumbleON Cl B (RMBL)  </t>
  </si>
  <si>
    <t xml:space="preserve">Zumiez (ZUMZ)  </t>
  </si>
  <si>
    <t xml:space="preserve">Network-1 Technologies (NTIP)  </t>
  </si>
  <si>
    <t xml:space="preserve">Riot Blockchain (RIOT)  </t>
  </si>
  <si>
    <t xml:space="preserve">ARC Document Solutions (ARC)  </t>
  </si>
  <si>
    <t xml:space="preserve">Valhi (VHI)  </t>
  </si>
  <si>
    <t xml:space="preserve">Jabil (JBL)  </t>
  </si>
  <si>
    <t xml:space="preserve">OPKO Health (OPK)  </t>
  </si>
  <si>
    <t xml:space="preserve">Blue Capital Reinsurance Holdings (BCRH)  </t>
  </si>
  <si>
    <t xml:space="preserve">IntriCon (IIN)  </t>
  </si>
  <si>
    <t xml:space="preserve">CymaBay Therapeutics (CBAY)  </t>
  </si>
  <si>
    <t xml:space="preserve">Carbonite (CARB)  </t>
  </si>
  <si>
    <t xml:space="preserve">Ampio Pharmaceuticals (AMPE)  </t>
  </si>
  <si>
    <t xml:space="preserve">RELM Wireless (RWC)  </t>
  </si>
  <si>
    <t xml:space="preserve">Edge Therapeutics (EDGE)  </t>
  </si>
  <si>
    <t xml:space="preserve">KalVista Pharmaceuticals (KALV)  </t>
  </si>
  <si>
    <t xml:space="preserve">Mustang Bio (MBIO)  </t>
  </si>
  <si>
    <t xml:space="preserve">Farmers&amp;Merchants Bancorp (FMAO)  </t>
  </si>
  <si>
    <t xml:space="preserve">First Guaranty Bancshares (FGBI)  </t>
  </si>
  <si>
    <t xml:space="preserve">XBiotech (XBIT)  </t>
  </si>
  <si>
    <t xml:space="preserve">KEYW Holding (KEYW)  </t>
  </si>
  <si>
    <t xml:space="preserve">Cemtrex (CETX)  </t>
  </si>
  <si>
    <t xml:space="preserve">SSLJ.com Cl A (SSLJ)  </t>
  </si>
  <si>
    <t xml:space="preserve">NGL Energy Partners (NGL)  </t>
  </si>
  <si>
    <t xml:space="preserve">Shenandoah Telecommunications (SHEN)  </t>
  </si>
  <si>
    <t xml:space="preserve">Vital Therapies (VTL)  </t>
  </si>
  <si>
    <t xml:space="preserve">ArQule (ARQL)  </t>
  </si>
  <si>
    <t xml:space="preserve">OrthoPediatrics (KIDS)  </t>
  </si>
  <si>
    <t xml:space="preserve">Selecta Biosciences (SELB)  </t>
  </si>
  <si>
    <t xml:space="preserve">Vivint Solar (VSLR)  </t>
  </si>
  <si>
    <t xml:space="preserve">ChromaDex (CDXC)  </t>
  </si>
  <si>
    <t xml:space="preserve">Albireo Pharma (ALBO)  </t>
  </si>
  <si>
    <t xml:space="preserve">Lazydays Holdings (LAZY)  </t>
  </si>
  <si>
    <t xml:space="preserve">Boston Omaha (BOMN)  </t>
  </si>
  <si>
    <t xml:space="preserve">Kala Pharmaceuticals (KALA)  </t>
  </si>
  <si>
    <t xml:space="preserve">Ulta Beauty (ULTA)  </t>
  </si>
  <si>
    <t xml:space="preserve">NuSTAR GP Holdings (NSH)  </t>
  </si>
  <si>
    <t xml:space="preserve">PC-Tel (PCTI)  </t>
  </si>
  <si>
    <t xml:space="preserve">Electronics for Imaging (EFII)  </t>
  </si>
  <si>
    <t xml:space="preserve">Social Reality Cl A (SRAX)  </t>
  </si>
  <si>
    <t xml:space="preserve">Winnebago Industries (WGO)  </t>
  </si>
  <si>
    <t xml:space="preserve">Zymeworks (ZYME)  </t>
  </si>
  <si>
    <t xml:space="preserve">Alaska Communications Systems Group (ALSK)  </t>
  </si>
  <si>
    <t xml:space="preserve">Euroseas (ESEA)  </t>
  </si>
  <si>
    <t xml:space="preserve">PFSweb (PFSW)  </t>
  </si>
  <si>
    <t xml:space="preserve">DHT Holdings (DHT)  </t>
  </si>
  <si>
    <t xml:space="preserve">NuSTAR Energy (NS)  </t>
  </si>
  <si>
    <t xml:space="preserve">Invuity (IVTY)  </t>
  </si>
  <si>
    <t xml:space="preserve">Buckle (BKE)  </t>
  </si>
  <si>
    <t xml:space="preserve">Kewaunee Scientific (KEQU)  </t>
  </si>
  <si>
    <t xml:space="preserve">Pioneer Energy Services (PES)  </t>
  </si>
  <si>
    <t xml:space="preserve">Colony Bankcorp (CBAN)  </t>
  </si>
  <si>
    <t xml:space="preserve">Roadrunner Transportation Systems (RRTS)  </t>
  </si>
  <si>
    <t xml:space="preserve">Opiant Pharmaceuticals (OPNT)  </t>
  </si>
  <si>
    <t xml:space="preserve">Xerium Technologies (XRM)  </t>
  </si>
  <si>
    <t xml:space="preserve">VelocityShares Daily 2x VIX Short Term ETN (TVIX)  </t>
  </si>
  <si>
    <t xml:space="preserve">ProShares Ultra VIX Short-Term Futures ETF (UVXY)  </t>
  </si>
  <si>
    <t xml:space="preserve">VelocityShares VIX Tail Risk ETN linked to the S&amp;P 500 VIX Futures Tail Risk Index Short Term due July 18 2046 (BSWN)  </t>
  </si>
  <si>
    <t xml:space="preserve">MediWound (MDWD)  </t>
  </si>
  <si>
    <t xml:space="preserve">Par Technology (PAR)  </t>
  </si>
  <si>
    <t xml:space="preserve">HTG Molecular Diagnostics (HTGM)  </t>
  </si>
  <si>
    <t xml:space="preserve">SecureWorks Cl A (SCWX)  </t>
  </si>
  <si>
    <t xml:space="preserve">VelocityShares VIX Variable Long/Short ETN linked to the S&amp;P 500 VIX Futures Variable Long/Short Index Short Term due July 18 2046 (LSVX)  </t>
  </si>
  <si>
    <t xml:space="preserve">Cronos Group (CRON)  </t>
  </si>
  <si>
    <t xml:space="preserve">ReTo Eco-Solutions (RETO)  </t>
  </si>
  <si>
    <t xml:space="preserve">Northern Oil&amp;Gas (NOG)  </t>
  </si>
  <si>
    <t xml:space="preserve">Barclays Bank iPath S&amp;P 500 VIX Short Term Futures ETN (VXX)  </t>
  </si>
  <si>
    <t xml:space="preserve">VelocityShares VIX Short Term ETN (VIIX)  </t>
  </si>
  <si>
    <t xml:space="preserve">ProShares VIX Short-Term Futures ETF (VIXY)  </t>
  </si>
  <si>
    <t xml:space="preserve">Inspired Entertainment (INSE)  </t>
  </si>
  <si>
    <t xml:space="preserve">Cheetah Mobile ADR (CMCM)  </t>
  </si>
  <si>
    <t xml:space="preserve">Direxion Daily S&amp;P Oil&amp;Gas Exp.&amp;Prod. Bear 3X Shares (DRIP)  </t>
  </si>
  <si>
    <t xml:space="preserve">Adams Resources&amp;Energy (AE)  </t>
  </si>
  <si>
    <t xml:space="preserve">Aileron Therapeutics (ALRN)  </t>
  </si>
  <si>
    <t xml:space="preserve">Canadian Solar (CSIQ)  </t>
  </si>
  <si>
    <t xml:space="preserve">Raven Industries (RAVN)  </t>
  </si>
  <si>
    <t xml:space="preserve">Orbotech (ORBK)  </t>
  </si>
  <si>
    <t xml:space="preserve">Everspin Technologies (MRAM)  </t>
  </si>
  <si>
    <t xml:space="preserve">Nightstar Therapeutics ADR (NITE)  </t>
  </si>
  <si>
    <t xml:space="preserve">Co-Diagnostics (CODX)  </t>
  </si>
  <si>
    <t xml:space="preserve">Geospace Technologies (GEOS)  </t>
  </si>
  <si>
    <t xml:space="preserve">Madrigal Pharmaceuticals (MDGL)  </t>
  </si>
  <si>
    <t xml:space="preserve">Sienna Biopharmaceuticals (SNNA)  </t>
  </si>
  <si>
    <t xml:space="preserve">Stage Stores (SSI)  </t>
  </si>
  <si>
    <t xml:space="preserve">ProShares UltraPro Short QQQ (SQQQ)  </t>
  </si>
  <si>
    <t xml:space="preserve">iRadimed (IRMD)  </t>
  </si>
  <si>
    <t xml:space="preserve">GeoPark (GPRK)  </t>
  </si>
  <si>
    <t xml:space="preserve">Pieris Pharmaceuticals (PIRS)  </t>
  </si>
  <si>
    <t xml:space="preserve">Direxion Daily Technology Bear 3x Shares (TECS)  </t>
  </si>
  <si>
    <t xml:space="preserve">Hibbett Sports (HIBB)  </t>
  </si>
  <si>
    <t xml:space="preserve">ADMA Biologics (ADMA)  </t>
  </si>
  <si>
    <t xml:space="preserve">ProShares UltraPro Short NASDAQ Biotechnology (ZBIO)  </t>
  </si>
  <si>
    <t xml:space="preserve">Gulf Island Fabrication (GIFI)  </t>
  </si>
  <si>
    <t xml:space="preserve">VelocityShares Daily 2x VIX Medium Term ETN (TVIZ)  </t>
  </si>
  <si>
    <t xml:space="preserve">Acme United (ACU)  </t>
  </si>
  <si>
    <t xml:space="preserve">Synalloy (SYNL)  </t>
  </si>
  <si>
    <t xml:space="preserve">National Healthcare (NHC)  </t>
  </si>
  <si>
    <t xml:space="preserve">LexinFintech Holdings ADR (LX)  </t>
  </si>
  <si>
    <t xml:space="preserve">GRAVITY ADR (GRVY)  </t>
  </si>
  <si>
    <t xml:space="preserve">Kirkland's (KIRK)  </t>
  </si>
  <si>
    <t xml:space="preserve">ProShares UltraShort Semiconductors (SSG)  </t>
  </si>
  <si>
    <t xml:space="preserve">VelocityShares VIX Short Volatility Hedged ETN linked to the S&amp;P 500 VIX Futures Short Volatility Hedged Index Short Term due July 18 2046 (XIVH)  </t>
  </si>
  <si>
    <t xml:space="preserve">AMCON Distributing (DIT)  </t>
  </si>
  <si>
    <t xml:space="preserve">AVEO Pharmaceuticals (AVEO)  </t>
  </si>
  <si>
    <t xml:space="preserve">SharpSpring (SHSP)  </t>
  </si>
  <si>
    <t xml:space="preserve">Luxfer Holdings (LXFR)  </t>
  </si>
  <si>
    <t xml:space="preserve">Barclays ADR (BCS)  </t>
  </si>
  <si>
    <t xml:space="preserve">Educational Development (EDUC)  </t>
  </si>
  <si>
    <t xml:space="preserve">Tailored Brands (TLRD)  </t>
  </si>
  <si>
    <t xml:space="preserve">ADT (ADT)  </t>
  </si>
  <si>
    <t xml:space="preserve">GWG Holdings (GWGH)  </t>
  </si>
  <si>
    <t xml:space="preserve">Torm (TRMD)  </t>
  </si>
  <si>
    <t xml:space="preserve">Direxion Daily Energy Bear 3x Shares (ERY)  </t>
  </si>
  <si>
    <t xml:space="preserve">Stewart Information Services (STC)  </t>
  </si>
  <si>
    <t xml:space="preserve">Command Security (MOC)  </t>
  </si>
  <si>
    <t xml:space="preserve">JinkoSolar Holding ADR (JKS)  </t>
  </si>
  <si>
    <t xml:space="preserve">Overstock.com (OSTK)  </t>
  </si>
  <si>
    <t xml:space="preserve">ProShares UltraShort Technology (REW)  </t>
  </si>
  <si>
    <t xml:space="preserve">BSQUARE (BSQR)  </t>
  </si>
  <si>
    <t xml:space="preserve">Cannae Holdings (CNNE)  </t>
  </si>
  <si>
    <t xml:space="preserve">Spartan Motors (SPAR)  </t>
  </si>
  <si>
    <t xml:space="preserve">Pixelworks (PXLW)  </t>
  </si>
  <si>
    <t xml:space="preserve">Arena Pharmaceuticals (ARNA)  </t>
  </si>
  <si>
    <t xml:space="preserve">MuleSoft Cl A (MULE)  </t>
  </si>
  <si>
    <t xml:space="preserve">CASI Pharmaceuticals (CASI)  </t>
  </si>
  <si>
    <t xml:space="preserve">Stoneridge (SRI)  </t>
  </si>
  <si>
    <t xml:space="preserve">China Auto Logistics (CALI)  </t>
  </si>
  <si>
    <t xml:space="preserve">Electro-Sensors (ELSE)  </t>
  </si>
  <si>
    <t xml:space="preserve">HealthEquity (HQY)  </t>
  </si>
  <si>
    <t xml:space="preserve">Zealand Pharma ADR (ZEAL)  </t>
  </si>
  <si>
    <t xml:space="preserve">Adesto Technologies (IOTS)  </t>
  </si>
  <si>
    <t xml:space="preserve">Bandwidth Cl A (BAND)  </t>
  </si>
  <si>
    <t xml:space="preserve">Ballard Power Systems (BLDP)  </t>
  </si>
  <si>
    <t xml:space="preserve">Tabula Rasa HealthCare (TRHC)  </t>
  </si>
  <si>
    <t xml:space="preserve">Xcel Brands (XELB)  </t>
  </si>
  <si>
    <t xml:space="preserve">Altair Engineering Cl A (ALTR)  </t>
  </si>
  <si>
    <t xml:space="preserve">Noah Holdings ADR (NOAH)  </t>
  </si>
  <si>
    <t xml:space="preserve">SunPower (SPWR)  </t>
  </si>
  <si>
    <t xml:space="preserve">YY ADR (YY)  </t>
  </si>
  <si>
    <t xml:space="preserve">MVB Financial (MVBF)  </t>
  </si>
  <si>
    <t xml:space="preserve">High Point Resources (HPR)  </t>
  </si>
  <si>
    <t xml:space="preserve">American Realty Investors (ARL)  </t>
  </si>
  <si>
    <t xml:space="preserve">PTC Therapeutics (PTCT)  </t>
  </si>
  <si>
    <t xml:space="preserve">Prana Biotechnology ADR (PRAN)  </t>
  </si>
  <si>
    <t xml:space="preserve">Baozun ADR (BZUN)  </t>
  </si>
  <si>
    <t xml:space="preserve">iClick Interactive Asia Group ADR (ICLK)  </t>
  </si>
  <si>
    <t xml:space="preserve">UBS E-TRACS - ProShares Daily 3x Long Crude ETN (WTIU)  </t>
  </si>
  <si>
    <t xml:space="preserve">uniQure (QURE)  </t>
  </si>
  <si>
    <t xml:space="preserve">Sorrento Therapeutics (SRNE)  </t>
  </si>
  <si>
    <t xml:space="preserve">Molecular Templates (MTEM)  </t>
  </si>
  <si>
    <t xml:space="preserve">Timken (TKR)  </t>
  </si>
  <si>
    <t xml:space="preserve">Dynatronics (DYNT)  </t>
  </si>
  <si>
    <t xml:space="preserve">Universal Display (OLED)  </t>
  </si>
  <si>
    <t xml:space="preserve">eGain (EGAN)  </t>
  </si>
  <si>
    <t xml:space="preserve">Sachem Capital (SACH)  </t>
  </si>
  <si>
    <t xml:space="preserve">Audentes Therapeutics (BOLD)  </t>
  </si>
  <si>
    <t xml:space="preserve">Broadvision (BVSN)  </t>
  </si>
  <si>
    <t xml:space="preserve">Finjan Holdings (FNJN)  </t>
  </si>
  <si>
    <t xml:space="preserve">Fanhua ADR (FANH)  </t>
  </si>
  <si>
    <t xml:space="preserve">China TechFaith Wireless Communication Technology ADR (CNTF)  </t>
  </si>
  <si>
    <t xml:space="preserve">ProShares UltraPro 3x Crude Oil ETF (OILU)  </t>
  </si>
  <si>
    <t xml:space="preserve">VelocityShares 3x Long Crude Oil ETNs linked to the S&amp;P GSCI Crude Oil Index ER (UWT)  </t>
  </si>
  <si>
    <t xml:space="preserve">Durect (DRRX)  </t>
  </si>
  <si>
    <t xml:space="preserve">Babcock&amp;Wilcox Enterprises (BW)  </t>
  </si>
  <si>
    <t xml:space="preserve">TAL Education Group ADR (TAL)  </t>
  </si>
  <si>
    <t xml:space="preserve">Partner Communications ADR (PTNR)  </t>
  </si>
  <si>
    <t xml:space="preserve">Fuling Global (FORK)  </t>
  </si>
  <si>
    <t xml:space="preserve">58.com ADR (WUBA)  </t>
  </si>
  <si>
    <t xml:space="preserve">Talend ADR (TLND)  </t>
  </si>
  <si>
    <t xml:space="preserve">Solaris Oilfield Infrastructure Cl A (SOI)  </t>
  </si>
  <si>
    <t xml:space="preserve">Atara Biotherapeutics (ATRA)  </t>
  </si>
  <si>
    <t xml:space="preserve">ReneSola ADR (SOL)  </t>
  </si>
  <si>
    <t xml:space="preserve">HV Bancorp (HVBC)  </t>
  </si>
  <si>
    <t xml:space="preserve">Floor&amp;Decor Holdings Cl A (FND)  </t>
  </si>
  <si>
    <t xml:space="preserve">AzurRx BioPharma (AZRX)  </t>
  </si>
  <si>
    <t xml:space="preserve">iPath Global Carbon ETN (GRN)  </t>
  </si>
  <si>
    <t xml:space="preserve">BeiGene ADR (BGNE)  </t>
  </si>
  <si>
    <t xml:space="preserve">Shopify Cl A (SHOP)  </t>
  </si>
  <si>
    <t xml:space="preserve">ION Geophysical (IO)  </t>
  </si>
  <si>
    <t xml:space="preserve">Houston Wire&amp;Cable (HWCC)  </t>
  </si>
  <si>
    <t xml:space="preserve">Affimed (AFMD)  </t>
  </si>
  <si>
    <t xml:space="preserve">Byline Bancorp (BY)  </t>
  </si>
  <si>
    <t xml:space="preserve">A-Mark Precious Metals (AMRK)  </t>
  </si>
  <si>
    <t xml:space="preserve">KraneShares MSCI All China Health Care Index ETF (KURE)  </t>
  </si>
  <si>
    <t xml:space="preserve">PBF Energy (PBF)  </t>
  </si>
  <si>
    <t xml:space="preserve">Momo ADR (MOMO)  </t>
  </si>
  <si>
    <t xml:space="preserve">Cloudera (CLDR)  </t>
  </si>
  <si>
    <t xml:space="preserve">Harsco (HSC)  </t>
  </si>
  <si>
    <t xml:space="preserve">GlycoMimetics (GLYC)  </t>
  </si>
  <si>
    <t xml:space="preserve">Dova Pharmaceuticals (DOVA)  </t>
  </si>
  <si>
    <t xml:space="preserve">Direxion Daily S&amp;P Oil&amp;Gas Exp.&amp;Prod. Bull 3X Shares (GUSH)  </t>
  </si>
  <si>
    <t xml:space="preserve">DXP Enterprises (DXPE)  </t>
  </si>
  <si>
    <t xml:space="preserve">Manning&amp;Napier (MN)  </t>
  </si>
  <si>
    <t xml:space="preserve">Tecogen (TGEN)  </t>
  </si>
  <si>
    <t xml:space="preserve">Pareteum (TEUM)  </t>
  </si>
  <si>
    <t xml:space="preserve">NantHealth (NH)  </t>
  </si>
  <si>
    <t xml:space="preserve">CARBO Ceramics (CRR)  </t>
  </si>
  <si>
    <t xml:space="preserve">Prothena (PRTA)  </t>
  </si>
  <si>
    <t xml:space="preserve">Technical Communications (TCCO)  </t>
  </si>
  <si>
    <t xml:space="preserve">Sanchez Energy (SN)  </t>
  </si>
  <si>
    <t xml:space="preserve">Achaogen (AKAO)  </t>
  </si>
  <si>
    <t xml:space="preserve">California Resources (CRC)  </t>
  </si>
  <si>
    <t xml:space="preserve">Direxion Daily Natural Gas Related Bull 3x Shares (GASL)  </t>
  </si>
  <si>
    <t xml:space="preserve">Youngevity International (YGYI)  </t>
  </si>
  <si>
    <t xml:space="preserve">Abraxas Petroleum (AXAS)  </t>
  </si>
  <si>
    <t xml:space="preserve">Ever-Glory International Group (EVK)  </t>
  </si>
  <si>
    <t xml:space="preserve">NanoVibronix (NAOV)  </t>
  </si>
  <si>
    <t xml:space="preserve">Lonestar Resources US Cl A (LONE)  </t>
  </si>
  <si>
    <t xml:space="preserve">Direxion Daily Junior Gold Miners Index Bull 3X Shares (JNUG)  </t>
  </si>
  <si>
    <t xml:space="preserve">Harvard Bioscience (HBIO)  </t>
  </si>
  <si>
    <t xml:space="preserve">Westport Fuel Systems (WPRT)  </t>
  </si>
  <si>
    <t xml:space="preserve">Denbury Resources (DNR)  </t>
  </si>
  <si>
    <t xml:space="preserve">Smart Sand (SND)  </t>
  </si>
  <si>
    <t xml:space="preserve">Whiting Petroleum (WLL)  </t>
  </si>
  <si>
    <t xml:space="preserve">WildHorse Resource Development (WRD)  </t>
  </si>
  <si>
    <t xml:space="preserve">Kandi Technologies Group (KNDI)  </t>
  </si>
  <si>
    <t xml:space="preserve">Baytex Energy (BTE)  </t>
  </si>
  <si>
    <t xml:space="preserve">Daqo New Energy ADR (DQ)  </t>
  </si>
  <si>
    <t xml:space="preserve">Legacy Reserves (LGCY)  </t>
  </si>
  <si>
    <t xml:space="preserve">Hecla Mining (HL)  </t>
  </si>
  <si>
    <t xml:space="preserve">Encana (ECA)  </t>
  </si>
  <si>
    <t xml:space="preserve">SM Energy (SM)  </t>
  </si>
  <si>
    <t xml:space="preserve">Rowan Cos. (RDC)  </t>
  </si>
  <si>
    <t xml:space="preserve">Cohu (COHU)  </t>
  </si>
  <si>
    <t xml:space="preserve">Benefitfocus (BNFT)  </t>
  </si>
  <si>
    <t xml:space="preserve">Diamond Offshore Drilling (DO)  </t>
  </si>
  <si>
    <t xml:space="preserve">Abeona Therapeutics (ABEO)  </t>
  </si>
  <si>
    <t xml:space="preserve">Direxion Daily Gold Miners Index Bull 3x Shares (NUGT)  </t>
  </si>
  <si>
    <t xml:space="preserve">QEP Resources (QEP)  </t>
  </si>
  <si>
    <t xml:space="preserve">Odyssey Marine Exploration (OMEX)  </t>
  </si>
  <si>
    <t xml:space="preserve">Gulfmark Offshore (GLF)  </t>
  </si>
  <si>
    <t xml:space="preserve">Fairmount Santrol Holdings (FMSA)  </t>
  </si>
  <si>
    <t xml:space="preserve">Penn Virginia (PVAC)  </t>
  </si>
  <si>
    <t xml:space="preserve">Direxion Daily Energy Bull 3x Shares (ERX)  </t>
  </si>
  <si>
    <t xml:space="preserve">Range Resources (RRC)  </t>
  </si>
  <si>
    <t xml:space="preserve">Pacira Pharmaceuticals (PCRX)  </t>
  </si>
  <si>
    <t xml:space="preserve">Bioblast Pharma (ORPN)  </t>
  </si>
  <si>
    <t xml:space="preserve">Nathan's Famous (NATH)  </t>
  </si>
  <si>
    <t xml:space="preserve">VEON ADR (VEON)  </t>
  </si>
  <si>
    <t xml:space="preserve">Transocean (RIG)  </t>
  </si>
  <si>
    <t xml:space="preserve">Nabors Industries (NBR)  </t>
  </si>
  <si>
    <t xml:space="preserve">Oasis Petroleum (OAS)  </t>
  </si>
  <si>
    <t xml:space="preserve">Direxion Daily Silver Miners Index Bull 2X Shares (SHNY)  </t>
  </si>
  <si>
    <t xml:space="preserve">Independence Contract Drilling (ICD)  </t>
  </si>
  <si>
    <t xml:space="preserve">Direxion Daily Russia Bull 3x Shares (RUSL)  </t>
  </si>
  <si>
    <t xml:space="preserve">RigNet (RNET)  </t>
  </si>
  <si>
    <t xml:space="preserve">Companhia Siderurgica Nacional ADR (SID)  </t>
  </si>
  <si>
    <t xml:space="preserve">Nine Energy Service (NINE)  </t>
  </si>
  <si>
    <t xml:space="preserve">Mammoth Energy Services (TUSK)  </t>
  </si>
  <si>
    <t xml:space="preserve">Continental Resources (CLR)  </t>
  </si>
  <si>
    <t xml:space="preserve">Maui Land&amp;Pineapple (MLP)  </t>
  </si>
  <si>
    <t xml:space="preserve">Menlo Therapeutics (MNLO)  </t>
  </si>
  <si>
    <t xml:space="preserve">Frank's International (FI)  </t>
  </si>
  <si>
    <t xml:space="preserve">Genworth Financial Cl A (GNW)  </t>
  </si>
  <si>
    <t xml:space="preserve">Silvercorp Metals (SVM)  </t>
  </si>
  <si>
    <t xml:space="preserve">Duluth Holdings Cl B (DLTH)  </t>
  </si>
  <si>
    <t xml:space="preserve">Marathon Oil (MRO)  </t>
  </si>
  <si>
    <t xml:space="preserve">ENSCO (ESV)  </t>
  </si>
  <si>
    <t xml:space="preserve">Noble (NE)  </t>
  </si>
  <si>
    <t xml:space="preserve">Endeavour Silver (EXK)  </t>
  </si>
  <si>
    <t xml:space="preserve">C&amp;J Energy Services (CJ)  </t>
  </si>
  <si>
    <t xml:space="preserve">Omeros (OMER)  </t>
  </si>
  <si>
    <t xml:space="preserve">Guess? (GES)  </t>
  </si>
  <si>
    <t xml:space="preserve">Lands' End (LE)  </t>
  </si>
  <si>
    <t xml:space="preserve">VivoPower International (VVPR)  </t>
  </si>
  <si>
    <t xml:space="preserve">Fusion Telecommunications International (FSNN)  </t>
  </si>
  <si>
    <t xml:space="preserve">LiveXLive Media (LIVX)  </t>
  </si>
  <si>
    <t xml:space="preserve">ProShares UltraPro Short Financial Select Sector (FINZ)  </t>
  </si>
  <si>
    <t xml:space="preserve">Direxion Daily FTSE China Bear 3X Shares (YANG)  </t>
  </si>
  <si>
    <t xml:space="preserve">Wheeler Real Estate Investment Trust (WHLR)  </t>
  </si>
  <si>
    <t xml:space="preserve">Direxion Daily Emerging Markets Bear 3x Shares (EDZ)  </t>
  </si>
  <si>
    <t xml:space="preserve">Direxion Daily Financial Bear 3x Shares (FAZ)  </t>
  </si>
  <si>
    <t xml:space="preserve">ProShares UltraPro Short Dow30 (SDOW)  </t>
  </si>
  <si>
    <t xml:space="preserve">Vuzix (VUZI)  </t>
  </si>
  <si>
    <t xml:space="preserve">Arbutus Biopharma (ABUS)  </t>
  </si>
  <si>
    <t xml:space="preserve">Luna Innovations (LUNA)  </t>
  </si>
  <si>
    <t xml:space="preserve">ProShares UltraPro Short S&amp;P 500 (SPXU)  </t>
  </si>
  <si>
    <t xml:space="preserve">ProShares UltraShort FTSE/Xinhua China 25 (FXP)  </t>
  </si>
  <si>
    <t xml:space="preserve">ProShares UltraShort Basic Materials (SMN)  </t>
  </si>
  <si>
    <t xml:space="preserve">Direxion Daily S&amp;P 500 Bear 3X Shares (SPXS)  </t>
  </si>
  <si>
    <t xml:space="preserve">ProShares UltraPro Short MidCap400 (SMDD)  </t>
  </si>
  <si>
    <t xml:space="preserve">United-Guardian (UG)  </t>
  </si>
  <si>
    <t xml:space="preserve">Direxion Daily Mid Cap Bear 3x Shares (MIDZ)  </t>
  </si>
  <si>
    <t xml:space="preserve">YogaWorks (YOGA)  </t>
  </si>
  <si>
    <t xml:space="preserve">ProShares UltraShort MSCI Emerging Markets (EEV)  </t>
  </si>
  <si>
    <t xml:space="preserve">ProShares UltraPro Short Russell2000 (SRTY)  </t>
  </si>
  <si>
    <t xml:space="preserve">Direxion Daily Small Cap Bear 3x Shares (TZA)  </t>
  </si>
  <si>
    <t xml:space="preserve">ProShares UltraShort Financials (SKF)  </t>
  </si>
  <si>
    <t xml:space="preserve">MGP Ingredients (MGPI)  </t>
  </si>
  <si>
    <t xml:space="preserve">Tyme Technologies (TYME)  </t>
  </si>
  <si>
    <t xml:space="preserve">ProShares UltraShort Dow30 (DXD)  </t>
  </si>
  <si>
    <t xml:space="preserve">UBS E-TRACS - ProShares Daily 3x Inverse Crude ETN (WTID)  </t>
  </si>
  <si>
    <t xml:space="preserve">Direxion Daily Developed Markets Bear 3x Shares (DPK)  </t>
  </si>
  <si>
    <t xml:space="preserve">pdvWireless (PDVW)  </t>
  </si>
  <si>
    <t xml:space="preserve">ProShares UltraShort MidCap400 (MZZ)  </t>
  </si>
  <si>
    <t xml:space="preserve">Tidewater (TDW)  </t>
  </si>
  <si>
    <t xml:space="preserve">VelocityShares 3x Inverse Crude Oil ETNs linked to the S&amp;P GSCI Crude Oil Index ER (DWT)  </t>
  </si>
  <si>
    <t xml:space="preserve">ProShares UltraPro 3x Short Crude Oil ETF (OILD)  </t>
  </si>
  <si>
    <t xml:space="preserve">CPI Aerostructures (CVU)  </t>
  </si>
  <si>
    <t xml:space="preserve">United Bancorp (UBCP)  </t>
  </si>
  <si>
    <t xml:space="preserve">ProShares UltraShort QQQ (QID)  </t>
  </si>
  <si>
    <t xml:space="preserve">Sapiens International (SPNS)  </t>
  </si>
  <si>
    <t xml:space="preserve">Sears Hometown&amp;Outlet Stores (SHOS)  </t>
  </si>
  <si>
    <t xml:space="preserve">FS Investment (FSIC)  </t>
  </si>
  <si>
    <t xml:space="preserve">ProShares UltraShort S&amp;P500 (SDS)  </t>
  </si>
  <si>
    <t xml:space="preserve">Grupo Televisa ADR (TV)  </t>
  </si>
  <si>
    <t xml:space="preserve">BioDelivery Sciences International (BDSI)  </t>
  </si>
  <si>
    <t xml:space="preserve">Yintech Investment Holdings ADR (YIN)  </t>
  </si>
  <si>
    <t xml:space="preserve">Ovid Therapeutics (OVID)  </t>
  </si>
  <si>
    <t xml:space="preserve">ProShares UltraShort Nasdaq Biotechnology (BIS)  </t>
  </si>
  <si>
    <t xml:space="preserve">Lightpath Technologies Cl A (LPTH)  </t>
  </si>
  <si>
    <t xml:space="preserve">United States 3x Short Oil Fund (USOD)  </t>
  </si>
  <si>
    <t xml:space="preserve">Direxion Daily Gold Miners Index Bear 3x Shares (DUST)  </t>
  </si>
  <si>
    <t xml:space="preserve">Secoo Holding ADR (SECO)  </t>
  </si>
  <si>
    <t xml:space="preserve">Esquire Financial Holdings (ESQ)  </t>
  </si>
  <si>
    <t xml:space="preserve">Magal Security Systems (MAGS)  </t>
  </si>
  <si>
    <t xml:space="preserve">ProShares UltraShort Russell2000 (TWM)  </t>
  </si>
  <si>
    <t xml:space="preserve">Five Below (FIVE)  </t>
  </si>
  <si>
    <t xml:space="preserve">Auburn National Bancorp (AUBN)  </t>
  </si>
  <si>
    <t xml:space="preserve">DropBox (DBX)  </t>
  </si>
  <si>
    <t xml:space="preserve">New York (NWY)  </t>
  </si>
  <si>
    <t xml:space="preserve">CareDx (CDNA)  </t>
  </si>
  <si>
    <t xml:space="preserve">At Home Group (HOME)  </t>
  </si>
  <si>
    <t xml:space="preserve">Renmin Tianli Group (ABAC)  </t>
  </si>
  <si>
    <t xml:space="preserve">Evofem Biosciences (EVFM)  </t>
  </si>
  <si>
    <t xml:space="preserve">Odonate Therapeutics (ODT)  </t>
  </si>
  <si>
    <t xml:space="preserve">ProShares UltraShort Industrials (SIJ)  </t>
  </si>
  <si>
    <t xml:space="preserve">Quorum Health (QHC)  </t>
  </si>
  <si>
    <t xml:space="preserve">Euro Tech Holdings (CLWT)  </t>
  </si>
  <si>
    <t xml:space="preserve">Fred's (FRED)  </t>
  </si>
  <si>
    <t xml:space="preserve">Celcuity (CELC)  </t>
  </si>
  <si>
    <t xml:space="preserve">GEE Group (JOB)  </t>
  </si>
  <si>
    <t xml:space="preserve">Solid Biosciences (SLDB)  </t>
  </si>
  <si>
    <t xml:space="preserve">Foamix Pharmaceuticals (FOMX)  </t>
  </si>
  <si>
    <t xml:space="preserve">Manitex International (MNTX)  </t>
  </si>
  <si>
    <t xml:space="preserve">Viveve Medical (VIVE)  </t>
  </si>
  <si>
    <t xml:space="preserve">Dixie Group (DXYN)  </t>
  </si>
  <si>
    <t xml:space="preserve">Ability (ABIL)  </t>
  </si>
  <si>
    <t xml:space="preserve">Grana y Montero ADR (GRAM)  </t>
  </si>
  <si>
    <t xml:space="preserve">Interlink Electronics (LINK)  </t>
  </si>
  <si>
    <t xml:space="preserve">Aquinox Pharmaceuticals (AQXP)  </t>
  </si>
  <si>
    <t xml:space="preserve">Universal Technical Institute (UTI)  </t>
  </si>
  <si>
    <t xml:space="preserve">ProShares UltraShort SmallCap600 (SDD)  </t>
  </si>
  <si>
    <t xml:space="preserve">Finish Line Cl A (FINL)  </t>
  </si>
  <si>
    <t xml:space="preserve">ProShares UltraShort Health Care (RXD)  </t>
  </si>
  <si>
    <t xml:space="preserve">Ritter Pharmaceuticals (RTTR)  </t>
  </si>
  <si>
    <t xml:space="preserve">ProShares Ultra Gold Miners (GDXX)  </t>
  </si>
  <si>
    <t xml:space="preserve">Highway Holdings (HIHO)  </t>
  </si>
  <si>
    <t xml:space="preserve">SMTC (SMTX)  </t>
  </si>
  <si>
    <t xml:space="preserve">AngloGold Ashanti ADR (AU)  </t>
  </si>
  <si>
    <t xml:space="preserve">Kinross Gold (KGC)  </t>
  </si>
  <si>
    <t xml:space="preserve">G-III Apparel Group (GIII)  </t>
  </si>
  <si>
    <t xml:space="preserve">Industrial Services of America (IDSA)  </t>
  </si>
  <si>
    <t xml:space="preserve">Bonso Electronics International (BNSO)  </t>
  </si>
  <si>
    <t xml:space="preserve">Direxion Daily Real Estate Bear 3x Shares (DRV)  </t>
  </si>
  <si>
    <t xml:space="preserve">Eyenovia (EYEN)  </t>
  </si>
  <si>
    <t xml:space="preserve">Tandem Diabetes Care (TNDM)  </t>
  </si>
  <si>
    <t xml:space="preserve">CSP (CSPI)  </t>
  </si>
  <si>
    <t xml:space="preserve">ProShares Ultra Bloomberg Crude Oil (UCO)  </t>
  </si>
  <si>
    <t xml:space="preserve">Alamos Gold (AGI)  </t>
  </si>
  <si>
    <t xml:space="preserve">SilverBow Resources (SBOW)  </t>
  </si>
  <si>
    <t xml:space="preserve">Goldcorp (GG)  </t>
  </si>
  <si>
    <t xml:space="preserve">USG (USG)  </t>
  </si>
  <si>
    <t xml:space="preserve">Travelport Worldwide (TVPT)  </t>
  </si>
  <si>
    <t xml:space="preserve">Bellerophon Therapeutics (BLPH)  </t>
  </si>
  <si>
    <t xml:space="preserve">Siebert Financial (SIEB)  </t>
  </si>
  <si>
    <t xml:space="preserve">OncoMed Pharmaceuticals (OMED)  </t>
  </si>
  <si>
    <t xml:space="preserve">AcelRx Pharmaceuticals (ACRX)  </t>
  </si>
  <si>
    <t xml:space="preserve">Direxion Daily Semiconductor Bull 3X Shares (SOXL)  </t>
  </si>
  <si>
    <t xml:space="preserve">Energous (WATT)  </t>
  </si>
  <si>
    <t xml:space="preserve">Direxion Daily Technology Bull 3x Shares (TECL)  </t>
  </si>
  <si>
    <t xml:space="preserve">ProShares UltraPro QQQ (TQQQ)  </t>
  </si>
  <si>
    <t xml:space="preserve">Direxion Daily FTSE China Bull 3X Shares (YINN)  </t>
  </si>
  <si>
    <t xml:space="preserve">Direxion Daily South Korea Bull 3X Shares (KORU)  </t>
  </si>
  <si>
    <t xml:space="preserve">BMO REX MicroSectors FANG+ Index 3X Leveraged ETN (FNGU)  </t>
  </si>
  <si>
    <t xml:space="preserve">Nova Lifestyle (NVFY)  </t>
  </si>
  <si>
    <t xml:space="preserve">Direxion Daily Emerging Markets Bull 3x Shares (EDC)  </t>
  </si>
  <si>
    <t xml:space="preserve">Direxion Daily Regional Banks Bull 3X Shares (DPST)  </t>
  </si>
  <si>
    <t xml:space="preserve">ProShares UltraPro Financial Select Sector (FINU)  </t>
  </si>
  <si>
    <t xml:space="preserve">ProShares Ultra Semiconductors (USD)  </t>
  </si>
  <si>
    <t xml:space="preserve">Direxion Daily MSCI India Bull 3X Shares (INDL)  </t>
  </si>
  <si>
    <t xml:space="preserve">B.O.S. Better Online Solutions (BOSC)  </t>
  </si>
  <si>
    <t xml:space="preserve">Direxion Daily Retail Bull 3x Shares (RETL)  </t>
  </si>
  <si>
    <t xml:space="preserve">Insys Therapeutics (INSY)  </t>
  </si>
  <si>
    <t xml:space="preserve">Tile Shop Holdings (TTS)  </t>
  </si>
  <si>
    <t xml:space="preserve">Build-A-Bear Workshop (BBW)  </t>
  </si>
  <si>
    <t xml:space="preserve">Revolution Lighting Technologies (RVLT)  </t>
  </si>
  <si>
    <t xml:space="preserve">ProShares UltraPro Dow 30 (UDOW)  </t>
  </si>
  <si>
    <t xml:space="preserve">Scansource (SCSC)  </t>
  </si>
  <si>
    <t xml:space="preserve">Direxion Daily S&amp;P Biotech Bull 3X Shares (LABU)  </t>
  </si>
  <si>
    <t xml:space="preserve">Direxion Daily Financial Bull 3x Shares (FAS)  </t>
  </si>
  <si>
    <t xml:space="preserve">Direxion Daily S&amp;P 500 Bull 3X Shares (SPXL)  </t>
  </si>
  <si>
    <t xml:space="preserve">MiMedx Group (MDXG)  </t>
  </si>
  <si>
    <t xml:space="preserve">ProQR Therapeutics (PRQR)  </t>
  </si>
  <si>
    <t xml:space="preserve">ProShares UltraPro S&amp;P 500 (UPRO)  </t>
  </si>
  <si>
    <t xml:space="preserve">ProShares Ultra Technology (ROM)  </t>
  </si>
  <si>
    <t xml:space="preserve">Proshares UltraPro NASDAQ Biotechnology (UBIO)  </t>
  </si>
  <si>
    <t xml:space="preserve">Preformed Line Products (PLPC)  </t>
  </si>
  <si>
    <t xml:space="preserve">Roku Cl A (ROKU)  </t>
  </si>
  <si>
    <t xml:space="preserve">Belden (BDC)  </t>
  </si>
  <si>
    <t xml:space="preserve">iKang Healthcare Group ADR (KANG)  </t>
  </si>
  <si>
    <t xml:space="preserve">UroGen Pharma (URGN)  </t>
  </si>
  <si>
    <t xml:space="preserve">Enanta Pharmaceuticals (ENTA)  </t>
  </si>
  <si>
    <t xml:space="preserve">Direxion Daily Aerospace&amp;Defense Bull 3X Shares (DFEN)  </t>
  </si>
  <si>
    <t xml:space="preserve">Microsoft (MSFT)  </t>
  </si>
  <si>
    <t xml:space="preserve">Anavex Life Sciences (AVXL)  </t>
  </si>
  <si>
    <t xml:space="preserve">ProShares Ultra QQQ (QLD)  </t>
  </si>
  <si>
    <t xml:space="preserve">Atlanticus Holdings (ATLC)  </t>
  </si>
  <si>
    <t xml:space="preserve">ProShares Ultra FTSE/Xinhua China 25 (XPP)  </t>
  </si>
  <si>
    <t xml:space="preserve">Harmony Gold Mining ADR (HMY)  </t>
  </si>
  <si>
    <t xml:space="preserve">Ultra Clean Holdings (UCTT)  </t>
  </si>
  <si>
    <t xml:space="preserve">Semiconductor Manufacturing International ADR (SMI)  </t>
  </si>
  <si>
    <t xml:space="preserve">Direxion Daily Homebuilders&amp;Supplies Bull 3X Shares (NAIL)  </t>
  </si>
  <si>
    <t xml:space="preserve">Immunogen (IMGN)  </t>
  </si>
  <si>
    <t xml:space="preserve">Boot Barn Holdings (BOOT)  </t>
  </si>
  <si>
    <t xml:space="preserve">Cloud Peak Energy (CLD)  </t>
  </si>
  <si>
    <t xml:space="preserve">Takung Art (TKAT)  </t>
  </si>
  <si>
    <t xml:space="preserve">Presidio (PSDO)  </t>
  </si>
  <si>
    <t xml:space="preserve">Paycom Software (PAYC)  </t>
  </si>
  <si>
    <t xml:space="preserve">Direxion Daily Industrials Bull 3X Shares (DUSL)  </t>
  </si>
  <si>
    <t xml:space="preserve">Lowe's (LOW)  </t>
  </si>
  <si>
    <t xml:space="preserve">Direxion Daily Mid Cap Bull 3x Shares (MIDU)  </t>
  </si>
  <si>
    <t xml:space="preserve">Direxion Daily Small Cap Bull 3x Shares (TNA)  </t>
  </si>
  <si>
    <t xml:space="preserve">Immunomedics (IMMU)  </t>
  </si>
  <si>
    <t xml:space="preserve">Ambac Financial Group (AMBC)  </t>
  </si>
  <si>
    <t xml:space="preserve">Conn's (CONN)  </t>
  </si>
  <si>
    <t xml:space="preserve">Adobe Systems (ADBE)  </t>
  </si>
  <si>
    <t xml:space="preserve">ProShares UltraPro Russell2000 (URTY)  </t>
  </si>
  <si>
    <t xml:space="preserve">Netflix (NFLX)  </t>
  </si>
  <si>
    <t xml:space="preserve">AgEagle Aerial Systems (UAVS)  </t>
  </si>
  <si>
    <t xml:space="preserve">Moxian (MOXC)  </t>
  </si>
  <si>
    <t xml:space="preserve">Marrone Bio Innovations (MBII)  </t>
  </si>
  <si>
    <t xml:space="preserve">TOP Ships (TOPS)  </t>
  </si>
  <si>
    <t xml:space="preserve">Athenex (ATNX)  </t>
  </si>
  <si>
    <t xml:space="preserve">Altisource Asset Management (AAMC)  </t>
  </si>
  <si>
    <t xml:space="preserve">Hailiang Education Group ADR (HLG)  </t>
  </si>
  <si>
    <t xml:space="preserve">Nymox Pharmaceutical (NYMX)  </t>
  </si>
  <si>
    <t xml:space="preserve">Rayonier Advanced Materials (RYAM)  </t>
  </si>
  <si>
    <t xml:space="preserve">Neurotrope (NTRP)  </t>
  </si>
  <si>
    <t xml:space="preserve">Xenetic Biosciences (XBIO)  </t>
  </si>
  <si>
    <t xml:space="preserve">Four Seasons Education (Cayman) ADR (FEDU)  </t>
  </si>
  <si>
    <t xml:space="preserve">NanoString Technologies (NSTG)  </t>
  </si>
  <si>
    <t xml:space="preserve">Vitamin Shoppe (VSI)  </t>
  </si>
  <si>
    <t xml:space="preserve">Citius Pharmaceuticals (CTXR)  </t>
  </si>
  <si>
    <t xml:space="preserve">Sierra Wireless (SWIR)  </t>
  </si>
  <si>
    <t xml:space="preserve">Tallgrass Energy Partners (TEP)  </t>
  </si>
  <si>
    <t xml:space="preserve">SORL Auto Parts (SORL)  </t>
  </si>
  <si>
    <t xml:space="preserve">Beasley Broadcast Group Cl A (BBGI)  </t>
  </si>
  <si>
    <t xml:space="preserve">CVD Equipment (CVV)  </t>
  </si>
  <si>
    <t xml:space="preserve">ShiftPixy (PIXY)  </t>
  </si>
  <si>
    <t xml:space="preserve">Forward Pharma ADR (FWP)  </t>
  </si>
  <si>
    <t xml:space="preserve">Ashford (AINC)  </t>
  </si>
  <si>
    <t xml:space="preserve">Funko Cl A (FNKO)  </t>
  </si>
  <si>
    <t xml:space="preserve">Wilhelmina International (WHLM)  </t>
  </si>
  <si>
    <t xml:space="preserve">Direxion Daily Utilities Bull 3X Shares (UTSL)  </t>
  </si>
  <si>
    <t xml:space="preserve">Direxion Daily Junior Gold Miners Index Bear 3X Shares (JDST)  </t>
  </si>
  <si>
    <t xml:space="preserve">Helios&amp;Matheson Analytics (HMNY)  </t>
  </si>
  <si>
    <t xml:space="preserve">Strongbridge Biopharma (SBBP)  </t>
  </si>
  <si>
    <t xml:space="preserve">Celyad ADR (CYAD)  </t>
  </si>
  <si>
    <t xml:space="preserve">China Yuchai International (CYD)  </t>
  </si>
  <si>
    <t xml:space="preserve">Huami ADR (HMI)  </t>
  </si>
  <si>
    <t xml:space="preserve">Cardiome Pharma (CRME)  </t>
  </si>
  <si>
    <t xml:space="preserve">Global Self Storage (SELF)  </t>
  </si>
  <si>
    <t xml:space="preserve">Banco Bradesco Ord ADR (BBDO)  </t>
  </si>
  <si>
    <t xml:space="preserve">Barclays Bank iPath S&amp;P 500 VIX Mid Term Futures ETN (VXZ)  </t>
  </si>
  <si>
    <t xml:space="preserve">ProShares VIX Mid-Term Futures ETF (VIXM)  </t>
  </si>
  <si>
    <t xml:space="preserve">Summit Midstream Partners (SMLP)  </t>
  </si>
  <si>
    <t xml:space="preserve">Nautilus (NLS)  </t>
  </si>
  <si>
    <t xml:space="preserve">RH (RH)  </t>
  </si>
  <si>
    <t xml:space="preserve">Argan (AGX)  </t>
  </si>
  <si>
    <t xml:space="preserve">Homology Medicines (FIXX)  </t>
  </si>
  <si>
    <t xml:space="preserve">RSP Permian (RSPP)  </t>
  </si>
  <si>
    <t xml:space="preserve">LaSalle Hotel Properties (LHO)  </t>
  </si>
  <si>
    <t xml:space="preserve">Shire ADR (SHPG)  </t>
  </si>
  <si>
    <t xml:space="preserve">Lilis Energy (LLEX)  </t>
  </si>
  <si>
    <t xml:space="preserve">OP Bancorp (OPBK)  </t>
  </si>
  <si>
    <t xml:space="preserve">UniFirst (UNF)  </t>
  </si>
  <si>
    <t xml:space="preserve">Intevac (IVAC)  </t>
  </si>
  <si>
    <t xml:space="preserve">Francesca's Holdings (FRAN)  </t>
  </si>
  <si>
    <t xml:space="preserve">lululemon athletica (LULU)  </t>
  </si>
  <si>
    <t xml:space="preserve">CompX International Cl A (CIX)  </t>
  </si>
  <si>
    <t xml:space="preserve">Kratos Defense&amp;Security Solutions (KTOS)  </t>
  </si>
  <si>
    <t xml:space="preserve">Sportsman's Warehouse Holdings (SPWH)  </t>
  </si>
  <si>
    <t xml:space="preserve">Hudson Technologies (HDSN)  </t>
  </si>
  <si>
    <t xml:space="preserve">Merus (MRUS)  </t>
  </si>
  <si>
    <t xml:space="preserve">Biohaven Pharmaceutical Holding (BHVN)  </t>
  </si>
  <si>
    <t xml:space="preserve">QIWI ADR (QIWI)  </t>
  </si>
  <si>
    <t xml:space="preserve">Aclaris Therapeutics (ACRS)  </t>
  </si>
  <si>
    <t xml:space="preserve">Direxion Daily Real Estate Bull 3x Shares (DRN)  </t>
  </si>
  <si>
    <t xml:space="preserve">Fennec Pharmaceuticals (FENC)  </t>
  </si>
  <si>
    <t xml:space="preserve">NewLink Genetics (NLNK)  </t>
  </si>
  <si>
    <t xml:space="preserve">Vicor (VICR)  </t>
  </si>
  <si>
    <t xml:space="preserve">Washington Prime Group (WPG)  </t>
  </si>
  <si>
    <t xml:space="preserve">Strattec Security (STRT)  </t>
  </si>
  <si>
    <t xml:space="preserve">Walker&amp;Dunlop (WD)  </t>
  </si>
  <si>
    <t xml:space="preserve">Aimmune Therapeutics (AIMT)  </t>
  </si>
  <si>
    <t xml:space="preserve">Diamondrock Hospitality (DRH)  </t>
  </si>
  <si>
    <t xml:space="preserve">Urstadt Biddle Properties (UBP)  </t>
  </si>
  <si>
    <t xml:space="preserve">Clipper Realty (CLPR)  </t>
  </si>
  <si>
    <t xml:space="preserve">Energy XXI Gulf Coast (EGC)  </t>
  </si>
  <si>
    <t xml:space="preserve">RLJ Lodging Trust (RLJ)  </t>
  </si>
  <si>
    <t xml:space="preserve">Aspen Insurance Holdings (AHL)  </t>
  </si>
  <si>
    <t xml:space="preserve">M B T Financial (MBTF)  </t>
  </si>
  <si>
    <t xml:space="preserve">Chesapeake Lodging Trust (CHSP)  </t>
  </si>
  <si>
    <t xml:space="preserve">Global Medical REIT (GMRE)  </t>
  </si>
  <si>
    <t xml:space="preserve">Transcat (TRNS)  </t>
  </si>
  <si>
    <t xml:space="preserve">Alder BioPharmaceuticals (ALDR)  </t>
  </si>
  <si>
    <t xml:space="preserve">Virtus Enhanced Short U.S. Equity ETF (VESH)  </t>
  </si>
  <si>
    <t xml:space="preserve">J.C. Penney (JCP)  </t>
  </si>
  <si>
    <t xml:space="preserve">La-Z-Boy (LZB)  </t>
  </si>
  <si>
    <t xml:space="preserve">NAPCO Security Technologies (NSSC)  </t>
  </si>
  <si>
    <t xml:space="preserve">Mesa Laboratories (MLAB)  </t>
  </si>
  <si>
    <t xml:space="preserve">PCM (PCMI)  </t>
  </si>
  <si>
    <t xml:space="preserve">Brainstorm Cell Therapeutics (BCLI)  </t>
  </si>
  <si>
    <t xml:space="preserve">RGC Resources (RGCO)  </t>
  </si>
  <si>
    <t xml:space="preserve">Hersha Hospitality Trust Cl A (HT)  </t>
  </si>
  <si>
    <t xml:space="preserve">1st Constitution Bancorp (FCCY)  </t>
  </si>
  <si>
    <t xml:space="preserve">ViewRay (VRAY)  </t>
  </si>
  <si>
    <t xml:space="preserve">OMNOVA Solutions (OMN)  </t>
  </si>
  <si>
    <t xml:space="preserve">Coda Octopus Group (CODA)  </t>
  </si>
  <si>
    <t xml:space="preserve">Avadel Pharmaceuticals ADR (AVDL)  </t>
  </si>
  <si>
    <t xml:space="preserve">Ashford Hospitality Prime (AHP)  </t>
  </si>
  <si>
    <t xml:space="preserve">Ashford Hospitality Trust (AHT)  </t>
  </si>
  <si>
    <t xml:space="preserve">Plantronics (PLT)  </t>
  </si>
  <si>
    <t xml:space="preserve">PLx Pharma (PLXP)  </t>
  </si>
  <si>
    <t xml:space="preserve">Unit (UNT)  </t>
  </si>
  <si>
    <t xml:space="preserve">Titan Machinery (TITN)  </t>
  </si>
  <si>
    <t xml:space="preserve">Movado Group (MOV)  </t>
  </si>
  <si>
    <t xml:space="preserve">Spectrum Brands Holdings (SPB)  </t>
  </si>
  <si>
    <t xml:space="preserve">HRG Group (HRG)  </t>
  </si>
  <si>
    <t xml:space="preserve">VirTra (VTSI)  </t>
  </si>
  <si>
    <t xml:space="preserve">CarGurus Cl A (CARG)  </t>
  </si>
  <si>
    <t xml:space="preserve">Verint Systems (VRNT)  </t>
  </si>
  <si>
    <t xml:space="preserve">SITO Mobile (SITO)  </t>
  </si>
  <si>
    <t xml:space="preserve">American Public Education (APEI)  </t>
  </si>
  <si>
    <t xml:space="preserve">Energizer Holdings (ENR)  </t>
  </si>
  <si>
    <t xml:space="preserve">Cambium Learning Group (ABCD)  </t>
  </si>
  <si>
    <t xml:space="preserve">Jagged Peak Energy (JAG)  </t>
  </si>
  <si>
    <t xml:space="preserve">Gafisa ADR (GFA)  </t>
  </si>
  <si>
    <t xml:space="preserve">CGG ADR (CGG)  </t>
  </si>
  <si>
    <t xml:space="preserve">Yatra Online (YTRA)  </t>
  </si>
  <si>
    <t xml:space="preserve">Tellurian (TELL)  </t>
  </si>
  <si>
    <t xml:space="preserve">Cerecor (CERC)  </t>
  </si>
  <si>
    <t xml:space="preserve">Ameresco (AMRC)  </t>
  </si>
  <si>
    <t xml:space="preserve">Canterbury Park Holding (CPHC)  </t>
  </si>
  <si>
    <t xml:space="preserve">Oi ADR (OIBRC)  </t>
  </si>
  <si>
    <t xml:space="preserve">Fulgent Genetics (FLGT)  </t>
  </si>
  <si>
    <t xml:space="preserve">Fonar (FONR)  </t>
  </si>
  <si>
    <t xml:space="preserve">Direxion Daily Brazil Bull 3X Shares (BRZU)  </t>
  </si>
  <si>
    <t xml:space="preserve">Corbus Pharmaceuticals Holdings (CRBP)  </t>
  </si>
  <si>
    <t xml:space="preserve">Quintana Energy Services (QES)  </t>
  </si>
  <si>
    <t xml:space="preserve">Pain Therapeutics (PTIE)  </t>
  </si>
  <si>
    <t xml:space="preserve">AMAG Pharmaceuticals (AMAG)  </t>
  </si>
  <si>
    <t xml:space="preserve">Lithium Americas (LAC)  </t>
  </si>
  <si>
    <t xml:space="preserve">Evolus (EOLS)  </t>
  </si>
  <si>
    <t xml:space="preserve">ClearOne (CLRO)  </t>
  </si>
  <si>
    <t xml:space="preserve">Rocket Pharmaceuticals (RCKT)  </t>
  </si>
  <si>
    <t xml:space="preserve">Braskem ADR (BAK)  </t>
  </si>
  <si>
    <t xml:space="preserve">Marinus Pharmaceuticals (MRNS)  </t>
  </si>
  <si>
    <t xml:space="preserve">Direxion Daily Latin America Bull 3X Shares (LBJ)  </t>
  </si>
  <si>
    <t xml:space="preserve">Science Applications International (SAIC)  </t>
  </si>
  <si>
    <t xml:space="preserve">Senseonics Holdings (SENS)  </t>
  </si>
  <si>
    <t xml:space="preserve">Navistar International (NAV)  </t>
  </si>
  <si>
    <t xml:space="preserve">Dicerna Pharmaceuticals (DRNA)  </t>
  </si>
  <si>
    <t xml:space="preserve">Celsius Holdings (CELH)  </t>
  </si>
  <si>
    <t xml:space="preserve">Diebold Nixdorf (DBD)  </t>
  </si>
  <si>
    <t xml:space="preserve">Arrowhead Pharmaceuticals (ARWR)  </t>
  </si>
  <si>
    <t xml:space="preserve">SIFCO Industries (SIF)  </t>
  </si>
  <si>
    <t xml:space="preserve">Energy Focus (EFOI)  </t>
  </si>
  <si>
    <t xml:space="preserve">Direxion Daily CSI 300 China A Share Bull 2X Shares (CHAU)  </t>
  </si>
  <si>
    <t xml:space="preserve">Macrogenics (MGNX)  </t>
  </si>
  <si>
    <t xml:space="preserve">Pulse Biosciences (PLSE)  </t>
  </si>
  <si>
    <t xml:space="preserve">Hudbay Minerals (HBM)  </t>
  </si>
  <si>
    <t xml:space="preserve">Data I/O (DAIO)  </t>
  </si>
  <si>
    <t xml:space="preserve">scPharmaceuticals (SCPH)  </t>
  </si>
  <si>
    <t xml:space="preserve">Coherus BioSciences (CHRS)  </t>
  </si>
  <si>
    <t xml:space="preserve">Tintri (TNTR)  </t>
  </si>
  <si>
    <t xml:space="preserve">NV5 Global (NVEE)  </t>
  </si>
  <si>
    <t xml:space="preserve">Yangtze River Port&amp;Logistics (YRIV)  </t>
  </si>
  <si>
    <t xml:space="preserve">Willdan Group (WLDN)  </t>
  </si>
  <si>
    <t xml:space="preserve">TDH Holdings (PETZ)  </t>
  </si>
  <si>
    <t xml:space="preserve">Hurco (HURC)  </t>
  </si>
  <si>
    <t xml:space="preserve">PDL BioPharma (PDLI)  </t>
  </si>
  <si>
    <t xml:space="preserve">Protagonist Therapeutics (PTGX)  </t>
  </si>
  <si>
    <t xml:space="preserve">NCS Multistage Holdings (NCSM)  </t>
  </si>
  <si>
    <t xml:space="preserve">TPI Composites (TPIC)  </t>
  </si>
  <si>
    <t xml:space="preserve">Container Store Group (TCS)  </t>
  </si>
  <si>
    <t xml:space="preserve">Mirati Therapeutics (MRTX)  </t>
  </si>
  <si>
    <t xml:space="preserve">YRC Worldwide (YRCW)  </t>
  </si>
  <si>
    <t xml:space="preserve">Upland Software (UPLD)  </t>
  </si>
  <si>
    <t xml:space="preserve">Blue Apron Holdings Cl A (APRN)  </t>
  </si>
  <si>
    <t xml:space="preserve">KMG Chemicals (KMG)  </t>
  </si>
  <si>
    <t xml:space="preserve">Kadmon Holdings (KDMN)  </t>
  </si>
  <si>
    <t xml:space="preserve">Ra Pharmaceuticals (RARX)  </t>
  </si>
  <si>
    <t xml:space="preserve">Inseego (INSG)  </t>
  </si>
  <si>
    <t xml:space="preserve">Trupanion (TRUP)  </t>
  </si>
  <si>
    <t xml:space="preserve">Adamis Pharmaceuticals (ADMP)  </t>
  </si>
  <si>
    <t xml:space="preserve">Fiesta Restaurant Group (FRGI)  </t>
  </si>
  <si>
    <t xml:space="preserve">Trecora Resources (TREC)  </t>
  </si>
  <si>
    <t xml:space="preserve">Despegar.com (DESP)  </t>
  </si>
  <si>
    <t xml:space="preserve">Advaxis (ADXS)  </t>
  </si>
  <si>
    <t xml:space="preserve">Providence Service (PRSC)  </t>
  </si>
  <si>
    <t xml:space="preserve">Direxion Daily Transportation Bull 3X Shares (TPOR)  </t>
  </si>
  <si>
    <t xml:space="preserve">Energy Recovery (ERII)  </t>
  </si>
  <si>
    <t xml:space="preserve">El Pollo Loco Holdings (LOCO)  </t>
  </si>
  <si>
    <t xml:space="preserve">Quality Care Properties (QCP)  </t>
  </si>
  <si>
    <t xml:space="preserve">Intellia Therapeutics (NTLA)  </t>
  </si>
  <si>
    <t xml:space="preserve">Foundation Medicine (FMI)  </t>
  </si>
  <si>
    <t xml:space="preserve">Marcus&amp;Millichap (MMI)  </t>
  </si>
  <si>
    <t xml:space="preserve">Party City Holdco (PRTY)  </t>
  </si>
  <si>
    <t xml:space="preserve">Atlantic Power (AT)  </t>
  </si>
  <si>
    <t xml:space="preserve">CPI Card Group (PMTS)  </t>
  </si>
  <si>
    <t xml:space="preserve">Radnet (RDNT)  </t>
  </si>
  <si>
    <t xml:space="preserve">Ramaco Resources (METC)  </t>
  </si>
  <si>
    <t xml:space="preserve">Concert Pharmaceuticals (CNCE)  </t>
  </si>
  <si>
    <t xml:space="preserve">Calyxt (CLXT)  </t>
  </si>
  <si>
    <t xml:space="preserve">Mitek Systems (MITK)  </t>
  </si>
  <si>
    <t xml:space="preserve">Jumei International Holding ADR (JMEI)  </t>
  </si>
  <si>
    <t xml:space="preserve">Adamas Pharmaceuticals (ADMS)  </t>
  </si>
  <si>
    <t xml:space="preserve">DryShips (DRYS)  </t>
  </si>
  <si>
    <t xml:space="preserve">Discovery Communications Series B (DISCB)  </t>
  </si>
  <si>
    <t xml:space="preserve">Comtech Telecommunications (CMTL)  </t>
  </si>
  <si>
    <t xml:space="preserve">Bravo Brio Restaurant Group (BBRG)  </t>
  </si>
  <si>
    <t xml:space="preserve">Progenics Pharmaceuticals (PGNX)  </t>
  </si>
  <si>
    <t xml:space="preserve">United Microelectronics ADR (UMC)  </t>
  </si>
  <si>
    <t xml:space="preserve">Federal Agricultural Mortgage Cl A (AGMA)  </t>
  </si>
  <si>
    <t xml:space="preserve">One Stop Systems (OSS)  </t>
  </si>
  <si>
    <t xml:space="preserve">T2 Biosystems (TTOO)  </t>
  </si>
  <si>
    <t xml:space="preserve">Celldex Therapeutics (CLDX)  </t>
  </si>
  <si>
    <t xml:space="preserve">CryoLife (CRY)  </t>
  </si>
  <si>
    <t xml:space="preserve">Antares Pharma (ATRS)  </t>
  </si>
  <si>
    <t xml:space="preserve">Cidara Therapeutics (CDTX)  </t>
  </si>
  <si>
    <t xml:space="preserve">Dunxin Financial Holdings ADR (DXF)  </t>
  </si>
  <si>
    <t xml:space="preserve">Dolphin Entertainment (DLPN)  </t>
  </si>
  <si>
    <t xml:space="preserve">Federal Agricultural Mortgage Cl C (AGM)  </t>
  </si>
  <si>
    <t xml:space="preserve">Reis (REIS)  </t>
  </si>
  <si>
    <t xml:space="preserve">Aquantia (AQ)  </t>
  </si>
  <si>
    <t xml:space="preserve">Neptune Technologies&amp;Bioressources (NEPT)  </t>
  </si>
  <si>
    <t xml:space="preserve">TRACON Pharmaceuticals (TCON)  </t>
  </si>
  <si>
    <t xml:space="preserve">22nd Century Group (XXII)  </t>
  </si>
  <si>
    <t xml:space="preserve">Conatus Pharmaceuticals (CNAT)  </t>
  </si>
  <si>
    <t xml:space="preserve">Okta Cl A (OKTA)  </t>
  </si>
  <si>
    <t xml:space="preserve">Express Scripts Holding (ESRX)  </t>
  </si>
  <si>
    <t xml:space="preserve">International Game Technology (IGT)  </t>
  </si>
  <si>
    <t xml:space="preserve">TG Therapeutics (TGTX)  </t>
  </si>
  <si>
    <t xml:space="preserve">Achillion Pharmaceuticals (ACHN)  </t>
  </si>
  <si>
    <t xml:space="preserve">Akamai Technologies (AKAM)  </t>
  </si>
  <si>
    <t xml:space="preserve">MYR Group (MYRG)  </t>
  </si>
  <si>
    <t xml:space="preserve">Nektar Therapeutics (NKTR)  </t>
  </si>
  <si>
    <t xml:space="preserve">Nuvectra (NVTR)  </t>
  </si>
  <si>
    <t xml:space="preserve">Apollo Medical Holdings (AMEH)  </t>
  </si>
  <si>
    <t xml:space="preserve">DHX Media Variable Voting (DHXM)  </t>
  </si>
  <si>
    <t xml:space="preserve">Aegean Marine Petroleum Network (ANW)  </t>
  </si>
  <si>
    <t xml:space="preserve">Wynn Resorts (WYNN)  </t>
  </si>
  <si>
    <t xml:space="preserve">Huaneng Power International ADR (HNP)  </t>
  </si>
  <si>
    <t xml:space="preserve">iPic Entertainment (IPIC)  </t>
  </si>
  <si>
    <t xml:space="preserve">China Rapid Finance ADR (XRF)  </t>
  </si>
  <si>
    <t xml:space="preserve">Fibria Celulose ADR (FBR)  </t>
  </si>
  <si>
    <t xml:space="preserve">Qudian ADR (QD)  </t>
  </si>
  <si>
    <t xml:space="preserve">Autohome ADR (ATHM)  </t>
  </si>
  <si>
    <t xml:space="preserve">Medifast (MED)  </t>
  </si>
  <si>
    <t xml:space="preserve">REGENXBIO (RGNX)  </t>
  </si>
  <si>
    <t xml:space="preserve">Rada Electronic Industries (RADA)  </t>
  </si>
  <si>
    <t xml:space="preserve">Rigel Pharmaceuticals (RIGL)  </t>
  </si>
  <si>
    <t xml:space="preserve">Autodesk (ADSK)  </t>
  </si>
  <si>
    <t xml:space="preserve">Meet Group (MEET)  </t>
  </si>
  <si>
    <t xml:space="preserve">HCI Group (HCI)  </t>
  </si>
  <si>
    <t xml:space="preserve">Obalon Therapeutics (OBLN)  </t>
  </si>
  <si>
    <t xml:space="preserve">Korn/Ferry International (KFY)  </t>
  </si>
  <si>
    <t xml:space="preserve">Calithera Biosciences (CALA)  </t>
  </si>
  <si>
    <t xml:space="preserve">Famous Dave's of America (DAVE)  </t>
  </si>
  <si>
    <t xml:space="preserve">American Renal Associates Holdings (ARA)  </t>
  </si>
  <si>
    <t xml:space="preserve">Abercrombie&amp;Fitch (ANF)  </t>
  </si>
  <si>
    <t xml:space="preserve">H&amp;R Block (HRB)  </t>
  </si>
  <si>
    <t xml:space="preserve">FormFactor (FORM)  </t>
  </si>
  <si>
    <t xml:space="preserve">Gemphire Therapeutics (GEMP)  </t>
  </si>
  <si>
    <t xml:space="preserve">Clearside Biomedical (CLSD)  </t>
  </si>
  <si>
    <t xml:space="preserve">Editas Medicine (EDIT)  </t>
  </si>
  <si>
    <t xml:space="preserve">Pacific Biosciences of California (PACB)  </t>
  </si>
  <si>
    <t xml:space="preserve">ZIOPHARM Oncology (ZIOP)  </t>
  </si>
  <si>
    <t xml:space="preserve">Concord Medical Services Holdings ADR (CCM)  </t>
  </si>
  <si>
    <t xml:space="preserve">Ryerson Holding (RYI)  </t>
  </si>
  <si>
    <t xml:space="preserve">Reliv International (RELV)  </t>
  </si>
  <si>
    <t xml:space="preserve">InterXion Holding (INXN)  </t>
  </si>
  <si>
    <t xml:space="preserve">XOMA (XOMA)  </t>
  </si>
  <si>
    <t xml:space="preserve">Houghton Mifflin Harcourt (HMHC)  </t>
  </si>
  <si>
    <t xml:space="preserve">Guidewire Software (GWRE)  </t>
  </si>
  <si>
    <t xml:space="preserve">Bojangles' (BOJA)  </t>
  </si>
  <si>
    <t xml:space="preserve">Applied Genetic Technologies (AGTC)  </t>
  </si>
  <si>
    <t xml:space="preserve">China Distance Education Holdings ADR (DL)  </t>
  </si>
  <si>
    <t xml:space="preserve">GMS (GMS)  </t>
  </si>
  <si>
    <t xml:space="preserve">Sterling Construction (STRL)  </t>
  </si>
  <si>
    <t xml:space="preserve">Remark Holdings (MARK)  </t>
  </si>
  <si>
    <t xml:space="preserve">Skyline (SKY)  </t>
  </si>
  <si>
    <t xml:space="preserve">Xenon Pharmaceuticals (XENE)  </t>
  </si>
  <si>
    <t xml:space="preserve">Shiloh Industries (SHLO)  </t>
  </si>
  <si>
    <t xml:space="preserve">Glaukos (GKOS)  </t>
  </si>
  <si>
    <t xml:space="preserve">Dawson Geophysical (DWSN)  </t>
  </si>
  <si>
    <t xml:space="preserve">Sea ADR (SE)  </t>
  </si>
  <si>
    <t xml:space="preserve">Hudson Cl A (HUD)  </t>
  </si>
  <si>
    <t xml:space="preserve">NN (NNBR)  </t>
  </si>
  <si>
    <t xml:space="preserve">Cellular Biomedicine Group (CBMG)  </t>
  </si>
  <si>
    <t xml:space="preserve">ETRACS Monthly Pay 2xLeveraged US High Dividend Low Volatility ETN due September 30 2044 (HDLV)  </t>
  </si>
  <si>
    <t xml:space="preserve">Summit Therapeutics ADR (SMMT)  </t>
  </si>
  <si>
    <t xml:space="preserve">Acacia Communications (ACIA)  </t>
  </si>
  <si>
    <t xml:space="preserve">CommerceHub Series C (CHUBK)  </t>
  </si>
  <si>
    <t xml:space="preserve">CommerceHub Series A (CHUBA)  </t>
  </si>
  <si>
    <t xml:space="preserve">Checkpoint Therapeutics (CKPT)  </t>
  </si>
  <si>
    <t xml:space="preserve">Amedica (AMDA)  </t>
  </si>
  <si>
    <t xml:space="preserve">SELLAS Life Sciences Group (SLS)  </t>
  </si>
  <si>
    <t xml:space="preserve">Transcontinental Realty Investors (TCI)  </t>
  </si>
  <si>
    <t xml:space="preserve">CRH Medical (CRHM)  </t>
  </si>
  <si>
    <t xml:space="preserve">Cardtronics Cl A (CATM)  </t>
  </si>
  <si>
    <t xml:space="preserve">Analogic (ALOG)  </t>
  </si>
  <si>
    <t xml:space="preserve">Ciena (CIEN)  </t>
  </si>
  <si>
    <t xml:space="preserve">Vectrus (VEC)  </t>
  </si>
  <si>
    <t xml:space="preserve">Ichor Holdings (ICHR)  </t>
  </si>
  <si>
    <t xml:space="preserve">Bel Fuse Cl A (BELFA)  </t>
  </si>
  <si>
    <t xml:space="preserve">Frontline (FRO)  </t>
  </si>
  <si>
    <t xml:space="preserve">Cree (CREE)  </t>
  </si>
  <si>
    <t xml:space="preserve">Bridgford Foods (BRID)  </t>
  </si>
  <si>
    <t xml:space="preserve">500.com ADR (WBAI)  </t>
  </si>
  <si>
    <t xml:space="preserve">SemiLEDS (LEDS)  </t>
  </si>
  <si>
    <t xml:space="preserve">Caladrius Biosciences (CLBS)  </t>
  </si>
  <si>
    <t xml:space="preserve">Ocwen Financial (OCN)  </t>
  </si>
  <si>
    <t xml:space="preserve">Park-Ohio Holdings (PKOH)  </t>
  </si>
  <si>
    <t xml:space="preserve">Asta Funding (ASFI)  </t>
  </si>
  <si>
    <t xml:space="preserve">OpGen (OPGN)  </t>
  </si>
  <si>
    <t xml:space="preserve">Cato Cl A (CATO)  </t>
  </si>
  <si>
    <t xml:space="preserve">DAVIDsTEA (DTEA)  </t>
  </si>
  <si>
    <t xml:space="preserve">Netshoes (Cayman) (NETS)  </t>
  </si>
  <si>
    <t xml:space="preserve">R.R. Donnelley&amp;Sons (RRD)  </t>
  </si>
  <si>
    <t xml:space="preserve">eHealth (EHTH)  </t>
  </si>
  <si>
    <t xml:space="preserve">Xencor (XNCR)  </t>
  </si>
  <si>
    <t xml:space="preserve">Telecom Italia ADR (TIA)  </t>
  </si>
  <si>
    <t xml:space="preserve">Par Pacific Holdings (PARR)  </t>
  </si>
  <si>
    <t xml:space="preserve">SunCoke Energy (SXC)  </t>
  </si>
  <si>
    <t xml:space="preserve">Alio Gold (ALO)  </t>
  </si>
  <si>
    <t xml:space="preserve">Frontier Communications (FTR)  </t>
  </si>
  <si>
    <t xml:space="preserve">Ooma (OOMA)  </t>
  </si>
  <si>
    <t xml:space="preserve">Portola Pharmaceuticals (PTLA)  </t>
  </si>
  <si>
    <t xml:space="preserve">SpartanNash (SPTN)  </t>
  </si>
  <si>
    <t xml:space="preserve">Huttig Building Products (HBP)  </t>
  </si>
  <si>
    <t xml:space="preserve">Anthera Pharmaceuticals (ANTH)  </t>
  </si>
  <si>
    <t xml:space="preserve">Quantum (QTM)  </t>
  </si>
  <si>
    <t xml:space="preserve">Aberdeen Australia Equity Fund (IAF)  </t>
  </si>
  <si>
    <t xml:space="preserve">Navigator Holdings (NVGS)  </t>
  </si>
  <si>
    <t xml:space="preserve">Magellan Health (MGLN)  </t>
  </si>
  <si>
    <t xml:space="preserve">Hortonworks (HDP)  </t>
  </si>
  <si>
    <t xml:space="preserve">Natural Grocers by Vitamin Cottage (NGVC)  </t>
  </si>
  <si>
    <t xml:space="preserve">Everi Holdings (EVRI)  </t>
  </si>
  <si>
    <t xml:space="preserve">Era Group (ERA)  </t>
  </si>
  <si>
    <t xml:space="preserve">Tenet Healthcare (THC)  </t>
  </si>
  <si>
    <t xml:space="preserve">New Age Beverages (NBEV)  </t>
  </si>
  <si>
    <t xml:space="preserve">Quanex Building Products (NX)  </t>
  </si>
  <si>
    <t xml:space="preserve">ZTO Express (Cayman) ADR (ZTO)  </t>
  </si>
  <si>
    <t xml:space="preserve">Income Opportunity Realty Investors (IOR)  </t>
  </si>
  <si>
    <t xml:space="preserve">Vericel (VCEL)  </t>
  </si>
  <si>
    <t xml:space="preserve">GTx (GTXI)  </t>
  </si>
  <si>
    <t xml:space="preserve">XL Group (XL)  </t>
  </si>
  <si>
    <t xml:space="preserve">Dragon Victory International (LYL)  </t>
  </si>
  <si>
    <t xml:space="preserve">Intrepid Potash (IPI)  </t>
  </si>
  <si>
    <t xml:space="preserve">Catalyst Biosciences (CBIO)  </t>
  </si>
  <si>
    <t xml:space="preserve">FTD Cos. (FTD)  </t>
  </si>
  <si>
    <t xml:space="preserve">Spring Bank Pharmaceuticals (SBPH)  </t>
  </si>
  <si>
    <t xml:space="preserve">Rocky Brands (RCKY)  </t>
  </si>
  <si>
    <t xml:space="preserve">Myomo (MYO)  </t>
  </si>
  <si>
    <t xml:space="preserve">Vascular Biogenics (VBLT)  </t>
  </si>
  <si>
    <t xml:space="preserve">Global Net Lease (GNL)  </t>
  </si>
  <si>
    <t xml:space="preserve">Tredegar (TG)  </t>
  </si>
  <si>
    <t xml:space="preserve">Celsion (CLSN)  </t>
  </si>
  <si>
    <t xml:space="preserve">voxeljet ADR (VJET)  </t>
  </si>
  <si>
    <t xml:space="preserve">ARMO Biosciences (ARMO)  </t>
  </si>
  <si>
    <t xml:space="preserve">Cyanotech (CYAN)  </t>
  </si>
  <si>
    <t xml:space="preserve">Nutanix Cl A (NTNX)  </t>
  </si>
  <si>
    <t xml:space="preserve">Zoe's Kitchen (ZOES)  </t>
  </si>
  <si>
    <t xml:space="preserve">Bank of South Carolina (BKSC)  </t>
  </si>
  <si>
    <t xml:space="preserve">Miragen Therapeutics (MGEN)  </t>
  </si>
  <si>
    <t xml:space="preserve">Catasys (CATS)  </t>
  </si>
  <si>
    <t xml:space="preserve">Scorpio Tankers (STNG)  </t>
  </si>
  <si>
    <t xml:space="preserve">Mallinckrodt (MNK)  </t>
  </si>
  <si>
    <t xml:space="preserve">Sientra (SIEN)  </t>
  </si>
  <si>
    <t xml:space="preserve">RenaissanceRe Holdings (RNR)  </t>
  </si>
  <si>
    <t xml:space="preserve">Liberty TripAdvisor Holdings Series A (LTRPA)  </t>
  </si>
  <si>
    <t xml:space="preserve">Puma Biotechnology (PBYI)  </t>
  </si>
  <si>
    <t xml:space="preserve">AXIS Capital Holdings (AXS)  </t>
  </si>
  <si>
    <t xml:space="preserve">Stratasys (SSYS)  </t>
  </si>
  <si>
    <t xml:space="preserve">First United (FUNC)  </t>
  </si>
  <si>
    <t xml:space="preserve">TSR (TSRI)  </t>
  </si>
  <si>
    <t xml:space="preserve">Akari Therapeutics ADR (AKTX)  </t>
  </si>
  <si>
    <t xml:space="preserve">CVR Partners (UAN)  </t>
  </si>
  <si>
    <t xml:space="preserve">MicroStrategy (MSTR)  </t>
  </si>
  <si>
    <t xml:space="preserve">Cue Biopharma (CUE)  </t>
  </si>
  <si>
    <t xml:space="preserve">Bill Barrett (BBG)  </t>
  </si>
  <si>
    <t xml:space="preserve">China Finance Online ADR (JRJC)  </t>
  </si>
  <si>
    <t xml:space="preserve">Key Energy Services (KEG)  </t>
  </si>
  <si>
    <t xml:space="preserve">BioCryst Pharmaceuticals (BCRX)  </t>
  </si>
  <si>
    <t xml:space="preserve">New York Mortgage Trust (NYMT)  </t>
  </si>
  <si>
    <t xml:space="preserve">Habit Restaurants Cl A (HABT)  </t>
  </si>
  <si>
    <t xml:space="preserve">Evolent Health Cl A (EVH)  </t>
  </si>
  <si>
    <t xml:space="preserve">Pangaea Logistics Solutions (PANL)  </t>
  </si>
  <si>
    <t xml:space="preserve">Ranger Energy Services Cl A (RNGR)  </t>
  </si>
  <si>
    <t xml:space="preserve">Intrexon (XON)  </t>
  </si>
  <si>
    <t xml:space="preserve">Southwestern Energy (SWN)  </t>
  </si>
  <si>
    <t xml:space="preserve">51job ADR (JOBS)  </t>
  </si>
  <si>
    <t xml:space="preserve">Fate Therapeutics (FATE)  </t>
  </si>
  <si>
    <t xml:space="preserve">Ambarella (AMBA)  </t>
  </si>
  <si>
    <t xml:space="preserve">Sonoma Pharmaceuticals (SNOA)  </t>
  </si>
  <si>
    <t xml:space="preserve">Deciphera Pharmaceuticals (DCPH)  </t>
  </si>
  <si>
    <t xml:space="preserve">CytomX Therapeutics (CTMX)  </t>
  </si>
  <si>
    <t xml:space="preserve">VolitionRX (VNRX)  </t>
  </si>
  <si>
    <t xml:space="preserve">Sharing Economy International (SEII)  </t>
  </si>
  <si>
    <t xml:space="preserve">Lantheus Holdings (LNTH)  </t>
  </si>
  <si>
    <t xml:space="preserve">SilverSun Technologies (SSNT)  </t>
  </si>
  <si>
    <t xml:space="preserve">Liberty Tax (TAX)  </t>
  </si>
  <si>
    <t xml:space="preserve">Nevada Gold&amp;Casinos (UWN)  </t>
  </si>
  <si>
    <t xml:space="preserve">Splunk (SPLK)  </t>
  </si>
  <si>
    <t xml:space="preserve">Spark Therapeutics (ONCE)  </t>
  </si>
  <si>
    <t xml:space="preserve">Friedman Industries (FRD)  </t>
  </si>
  <si>
    <t xml:space="preserve">Del Frisco's Restaurant Group (DFRG)  </t>
  </si>
  <si>
    <t xml:space="preserve">Theravance Biopharma (TBPH)  </t>
  </si>
  <si>
    <t xml:space="preserve">WageWorks (WAGE)  </t>
  </si>
  <si>
    <t xml:space="preserve">Global Brass&amp;Copper Holdings (BRSS)  </t>
  </si>
  <si>
    <t xml:space="preserve">Tel Instrument Electronics (TIK)  </t>
  </si>
  <si>
    <t xml:space="preserve">Teladoc (TDOC)  </t>
  </si>
  <si>
    <t xml:space="preserve">Limelight Networks (LLNW)  </t>
  </si>
  <si>
    <t xml:space="preserve">Advanced Emissions Solutions (ADES)  </t>
  </si>
  <si>
    <t xml:space="preserve">Nabriva Therapeutics (NBRV)  </t>
  </si>
  <si>
    <t xml:space="preserve">Forescout Technologies (FSCT)  </t>
  </si>
  <si>
    <t xml:space="preserve">Sequential Brands Group (SQBG)  </t>
  </si>
  <si>
    <t xml:space="preserve">Tocagen (TOCA)  </t>
  </si>
  <si>
    <t xml:space="preserve">ICU Medical (ICUI)  </t>
  </si>
  <si>
    <t xml:space="preserve">Pernix Therapeutics Holdings (PTX)  </t>
  </si>
  <si>
    <t xml:space="preserve">NQ Mobile ADR (NQ)  </t>
  </si>
  <si>
    <t xml:space="preserve">GNC Holdings Cl A (GNC)  </t>
  </si>
  <si>
    <t xml:space="preserve">Akoustis Technologies (AKTS)  </t>
  </si>
  <si>
    <t xml:space="preserve">Horizon Global (HZN)  </t>
  </si>
  <si>
    <t xml:space="preserve">Ascena Retail Group (ASNA)  </t>
  </si>
  <si>
    <t xml:space="preserve">Heritage-Crystal Clean (HCCI)  </t>
  </si>
  <si>
    <t xml:space="preserve">AxoGen (AXGN)  </t>
  </si>
  <si>
    <t xml:space="preserve">LendingClub (LC)  </t>
  </si>
  <si>
    <t xml:space="preserve">Harmonic (HLIT)  </t>
  </si>
  <si>
    <t xml:space="preserve">Hostess Brands Cl A (TWNK)  </t>
  </si>
  <si>
    <t xml:space="preserve">Asia Pacific Wire&amp;Cable (APWC)  </t>
  </si>
  <si>
    <t xml:space="preserve">Town Sports International Holdings (CLUB)  </t>
  </si>
  <si>
    <t xml:space="preserve">Fly Leasing ADR (FLY)  </t>
  </si>
  <si>
    <t xml:space="preserve">Celadon Group (CGI)  </t>
  </si>
  <si>
    <t xml:space="preserve">Tronox Cl A (TROX)  </t>
  </si>
  <si>
    <t xml:space="preserve">Builders FirstSource (BLDR)  </t>
  </si>
  <si>
    <t xml:space="preserve">Cleveland-Cliffs (CLF)  </t>
  </si>
  <si>
    <t xml:space="preserve">Sotheby's (BID)  </t>
  </si>
  <si>
    <t xml:space="preserve">Triple-S Management Cl B (GTS)  </t>
  </si>
  <si>
    <t xml:space="preserve">AK Steel Holding (AKS)  </t>
  </si>
  <si>
    <t xml:space="preserve">RealNetworks (RNWK)  </t>
  </si>
  <si>
    <t xml:space="preserve">AmTrust Financial Services (AFSI)  </t>
  </si>
  <si>
    <t xml:space="preserve">PolarityTE (COOL)  </t>
  </si>
  <si>
    <t xml:space="preserve">Medicines (MDCO)  </t>
  </si>
  <si>
    <t xml:space="preserve">Natural Resource Partners (NRP)  </t>
  </si>
  <si>
    <t xml:space="preserve">ILG (ILG)  </t>
  </si>
  <si>
    <t xml:space="preserve">Axon Enterprise (AAXN)  </t>
  </si>
  <si>
    <t xml:space="preserve">Trinity Place Holdings (TPHS)  </t>
  </si>
  <si>
    <t xml:space="preserve">Century Aluminum (CENX)  </t>
  </si>
  <si>
    <t xml:space="preserve">Quaker Chemical (KWR)  </t>
  </si>
  <si>
    <t xml:space="preserve">Cott (COT)  </t>
  </si>
  <si>
    <t xml:space="preserve">Universal Stainless&amp;Alloy Products (USAP)  </t>
  </si>
  <si>
    <t xml:space="preserve">Atlas Financial Holdings (AFH)  </t>
  </si>
  <si>
    <t xml:space="preserve">BEST ADR (BSTI)  </t>
  </si>
  <si>
    <t xml:space="preserve">Brown-Forman Cl A (BFA)  </t>
  </si>
  <si>
    <t xml:space="preserve">icad (ICAD)  </t>
  </si>
  <si>
    <t xml:space="preserve">Appian Cl A (APPN)  </t>
  </si>
  <si>
    <t xml:space="preserve">Ferro Corp. (FOE)  </t>
  </si>
  <si>
    <t xml:space="preserve">VelocityShares VIX Medium Term ETN (VIIZ)  </t>
  </si>
  <si>
    <t xml:space="preserve">Brunswick (BC)  </t>
  </si>
  <si>
    <t xml:space="preserve">Melinta Therapeutics (MLNT)  </t>
  </si>
  <si>
    <t xml:space="preserve">Clementia Pharmaceuticals (CMTA)  </t>
  </si>
  <si>
    <t xml:space="preserve">Itron (ITRI)  </t>
  </si>
  <si>
    <t xml:space="preserve">IMPAC Mortgage Holdings (IMH)  </t>
  </si>
  <si>
    <t xml:space="preserve">Intersections (INTX)  </t>
  </si>
  <si>
    <t xml:space="preserve">ProShares UltraShort MSCI Japan (EWV)  </t>
  </si>
  <si>
    <t>Total entries</t>
  </si>
  <si>
    <t>P ( %change ) &gt; 10%</t>
  </si>
  <si>
    <t>Population Stats</t>
  </si>
  <si>
    <t>Avg (% change)</t>
  </si>
  <si>
    <t>Total Days</t>
  </si>
  <si>
    <t>Bins for Histogram</t>
  </si>
  <si>
    <t>More</t>
  </si>
  <si>
    <t>Frequency</t>
  </si>
  <si>
    <t xml:space="preserve">China Cord Blood (CO)  </t>
  </si>
  <si>
    <t xml:space="preserve">Callidus Software (CALD)  </t>
  </si>
  <si>
    <t xml:space="preserve">Extreme Networks (EXTR)  </t>
  </si>
  <si>
    <t xml:space="preserve">Green Bancorp (GNBC)  </t>
  </si>
  <si>
    <t xml:space="preserve">NetScout Systems (NTCT)  </t>
  </si>
  <si>
    <t xml:space="preserve">Autoliv (ALV)  </t>
  </si>
  <si>
    <t xml:space="preserve">Immersion (IMMR)  </t>
  </si>
  <si>
    <t xml:space="preserve">Thomson Reuters (TRI)  </t>
  </si>
  <si>
    <t xml:space="preserve">MobileIron (MOBL)  </t>
  </si>
  <si>
    <t xml:space="preserve">Chanticleer Holdings (BURG)  </t>
  </si>
  <si>
    <t xml:space="preserve">Oritani Financial (ORIT)  </t>
  </si>
  <si>
    <t xml:space="preserve">Community West Bancshares (CWBC)  </t>
  </si>
  <si>
    <t xml:space="preserve">ENDRA Life Sciences (NDRA)  </t>
  </si>
  <si>
    <t xml:space="preserve">Harris Corp. (HRS)  </t>
  </si>
  <si>
    <t xml:space="preserve">My Size (MYSZ)  </t>
  </si>
  <si>
    <t xml:space="preserve">Emmis Communications Cl A (EMMS)  </t>
  </si>
  <si>
    <t xml:space="preserve">Majesco (MJCO)  </t>
  </si>
  <si>
    <t xml:space="preserve">Select Medical Holdings (SEM)  </t>
  </si>
  <si>
    <t xml:space="preserve">Anixter International (AXE)  </t>
  </si>
  <si>
    <t xml:space="preserve">Atlantic Capital Bancshares (ACBI)  </t>
  </si>
  <si>
    <t xml:space="preserve">Accuray (ARAY)  </t>
  </si>
  <si>
    <t xml:space="preserve">Cascadian Therapeutics (CASC)  </t>
  </si>
  <si>
    <t xml:space="preserve">Momenta Pharmaceuticals (MNTA)  </t>
  </si>
  <si>
    <t xml:space="preserve">PennyMac Mortgage Investment Trust (PMT)  </t>
  </si>
  <si>
    <t xml:space="preserve">Enova International (ENVA)  </t>
  </si>
  <si>
    <t xml:space="preserve">Empire Resorts (NYNY)  </t>
  </si>
  <si>
    <t xml:space="preserve">Aware (AWRE)  </t>
  </si>
  <si>
    <t xml:space="preserve">Och-Ziff Capital Management (OZM)  </t>
  </si>
  <si>
    <t xml:space="preserve">ProShares UltraShort Oil&amp;Gas (DUG)  </t>
  </si>
  <si>
    <t xml:space="preserve">Hawaiian Holdings (HA)  </t>
  </si>
  <si>
    <t xml:space="preserve">Vocera Communications (VCRA)  </t>
  </si>
  <si>
    <t xml:space="preserve">Ocean Bio-Chem (OBCI)  </t>
  </si>
  <si>
    <t xml:space="preserve">ProShares Ultra Telecommunications (LTL)  </t>
  </si>
  <si>
    <t xml:space="preserve">Broadwind Energy (BWEN)  </t>
  </si>
  <si>
    <t xml:space="preserve">WAVE Life Sciences (WVE)  </t>
  </si>
  <si>
    <t xml:space="preserve">Avon Products (AVP)  </t>
  </si>
  <si>
    <t xml:space="preserve">DB Agriculture Double Long ETN (DAG)  </t>
  </si>
  <si>
    <t xml:space="preserve">OFG Bancorp (OFG)  </t>
  </si>
  <si>
    <t xml:space="preserve">Global Eagle Entertainment (ENT)  </t>
  </si>
  <si>
    <t xml:space="preserve">Shutterfly (SFLY)  </t>
  </si>
  <si>
    <t xml:space="preserve">Zafgen (ZFGN)  </t>
  </si>
  <si>
    <t xml:space="preserve">Sunesis Pharmaceuticals (SNSS)  </t>
  </si>
  <si>
    <t xml:space="preserve">Ply Gem Holdings (PGEM)  </t>
  </si>
  <si>
    <t xml:space="preserve">Meritor (MTOR)  </t>
  </si>
  <si>
    <t xml:space="preserve">Meta Financial Group (CASH)  </t>
  </si>
  <si>
    <t xml:space="preserve">ProShares UltraShort Bloomberg Natural Gas (KOLD)  </t>
  </si>
  <si>
    <t xml:space="preserve">Pitney Bowes (PBI)  </t>
  </si>
  <si>
    <t xml:space="preserve">Cleveland BioLabs (CBLI)  </t>
  </si>
  <si>
    <t xml:space="preserve">On Assignment (ASGN)  </t>
  </si>
  <si>
    <t xml:space="preserve">Marathon Patent Group (MARA)  </t>
  </si>
  <si>
    <t xml:space="preserve">Resolute Energy (REN)  </t>
  </si>
  <si>
    <t xml:space="preserve">Knight-Swift Transportation Holdings Cl A (KNX)  </t>
  </si>
  <si>
    <t xml:space="preserve">Wabash National (WNC)  </t>
  </si>
  <si>
    <t xml:space="preserve">Forestar Group (FOR)  </t>
  </si>
  <si>
    <t xml:space="preserve">Luby's (LUB)  </t>
  </si>
  <si>
    <t xml:space="preserve">Zai Lab ADR (ZLAB)  </t>
  </si>
  <si>
    <t xml:space="preserve">Reading International Cl B (RDIB)  </t>
  </si>
  <si>
    <t xml:space="preserve">BofI Holding (BOFI)  </t>
  </si>
  <si>
    <t xml:space="preserve">National Instruments (NATI)  </t>
  </si>
  <si>
    <t xml:space="preserve">Castlight Health Cl B (CSLT)  </t>
  </si>
  <si>
    <t xml:space="preserve">Nemaura Medical (NMRD)  </t>
  </si>
  <si>
    <t xml:space="preserve">Eldorado Resorts (ERI)  </t>
  </si>
  <si>
    <t xml:space="preserve">Take-Two Interactive Software (TTWO)  </t>
  </si>
  <si>
    <t xml:space="preserve">Electronic Arts (EA)  </t>
  </si>
  <si>
    <t xml:space="preserve">Advanced Micro Devices (AMD)  </t>
  </si>
  <si>
    <t xml:space="preserve">ObsEva (OBSV)  </t>
  </si>
  <si>
    <t xml:space="preserve">DPW Holdings (DPW)  </t>
  </si>
  <si>
    <t xml:space="preserve">Metropolitan Bank Holding (MCB)  </t>
  </si>
  <si>
    <t xml:space="preserve">First Savings Financial Group (FSFG)  </t>
  </si>
  <si>
    <t xml:space="preserve">Diana Containerships (DCIX)  </t>
  </si>
  <si>
    <t xml:space="preserve">Patriot Transportation Holding (PATI)  </t>
  </si>
  <si>
    <t xml:space="preserve">CVR Refining (CVRR)  </t>
  </si>
  <si>
    <t xml:space="preserve">Centrus Energy (LEU)  </t>
  </si>
  <si>
    <t xml:space="preserve">Cohbar (CWBR)  </t>
  </si>
  <si>
    <t xml:space="preserve">Grupo Financiero Galicia ADR (GGAL)  </t>
  </si>
  <si>
    <t xml:space="preserve">Digital Realty Trust (DLR)  </t>
  </si>
  <si>
    <t xml:space="preserve">LRAD (LRAD)  </t>
  </si>
  <si>
    <t xml:space="preserve">Cellect Biotechnology ADR (APOP)  </t>
  </si>
  <si>
    <t xml:space="preserve">Arcturus Therapeutics (ARCT)  </t>
  </si>
  <si>
    <t xml:space="preserve">Xunlei ADR (XNET)  </t>
  </si>
  <si>
    <t xml:space="preserve">Allied Healthcare Products (AHPI)  </t>
  </si>
  <si>
    <t xml:space="preserve">Benitec Biopharma ADR (BNTC)  </t>
  </si>
  <si>
    <t xml:space="preserve">Asterias Biotherapeutics (AST)  </t>
  </si>
  <si>
    <t xml:space="preserve">GSV Capital (GSVC)  </t>
  </si>
  <si>
    <t xml:space="preserve">Sundance Energy Australia ADR (SNDE)  </t>
  </si>
  <si>
    <t xml:space="preserve">Emerge Energy Services (EMES)  </t>
  </si>
  <si>
    <t xml:space="preserve">Blackhawk Network Holdings (HAWK)  </t>
  </si>
  <si>
    <t xml:space="preserve">Hornbeck Offshore Services (HOS)  </t>
  </si>
  <si>
    <t xml:space="preserve">LSI Industries (LYTS)  </t>
  </si>
  <si>
    <t xml:space="preserve">LightInTheBox Holding ADR (LITB)  </t>
  </si>
  <si>
    <t xml:space="preserve">Kamada (KMDA)  </t>
  </si>
  <si>
    <t xml:space="preserve">Wix.com (WIX)  </t>
  </si>
  <si>
    <t xml:space="preserve">ARC Group Worldwide (ARCW)  </t>
  </si>
  <si>
    <t xml:space="preserve">Schmitt Industries (SMIT)  </t>
  </si>
  <si>
    <t xml:space="preserve">Full House Resorts (FLL)  </t>
  </si>
  <si>
    <t xml:space="preserve">Mattersight (MATR)  </t>
  </si>
  <si>
    <t xml:space="preserve">Quest Resource Holding (QRHC)  </t>
  </si>
  <si>
    <t xml:space="preserve">MER Telemanagement Solutions (MTSL)  </t>
  </si>
  <si>
    <t xml:space="preserve">Catalyst Pharmaceuticals (CPRX)  </t>
  </si>
  <si>
    <t xml:space="preserve">Caledonia Mining (CMCL)  </t>
  </si>
  <si>
    <t xml:space="preserve">FRONTEO ADR (FTEO)  </t>
  </si>
  <si>
    <t xml:space="preserve">Fossil Group (FOSL)  </t>
  </si>
  <si>
    <t xml:space="preserve">Loxo Oncology (LOXO)  </t>
  </si>
  <si>
    <t xml:space="preserve">Lennar Cl A (LEN)  </t>
  </si>
  <si>
    <t xml:space="preserve">Blueprint Medicines (BPMC)  </t>
  </si>
  <si>
    <t xml:space="preserve">Superior Industries International (SUP)  </t>
  </si>
  <si>
    <t xml:space="preserve">Lennar Cl B (LENB)  </t>
  </si>
  <si>
    <t xml:space="preserve">Intelsat (I)  </t>
  </si>
  <si>
    <t xml:space="preserve">Direxion Daily MSCI Mexico Bull 3X Shares (MEXX)  </t>
  </si>
  <si>
    <t xml:space="preserve">MACOM Technology Solutions Holdings (MTSI)  </t>
  </si>
  <si>
    <t xml:space="preserve">Axsome Therapeutics (AXSM)  </t>
  </si>
  <si>
    <t xml:space="preserve">Five Prime Therapeutics (FPRX)  </t>
  </si>
  <si>
    <t xml:space="preserve">Pioneer Power Solutions (PPSI)  </t>
  </si>
  <si>
    <t xml:space="preserve">Resonant (RESN)  </t>
  </si>
  <si>
    <t xml:space="preserve">bluebird bio (BLUE)  </t>
  </si>
  <si>
    <t xml:space="preserve">Cytokinetics (CYTK)  </t>
  </si>
  <si>
    <t xml:space="preserve">Amarin ADR (AMRN)  </t>
  </si>
  <si>
    <t xml:space="preserve">Heritage Insurance Holdings (HRTG)  </t>
  </si>
  <si>
    <t xml:space="preserve">Acxiom (ACXM)  </t>
  </si>
  <si>
    <t xml:space="preserve">Reed's (REED)  </t>
  </si>
  <si>
    <t xml:space="preserve">Grupo Simec ADR (SIM)  </t>
  </si>
  <si>
    <t xml:space="preserve">Pingtan Marine Enterprise (PME)  </t>
  </si>
  <si>
    <t xml:space="preserve">Viking Therapeutics (VKTX)  </t>
  </si>
  <si>
    <t xml:space="preserve">Tesla (TSLA)  </t>
  </si>
  <si>
    <t xml:space="preserve">NII Holdings (NIHD)  </t>
  </si>
  <si>
    <t xml:space="preserve">Student Transportation (STB)  </t>
  </si>
  <si>
    <t xml:space="preserve">PHH (PHH)  </t>
  </si>
  <si>
    <t xml:space="preserve">Etsy (ETSY)  </t>
  </si>
  <si>
    <t xml:space="preserve">Syneos Health Cl A (SYNH)  </t>
  </si>
  <si>
    <t xml:space="preserve">Chico's Fas (CHS)  </t>
  </si>
  <si>
    <t xml:space="preserve">Heska (HSKA)  </t>
  </si>
  <si>
    <t xml:space="preserve">TriNet Group (TNET)  </t>
  </si>
  <si>
    <t xml:space="preserve">Veeva Systems Cl A (VEEV)  </t>
  </si>
  <si>
    <t xml:space="preserve">TiVo (TIVO)  </t>
  </si>
  <si>
    <t xml:space="preserve">Tutor Perini (TPC)  </t>
  </si>
  <si>
    <t xml:space="preserve">PRA Group (PRAA)  </t>
  </si>
  <si>
    <t xml:space="preserve">Internet Initiative Japan ADR (IIJI)  </t>
  </si>
  <si>
    <t xml:space="preserve">Federal Signal (FSS)  </t>
  </si>
  <si>
    <t xml:space="preserve">Atrion (ATRI)  </t>
  </si>
  <si>
    <t xml:space="preserve">Valeritas Holdings (VLRX)  </t>
  </si>
  <si>
    <t xml:space="preserve">Chembio Diagnostics (CEMI)  </t>
  </si>
  <si>
    <t xml:space="preserve">Nelnet Cl A (NNI)  </t>
  </si>
  <si>
    <t xml:space="preserve">New Media Investment Group (NEWM)  </t>
  </si>
  <si>
    <t xml:space="preserve">TJX (TJX)  </t>
  </si>
  <si>
    <t xml:space="preserve">Booking Holdings (BKNG)  </t>
  </si>
  <si>
    <t xml:space="preserve">Air Transport Services Group (ATSG)  </t>
  </si>
  <si>
    <t xml:space="preserve">Wayside Technology Group (WSTG)  </t>
  </si>
  <si>
    <t xml:space="preserve">Trillium Therapeutics (TRIL)  </t>
  </si>
  <si>
    <t xml:space="preserve">Transalta (TAC)  </t>
  </si>
  <si>
    <t xml:space="preserve">Bio-Rad Laboratories Cl A (BIO)  </t>
  </si>
  <si>
    <t xml:space="preserve">Herbalife (HLF)  </t>
  </si>
  <si>
    <t xml:space="preserve">Peak Resorts (SKIS)  </t>
  </si>
  <si>
    <t xml:space="preserve">Snap (SNAP)  </t>
  </si>
  <si>
    <t xml:space="preserve">Attunity (ATTU)  </t>
  </si>
  <si>
    <t xml:space="preserve">ANI Pharmaceuticals (ANIP)  </t>
  </si>
  <si>
    <t xml:space="preserve">Guaranty Bancshares (GNTY)  </t>
  </si>
  <si>
    <t xml:space="preserve">DropCar (DCAR)  </t>
  </si>
  <si>
    <t xml:space="preserve">McGrath RentCorp (MGRC)  </t>
  </si>
  <si>
    <t xml:space="preserve">Mesoblast ADR (MESO)  </t>
  </si>
  <si>
    <t xml:space="preserve">Heico (HEI)  </t>
  </si>
  <si>
    <t xml:space="preserve">Retrophin (RTRX)  </t>
  </si>
  <si>
    <t xml:space="preserve">Gridsum Holding ADR (GSUM)  </t>
  </si>
  <si>
    <t xml:space="preserve">Ophthotech (OPHT)  </t>
  </si>
  <si>
    <t xml:space="preserve">Darling Ingredients (DAR)  </t>
  </si>
  <si>
    <t xml:space="preserve">Envision Healthcare (EVHC)  </t>
  </si>
  <si>
    <t xml:space="preserve">Dillard's (DDS)  </t>
  </si>
  <si>
    <t xml:space="preserve">Douglas Dynamics (PLOW)  </t>
  </si>
  <si>
    <t xml:space="preserve">National General Holdings (NGHC)  </t>
  </si>
  <si>
    <t xml:space="preserve">Aldeyra Therapeutics (ALDX)  </t>
  </si>
  <si>
    <t xml:space="preserve">Yulong Eco-Materials (YECO)  </t>
  </si>
  <si>
    <t xml:space="preserve">Libbey (LBY)  </t>
  </si>
  <si>
    <t xml:space="preserve">LSB Industries (LXU)  </t>
  </si>
  <si>
    <t xml:space="preserve">Ascent Capital Group Series A (ASCMA)  </t>
  </si>
  <si>
    <t xml:space="preserve">Ominto (OMNT)  </t>
  </si>
  <si>
    <t xml:space="preserve">AAON (AAON)  </t>
  </si>
  <si>
    <t xml:space="preserve">AES (AES)  </t>
  </si>
  <si>
    <t xml:space="preserve">Community Health Systems (CYH)  </t>
  </si>
  <si>
    <t xml:space="preserve">Clovis Oncology (CLVS)  </t>
  </si>
  <si>
    <t xml:space="preserve">Security National Financial Cl A (SNFCA)  </t>
  </si>
  <si>
    <t xml:space="preserve">ProShares UltraShort Gold Miners (GDXS)  </t>
  </si>
  <si>
    <t xml:space="preserve">CNX Resources (CNX)  </t>
  </si>
  <si>
    <t xml:space="preserve">CryoPort (CYRX)  </t>
  </si>
  <si>
    <t xml:space="preserve">Vince Holding (VNCE)  </t>
  </si>
  <si>
    <t xml:space="preserve">Workiva Cl A (WK)  </t>
  </si>
  <si>
    <t xml:space="preserve">Delek US Holdings (DK)  </t>
  </si>
  <si>
    <t xml:space="preserve">DASAN Zhone Solutions (DZSI)  </t>
  </si>
  <si>
    <t xml:space="preserve">MakeMyTrip (MMYT)  </t>
  </si>
  <si>
    <t xml:space="preserve">Motus GI Holdings (MOTS)  </t>
  </si>
  <si>
    <t xml:space="preserve">Pegasystems (PEGA)  </t>
  </si>
  <si>
    <t xml:space="preserve">Howard Hughes (HHC)  </t>
  </si>
  <si>
    <t xml:space="preserve">Realogy Holdings (RLGY)  </t>
  </si>
  <si>
    <t xml:space="preserve">H&amp;E Equipment Services (HEES)  </t>
  </si>
  <si>
    <t xml:space="preserve">SunOpta (STKL)  </t>
  </si>
  <si>
    <t xml:space="preserve">InnerWorkings (INWK)  </t>
  </si>
  <si>
    <t xml:space="preserve">ProShares UltraShort Real Estate (SRS)  </t>
  </si>
  <si>
    <t xml:space="preserve">BlackLine (BL)  </t>
  </si>
  <si>
    <t xml:space="preserve">LifePoint Health (LPNT)  </t>
  </si>
  <si>
    <t xml:space="preserve">Impinj (PI)  </t>
  </si>
  <si>
    <t xml:space="preserve">2U (TWOU)  </t>
  </si>
  <si>
    <t xml:space="preserve">Tahoe Resources (TAHO)  </t>
  </si>
  <si>
    <t xml:space="preserve">Ikonics (IKNX)  </t>
  </si>
  <si>
    <t xml:space="preserve">Farmmi (FAMI)  </t>
  </si>
  <si>
    <t xml:space="preserve">CRISPR Therapeutics (CRSP)  </t>
  </si>
  <si>
    <t xml:space="preserve">Bridgepoint Education (BPI)  </t>
  </si>
  <si>
    <t xml:space="preserve">Formula Systems (1985) ADR (FORTY)  </t>
  </si>
  <si>
    <t xml:space="preserve">Macquarie Infrastructure (MIC)  </t>
  </si>
  <si>
    <t xml:space="preserve">Inphi (IPHI)  </t>
  </si>
  <si>
    <t xml:space="preserve">USA Technologies (USAT)  </t>
  </si>
  <si>
    <t xml:space="preserve">World Fuel Services (INT)  </t>
  </si>
  <si>
    <t xml:space="preserve">MannKind (MNKD)  </t>
  </si>
  <si>
    <t xml:space="preserve">DineEquity (DIN)  </t>
  </si>
  <si>
    <t xml:space="preserve">Novocure (NVCR)  </t>
  </si>
  <si>
    <t xml:space="preserve">Silvercrest Asset Management Group Cl A (SAMG)  </t>
  </si>
  <si>
    <t xml:space="preserve">Crocs (CROX)  </t>
  </si>
  <si>
    <t xml:space="preserve">Companhia Energetica de Minas Gerais-Cemig ADR (CIGC)  </t>
  </si>
  <si>
    <t xml:space="preserve">Thor Industries (THO)  </t>
  </si>
  <si>
    <t xml:space="preserve">Tennant (TNC)  </t>
  </si>
  <si>
    <t xml:space="preserve">MagnaChip Semiconductor (MX)  </t>
  </si>
  <si>
    <t xml:space="preserve">National Bankshares (NKSH)  </t>
  </si>
  <si>
    <t xml:space="preserve">Kosmos Energy (KOS)  </t>
  </si>
  <si>
    <t xml:space="preserve">Madison Square Garden (MSG)  </t>
  </si>
  <si>
    <t xml:space="preserve">Diana Shipping (DSX)  </t>
  </si>
  <si>
    <t xml:space="preserve">Computer Task Group (CTG)  </t>
  </si>
  <si>
    <t xml:space="preserve">NeoGenomics (NEO)  </t>
  </si>
  <si>
    <t xml:space="preserve">NL Industries (NL)  </t>
  </si>
  <si>
    <t xml:space="preserve">Endologix (ELGX)  </t>
  </si>
  <si>
    <t xml:space="preserve">HP (HPQ)  </t>
  </si>
  <si>
    <t xml:space="preserve">AquaVenture Holdings (WAAS)  </t>
  </si>
  <si>
    <t xml:space="preserve">Covanta Holding (CVA)  </t>
  </si>
  <si>
    <t xml:space="preserve">Financial Engines (FNGN)  </t>
  </si>
  <si>
    <t xml:space="preserve">Trade Desk Cl A (TTD)  </t>
  </si>
  <si>
    <t xml:space="preserve">Universal Electronics (UEIC)  </t>
  </si>
  <si>
    <t xml:space="preserve">Aspen Group (ASPU)  </t>
  </si>
  <si>
    <t xml:space="preserve">Titan International (TWI)  </t>
  </si>
  <si>
    <t xml:space="preserve">Blue Buffalo Pet Products (BUFF)  </t>
  </si>
  <si>
    <t xml:space="preserve">Integer Holdings (ITGR)  </t>
  </si>
  <si>
    <t xml:space="preserve">BJ's Restaurants (BJRI)  </t>
  </si>
  <si>
    <t xml:space="preserve">New Senior Investment Group (SNR)  </t>
  </si>
  <si>
    <t xml:space="preserve">Planet Fitness Cl A (PLNT)  </t>
  </si>
  <si>
    <t xml:space="preserve">LSC Communications (LKSD)  </t>
  </si>
  <si>
    <t xml:space="preserve">Archrock (AROC)  </t>
  </si>
  <si>
    <t xml:space="preserve">Voyager Therapeutics (VYGR)  </t>
  </si>
  <si>
    <t xml:space="preserve">U.S. Cellular (USM)  </t>
  </si>
  <si>
    <t xml:space="preserve">GoDaddy Cl A (GDDY)  </t>
  </si>
  <si>
    <t xml:space="preserve">Telephone&amp;Data Systems (TDS)  </t>
  </si>
  <si>
    <t xml:space="preserve">Hewlett Packard Enterprise (HPE)  </t>
  </si>
  <si>
    <t xml:space="preserve">AdvanSix (ASIX)  </t>
  </si>
  <si>
    <t xml:space="preserve">Spectrum Pharmaceuticals (SPPI)  </t>
  </si>
  <si>
    <t xml:space="preserve">IDT Cl B (IDT)  </t>
  </si>
  <si>
    <t xml:space="preserve">Lianluo Smart (LLIT)  </t>
  </si>
  <si>
    <t xml:space="preserve">Telaria (TLRA)  </t>
  </si>
  <si>
    <t xml:space="preserve">Rush Enterprises Cl B (RUSHB)  </t>
  </si>
  <si>
    <t xml:space="preserve">Tivity Health (TVTY)  </t>
  </si>
  <si>
    <t xml:space="preserve">Potbelly (PBPB)  </t>
  </si>
  <si>
    <t xml:space="preserve">RE/MAX Holdings Cl A (RMAX)  </t>
  </si>
  <si>
    <t xml:space="preserve">Shutterstock (SSTK)  </t>
  </si>
  <si>
    <t xml:space="preserve">Triton International (TRTN)  </t>
  </si>
  <si>
    <t xml:space="preserve">ProShares Short VIX Short-Term Futures ETF (SVXY)  </t>
  </si>
  <si>
    <t xml:space="preserve">InterDigital (IDCC)  </t>
  </si>
  <si>
    <t xml:space="preserve">Clearfield (CLFD)  </t>
  </si>
  <si>
    <t xml:space="preserve">Approach Resources (AREX)  </t>
  </si>
  <si>
    <t xml:space="preserve">Rudolph Technologies (RTEC)  </t>
  </si>
  <si>
    <t xml:space="preserve">AV Homes (AVHI)  </t>
  </si>
  <si>
    <t xml:space="preserve">Cardlytics (CDLX)  </t>
  </si>
  <si>
    <t xml:space="preserve">Community Healthcare Trust (CHCT)  </t>
  </si>
  <si>
    <t xml:space="preserve">AXT (AXTI)  </t>
  </si>
  <si>
    <t xml:space="preserve">Freshpet (FRPT)  </t>
  </si>
  <si>
    <t xml:space="preserve">Rush Enterprises Cl A (RUSHA)  </t>
  </si>
  <si>
    <t xml:space="preserve">Web.com Group (WEB)  </t>
  </si>
  <si>
    <t xml:space="preserve">Nordstrom (JWN)  </t>
  </si>
  <si>
    <t xml:space="preserve">Synchronoss Technologies (SNCR)  </t>
  </si>
  <si>
    <t xml:space="preserve">Chesapeake Energy (CHK)  </t>
  </si>
  <si>
    <t xml:space="preserve">Hertz Global Holdings (HTZ)  </t>
  </si>
  <si>
    <t xml:space="preserve">Atlas Air Worldwide Holdings (AAWW)  </t>
  </si>
  <si>
    <t xml:space="preserve">Career Education (CECO)  </t>
  </si>
  <si>
    <t xml:space="preserve">Sangamo Therapeutics (SGMO)  </t>
  </si>
  <si>
    <t xml:space="preserve">Alteryx Cl A (AYX)  </t>
  </si>
  <si>
    <t xml:space="preserve">Gulfport Energy (GPOR)  </t>
  </si>
  <si>
    <t xml:space="preserve">Avis Budget Group (CAR)  </t>
  </si>
  <si>
    <t xml:space="preserve">Five9 (FIVN)  </t>
  </si>
  <si>
    <t xml:space="preserve">Zebra Technologies Cl A (ZBRA)  </t>
  </si>
  <si>
    <t xml:space="preserve">Chart Industries (GTLS)  </t>
  </si>
  <si>
    <t xml:space="preserve">Lydall (LDL)  </t>
  </si>
  <si>
    <t xml:space="preserve">FARO Technologies (FARO)  </t>
  </si>
  <si>
    <t xml:space="preserve">SailPoint Technologies Holdings (SAIL)  </t>
  </si>
  <si>
    <t xml:space="preserve">Mellanox Technologies (MLNX)  </t>
  </si>
  <si>
    <t xml:space="preserve">Gibraltar Industries (ROCK)  </t>
  </si>
  <si>
    <t xml:space="preserve">Stamps.com (STMP)  </t>
  </si>
  <si>
    <t xml:space="preserve">Teekay Offshore Partners (TOO)  </t>
  </si>
  <si>
    <t xml:space="preserve">Workhorse Group (WKHS)  </t>
  </si>
  <si>
    <t xml:space="preserve">Scana (SCG)  </t>
  </si>
  <si>
    <t xml:space="preserve">Green Dot Cl A (GDOT)  </t>
  </si>
  <si>
    <t xml:space="preserve">ManTech International Cl A (MANT)  </t>
  </si>
  <si>
    <t xml:space="preserve">FTI Consulting (FCN)  </t>
  </si>
  <si>
    <t xml:space="preserve">Grand Canyon Education (LOPE)  </t>
  </si>
  <si>
    <t xml:space="preserve">Lexicon Pharmaceuticals (LXRX)  </t>
  </si>
  <si>
    <t xml:space="preserve">Parsley Energy Cl A (PE)  </t>
  </si>
  <si>
    <t xml:space="preserve">Acadia Healthcare (ACHC)  </t>
  </si>
  <si>
    <t xml:space="preserve">Stepan (SCL)  </t>
  </si>
  <si>
    <t xml:space="preserve">ATN International (ATNI)  </t>
  </si>
  <si>
    <t xml:space="preserve">Repligen (RGEN)  </t>
  </si>
  <si>
    <t xml:space="preserve">Bloomin' Brands (BLMN)  </t>
  </si>
  <si>
    <t xml:space="preserve">Encore Capital Group (ECPG)  </t>
  </si>
  <si>
    <t xml:space="preserve">Reven Housing REIT (RVEN)  </t>
  </si>
  <si>
    <t xml:space="preserve">ONE Group Hospitality (STKS)  </t>
  </si>
  <si>
    <t xml:space="preserve">VirnetX Holding (VHC)  </t>
  </si>
  <si>
    <t xml:space="preserve">Mindbody (MB)  </t>
  </si>
  <si>
    <t xml:space="preserve">W&amp;T Offshore (WTI)  </t>
  </si>
  <si>
    <t xml:space="preserve">SJW Group (SJW)  </t>
  </si>
  <si>
    <t xml:space="preserve">Stemline Therapeutics (STML)  </t>
  </si>
  <si>
    <t xml:space="preserve">Employers Holdings (EIG)  </t>
  </si>
  <si>
    <t xml:space="preserve">WSI Industries (WSCI)  </t>
  </si>
  <si>
    <t xml:space="preserve">Hanwha Q CELLS ADR (HQCL)  </t>
  </si>
  <si>
    <t xml:space="preserve">Interface (TILE)  </t>
  </si>
  <si>
    <t xml:space="preserve">Vishay Precision Group (VPG)  </t>
  </si>
  <si>
    <t xml:space="preserve">Fresh Del Monte Produce (FDP)  </t>
  </si>
  <si>
    <t xml:space="preserve">Quad/Graphics (QUAD)  </t>
  </si>
  <si>
    <t xml:space="preserve">WPX Energy (WPX)  </t>
  </si>
  <si>
    <t xml:space="preserve">China Eastern Airlines ADR (CEA)  </t>
  </si>
  <si>
    <t xml:space="preserve">Essendant (ESND)  </t>
  </si>
  <si>
    <t xml:space="preserve">Constellium Cl A (CSTM)  </t>
  </si>
  <si>
    <t xml:space="preserve">Chefs' Warehouse (CHEF)  </t>
  </si>
  <si>
    <t xml:space="preserve">Conduent (CNDT)  </t>
  </si>
  <si>
    <t xml:space="preserve">Hackett Group (HCKT)  </t>
  </si>
  <si>
    <t xml:space="preserve">Encore Wire (WIRE)  </t>
  </si>
  <si>
    <t xml:space="preserve">LivePerson (LPSN)  </t>
  </si>
  <si>
    <t xml:space="preserve">Phoenix New Media Cl A ADR (FENG)  </t>
  </si>
  <si>
    <t xml:space="preserve">ALJ Regional Holdings (ALJJ)  </t>
  </si>
  <si>
    <t xml:space="preserve">WEX (WEX)  </t>
  </si>
  <si>
    <t xml:space="preserve">Navigant Consulting (NCI)  </t>
  </si>
  <si>
    <t xml:space="preserve">Materialise ADR (MTLS)  </t>
  </si>
  <si>
    <t xml:space="preserve">Kirkland Lake Gold (KL)  </t>
  </si>
  <si>
    <t xml:space="preserve">Advance Auto Parts (AAP)  </t>
  </si>
  <si>
    <t xml:space="preserve">Universal Insurance Holdings (UVE)  </t>
  </si>
  <si>
    <t xml:space="preserve">Ingevity (NGVT)  </t>
  </si>
  <si>
    <t xml:space="preserve">HealthStream (HSTM)  </t>
  </si>
  <si>
    <t xml:space="preserve">Cytosorbents (CTSO)  </t>
  </si>
  <si>
    <t xml:space="preserve">Brinker International (EAT)  </t>
  </si>
  <si>
    <t xml:space="preserve">Cohen&amp;Co (COHN)  </t>
  </si>
  <si>
    <t xml:space="preserve">Ruth's Hospitality Group (RUTH)  </t>
  </si>
  <si>
    <t xml:space="preserve">Hydrogenics (HYGS)  </t>
  </si>
  <si>
    <t xml:space="preserve">NantKwest (NK)  </t>
  </si>
  <si>
    <t xml:space="preserve">CRA International (CRAI)  </t>
  </si>
  <si>
    <t xml:space="preserve">CynergisTek (CTEK)  </t>
  </si>
  <si>
    <t xml:space="preserve">ModusLink Global Solutions (MLNK)  </t>
  </si>
  <si>
    <t xml:space="preserve">Deswell Industries (DSWL)  </t>
  </si>
  <si>
    <t xml:space="preserve">Fogo de Chao (FOGO)  </t>
  </si>
  <si>
    <t xml:space="preserve">PGT Innovations (PGTI)  </t>
  </si>
  <si>
    <t xml:space="preserve">Textainer Group Holdings (TGH)  </t>
  </si>
  <si>
    <t xml:space="preserve">Noble Energy (NBL)  </t>
  </si>
  <si>
    <t xml:space="preserve">Avianca Holdings ADR (AVH)  </t>
  </si>
  <si>
    <t xml:space="preserve">Milacron Holdings (MCRN)  </t>
  </si>
  <si>
    <t xml:space="preserve">Agenus (AGEN)  </t>
  </si>
  <si>
    <t xml:space="preserve">Gazit-Globe (GZT)  </t>
  </si>
  <si>
    <t xml:space="preserve">Hingham Institution for Savings (HIFS)  </t>
  </si>
  <si>
    <t xml:space="preserve">Virtu Financial (VIRT)  </t>
  </si>
  <si>
    <t xml:space="preserve">VelocityShares 3x Long Natural Gas ETN linked to the S&amp;P GSCI Natural Gas Index Excess Return (UGAZ)  </t>
  </si>
  <si>
    <t xml:space="preserve">Golden Ocean Group (GOGL)  </t>
  </si>
  <si>
    <t xml:space="preserve">InterNAP (INAP)  </t>
  </si>
  <si>
    <t xml:space="preserve">Centrais Eletricas Brasileiras ADR (EBR)  </t>
  </si>
  <si>
    <t xml:space="preserve">Standard Motor Products (SMP)  </t>
  </si>
  <si>
    <t xml:space="preserve">NXP Semiconductors (NXPI)  </t>
  </si>
  <si>
    <t xml:space="preserve">BIO-key International (BKYI)  </t>
  </si>
  <si>
    <t xml:space="preserve">Ascendis Pharma ADR (ASND)  </t>
  </si>
  <si>
    <t xml:space="preserve">CyberOptics (CYBE)  </t>
  </si>
  <si>
    <t xml:space="preserve">TreeHouse Foods (THS)  </t>
  </si>
  <si>
    <t xml:space="preserve">CAI International (CAI)  </t>
  </si>
  <si>
    <t xml:space="preserve">Medical Transcription Billing (MTBC)  </t>
  </si>
  <si>
    <t xml:space="preserve">Gentherm (THRM)  </t>
  </si>
  <si>
    <t xml:space="preserve">Mosaic (MOS)  </t>
  </si>
  <si>
    <t xml:space="preserve">Navigators Group (NAVG)  </t>
  </si>
  <si>
    <t xml:space="preserve">United States Steel (X)  </t>
  </si>
  <si>
    <t xml:space="preserve">Cowen Cl A (COWN)  </t>
  </si>
  <si>
    <t xml:space="preserve">US Ecology (ECOL)  </t>
  </si>
  <si>
    <t xml:space="preserve">Ditech Holding (DHCP)  </t>
  </si>
  <si>
    <t xml:space="preserve">Bellicum Pharmaceuticals (BLCM)  </t>
  </si>
  <si>
    <t xml:space="preserve">Installed Building Products (IBP)  </t>
  </si>
  <si>
    <t xml:space="preserve">Net 1 U.E.P.S. Technologies (UEPS)  </t>
  </si>
  <si>
    <t xml:space="preserve">Globant (GLOB)  </t>
  </si>
  <si>
    <t xml:space="preserve">Emcore (EMKR)  </t>
  </si>
  <si>
    <t xml:space="preserve">McClatchy Cl A (MNI)  </t>
  </si>
  <si>
    <t xml:space="preserve">Varonis Systems (VRNS)  </t>
  </si>
  <si>
    <t xml:space="preserve">Novavax (NVAX)  </t>
  </si>
  <si>
    <t xml:space="preserve">NMI Holdings Cl A (NMIH)  </t>
  </si>
  <si>
    <t xml:space="preserve">Kura Oncology (KURA)  </t>
  </si>
  <si>
    <t xml:space="preserve">TimkenSteel (TMST)  </t>
  </si>
  <si>
    <t xml:space="preserve">Jack in the Box (JACK)  </t>
  </si>
  <si>
    <t xml:space="preserve">Gerdau ADR (GGB)  </t>
  </si>
  <si>
    <t xml:space="preserve">Chipotle Mexican Grill Cl (CMG)  </t>
  </si>
  <si>
    <t xml:space="preserve">WisdomTree U.S. Export&amp;Multinational Fund (WEXP)  </t>
  </si>
  <si>
    <t xml:space="preserve">WisdomTree Investments (WETF)  </t>
  </si>
  <si>
    <t xml:space="preserve">Bonanza Creek Energy (BCEI)  </t>
  </si>
  <si>
    <t xml:space="preserve">Kemper Corp (KMPR)  </t>
  </si>
  <si>
    <t xml:space="preserve">MBIA (MBI)  </t>
  </si>
  <si>
    <t xml:space="preserve">Rosetta Stone (RST)  </t>
  </si>
  <si>
    <t xml:space="preserve">Identiv (INVE)  </t>
  </si>
  <si>
    <t xml:space="preserve">Commercial Metals (CMC)  </t>
  </si>
  <si>
    <t xml:space="preserve">Ameri Holdings (AMRH)  </t>
  </si>
  <si>
    <t xml:space="preserve">SolarEdge Technologies (SEDG)  </t>
  </si>
  <si>
    <t xml:space="preserve">Syntel (SYNT)  </t>
  </si>
  <si>
    <t xml:space="preserve">Health Insurance Innovations Cl A (HIIQ)  </t>
  </si>
  <si>
    <t xml:space="preserve">Apricus Biosciences (APRI)  </t>
  </si>
  <si>
    <t xml:space="preserve">Andersons (ANDE)  </t>
  </si>
  <si>
    <t xml:space="preserve">Liberty TripAdvisor Holdings Series B (LTRPB)  </t>
  </si>
  <si>
    <t xml:space="preserve">Bank of Butterfield (NTB)  </t>
  </si>
  <si>
    <t xml:space="preserve">Fluidigm (FLDM)  </t>
  </si>
  <si>
    <t xml:space="preserve">A. Schulman (SHLM)  </t>
  </si>
  <si>
    <t xml:space="preserve">Materion (MTRN)  </t>
  </si>
  <si>
    <t xml:space="preserve">CBIZ Inc (CBZ)  </t>
  </si>
  <si>
    <t xml:space="preserve">EQT (EQT)  </t>
  </si>
  <si>
    <t xml:space="preserve">US Foods Holding (USFD)  </t>
  </si>
  <si>
    <t xml:space="preserve">Pool (POOL)  </t>
  </si>
  <si>
    <t xml:space="preserve">CenturyLink (CTL)  </t>
  </si>
  <si>
    <t xml:space="preserve">North American Energy Partners (NOA)  </t>
  </si>
  <si>
    <t xml:space="preserve">Aaron's Inc. (AAN)  </t>
  </si>
  <si>
    <t xml:space="preserve">Perma-Fix Environmental Services (PESI)  </t>
  </si>
  <si>
    <t xml:space="preserve">Intercept Pharmaceuticals (ICPT)  </t>
  </si>
  <si>
    <t xml:space="preserve">Gogo (GOGO)  </t>
  </si>
  <si>
    <t xml:space="preserve">Yandex (YNDX)  </t>
  </si>
  <si>
    <t xml:space="preserve">Acorn International ADR (ATV)  </t>
  </si>
  <si>
    <t xml:space="preserve">CyberArk Software (CYBR)  </t>
  </si>
  <si>
    <t xml:space="preserve">Ares Management (ARES)  </t>
  </si>
  <si>
    <t xml:space="preserve">Teva Pharmaceutical Industries ADR (TEVA)  </t>
  </si>
  <si>
    <t xml:space="preserve">Alkermes (ALKS)  </t>
  </si>
  <si>
    <t xml:space="preserve">Nano Dimension ADR (NNDM)  </t>
  </si>
  <si>
    <t xml:space="preserve">Clear Channel Outdoor Holdings (CCO)  </t>
  </si>
  <si>
    <t xml:space="preserve">Accelerate Diagnostics (AXDX)  </t>
  </si>
  <si>
    <t xml:space="preserve">Martin Midstream Partners (MMLP)  </t>
  </si>
  <si>
    <t xml:space="preserve">Omega Flex (OFLX)  </t>
  </si>
  <si>
    <t xml:space="preserve">United Fire Group (UFCS)  </t>
  </si>
  <si>
    <t xml:space="preserve">Ironwood Pharmaceuticals Cl A (IRWD)  </t>
  </si>
  <si>
    <t xml:space="preserve">Aviat Networks (AVNW)  </t>
  </si>
  <si>
    <t xml:space="preserve">Cardiovascular Systems (CSII)  </t>
  </si>
  <si>
    <t xml:space="preserve">Seacoast Banking of Florida (SBCF)  </t>
  </si>
  <si>
    <t xml:space="preserve">RingCentral Cl A (RNG)  </t>
  </si>
  <si>
    <t xml:space="preserve">Vanda Pharmaceuticals (VNDA)  </t>
  </si>
  <si>
    <t xml:space="preserve">Jianpu Technology ADR (JT)  </t>
  </si>
  <si>
    <t xml:space="preserve">Criteo ADR (CRTO)  </t>
  </si>
  <si>
    <t xml:space="preserve">DBV Technologies ADR (DBVT)  </t>
  </si>
  <si>
    <t xml:space="preserve">Regional Management (RM)  </t>
  </si>
  <si>
    <t xml:space="preserve">Infinity Property&amp;Casualty (IPCC)  </t>
  </si>
  <si>
    <t xml:space="preserve">Layne Christensen (LAYN)  </t>
  </si>
  <si>
    <t xml:space="preserve">Quotient Technology (QUOT)  </t>
  </si>
  <si>
    <t xml:space="preserve">Twilio Cl A (TWLO)  </t>
  </si>
  <si>
    <t xml:space="preserve">ACCO Brands (ACCO)  </t>
  </si>
  <si>
    <t xml:space="preserve">Sabre (SABR)  </t>
  </si>
  <si>
    <t xml:space="preserve">Tower International (TOWR)  </t>
  </si>
  <si>
    <t xml:space="preserve">VelocityShares Daily Inverse VIX Short Term ETN (XIV)  </t>
  </si>
  <si>
    <t xml:space="preserve">Colliers International Group (CIGI)  </t>
  </si>
  <si>
    <t xml:space="preserve">Genesco (GCO)  </t>
  </si>
  <si>
    <t xml:space="preserve">Innovative Solutions&amp;Support (ISSC)  </t>
  </si>
  <si>
    <t xml:space="preserve">SteadyMed (STDY)  </t>
  </si>
  <si>
    <t xml:space="preserve">Shineco (TYHT)  </t>
  </si>
  <si>
    <t xml:space="preserve">Espey Manufacturing&amp;Electronics (ESP)  </t>
  </si>
  <si>
    <t xml:space="preserve">Interpublic Group (IPG)  </t>
  </si>
  <si>
    <t xml:space="preserve">Summit Materials Cl A (SUM)  </t>
  </si>
  <si>
    <t xml:space="preserve">IAMGOLD (IAG)  </t>
  </si>
  <si>
    <t xml:space="preserve">Fitbit (FIT)  </t>
  </si>
  <si>
    <t xml:space="preserve">AnaptysBio (ANAB)  </t>
  </si>
  <si>
    <t xml:space="preserve">China Xiniya Fashion ADR (XNY)  </t>
  </si>
  <si>
    <t xml:space="preserve">Abiomed (ABMD)  </t>
  </si>
  <si>
    <t xml:space="preserve">Seabridge Gold (SA)  </t>
  </si>
  <si>
    <t xml:space="preserve">Direxion Daily CSI China Internet Index Bull 2X Shares (CWEB)  </t>
  </si>
  <si>
    <t xml:space="preserve">Coeur Mining (CDE)  </t>
  </si>
  <si>
    <t xml:space="preserve">Epizyme (EPZM)  </t>
  </si>
  <si>
    <t xml:space="preserve">Bristow Group (BRS)  </t>
  </si>
  <si>
    <t xml:space="preserve">Veeco Instruments (VECO)  </t>
  </si>
  <si>
    <t xml:space="preserve">Edgewell Personal Care (EPC)  </t>
  </si>
  <si>
    <t xml:space="preserve">Nova Measuring Instruments (NVMI)  </t>
  </si>
  <si>
    <t xml:space="preserve">Under Armour Cl A (UAA)  </t>
  </si>
  <si>
    <t xml:space="preserve">Chegg (CHGG)  </t>
  </si>
  <si>
    <t xml:space="preserve">Under Armour Cl C (UA)  </t>
  </si>
  <si>
    <t xml:space="preserve">ClearSign Combustion (CLIR)  </t>
  </si>
  <si>
    <t xml:space="preserve">Amber Road (AMBR)  </t>
  </si>
  <si>
    <t xml:space="preserve">Instructure (INST)  </t>
  </si>
  <si>
    <t xml:space="preserve">Innoviva (INVA)  </t>
  </si>
  <si>
    <t xml:space="preserve">Seven Stars Cloud Group (SSC)  </t>
  </si>
  <si>
    <t xml:space="preserve">Erin Energy (ERN)  </t>
  </si>
  <si>
    <t xml:space="preserve">RADCOM (RDCM)  </t>
  </si>
  <si>
    <t xml:space="preserve">AmerisourceBergen (ABC)  </t>
  </si>
  <si>
    <t xml:space="preserve">Aptargroup (ATR)  </t>
  </si>
  <si>
    <t xml:space="preserve">On Deck Capital (ONDK)  </t>
  </si>
  <si>
    <t xml:space="preserve">Dun&amp;Bradstreet (DNB)  </t>
  </si>
  <si>
    <t xml:space="preserve">PC Connection (CNXN)  </t>
  </si>
  <si>
    <t xml:space="preserve">Civitas Solutions (CIVI)  </t>
  </si>
  <si>
    <t xml:space="preserve">Kforce (KFRC)  </t>
  </si>
  <si>
    <t xml:space="preserve">Qualys (QLYS)  </t>
  </si>
  <si>
    <t xml:space="preserve">Hardinge (HDNG)  </t>
  </si>
  <si>
    <t xml:space="preserve">Sogou ADR (SOGO)  </t>
  </si>
  <si>
    <t xml:space="preserve">Karyopharm Therapeutics (KPTI)  </t>
  </si>
  <si>
    <t xml:space="preserve">J.Jill (JILL)  </t>
  </si>
  <si>
    <t xml:space="preserve">Werner Enterprises (WERN)  </t>
  </si>
  <si>
    <t xml:space="preserve">Louisiana-Pacific (LPX)  </t>
  </si>
  <si>
    <t xml:space="preserve">Aberdeen Chile Fund (CH)  </t>
  </si>
  <si>
    <t xml:space="preserve">Greenhill (GHL)  </t>
  </si>
  <si>
    <t xml:space="preserve">Addus HomeCare (ADUS)  </t>
  </si>
  <si>
    <t xml:space="preserve">Novan (NOVN)  </t>
  </si>
  <si>
    <t xml:space="preserve">Vipshop Holdings ADR (VIPS)  </t>
  </si>
  <si>
    <t xml:space="preserve">Tucows (TCX)  </t>
  </si>
  <si>
    <t xml:space="preserve">China Information Technology (CNIT)  </t>
  </si>
  <si>
    <t xml:space="preserve">Wesco Aircraft Holdings (WAIR)  </t>
  </si>
  <si>
    <t xml:space="preserve">Inpixon (INPX)  </t>
  </si>
  <si>
    <t xml:space="preserve">Unisys (UIS)  </t>
  </si>
  <si>
    <t xml:space="preserve">MCBC Holdings (MCFT)  </t>
  </si>
  <si>
    <t xml:space="preserve">Park City Group (PCYG)  </t>
  </si>
  <si>
    <t xml:space="preserve">Avinger (AVGR)  </t>
  </si>
  <si>
    <t xml:space="preserve">Malibu Boats Cl A (MBUU)  </t>
  </si>
  <si>
    <t xml:space="preserve">Qumu (QUMU)  </t>
  </si>
  <si>
    <t xml:space="preserve">Imperva (IMPV)  </t>
  </si>
  <si>
    <t xml:space="preserve">Farmers National Banc (FMNB)  </t>
  </si>
  <si>
    <t xml:space="preserve">FireEye (FEYE)  </t>
  </si>
  <si>
    <t xml:space="preserve">CSW Industrials (CSWI)  </t>
  </si>
  <si>
    <t xml:space="preserve">Aerohive Networks (HIVE)  </t>
  </si>
  <si>
    <t xml:space="preserve">Mattel (MAT)  </t>
  </si>
  <si>
    <t xml:space="preserve">Ensign Group (ENSG)  </t>
  </si>
  <si>
    <t xml:space="preserve">JMP Group (JMP)  </t>
  </si>
  <si>
    <t xml:space="preserve">iPath US Treasury Long Bond Bear ETN (DLBS)  </t>
  </si>
  <si>
    <t xml:space="preserve">Mercury Systems (MRCY)  </t>
  </si>
  <si>
    <t xml:space="preserve">Skechers USA Cl A (SKX)  </t>
  </si>
  <si>
    <t xml:space="preserve">GSI Technology (GSIT)  </t>
  </si>
  <si>
    <t xml:space="preserve">HNI (HNI)  </t>
  </si>
  <si>
    <t xml:space="preserve">Hudson Global (HSON)  </t>
  </si>
  <si>
    <t xml:space="preserve">Victory Capital Holdings Cl A (VCTR)  </t>
  </si>
  <si>
    <t xml:space="preserve">Renewable Energy Group (REGI)  </t>
  </si>
  <si>
    <t xml:space="preserve">American Woodmark (AMWD)  </t>
  </si>
  <si>
    <t xml:space="preserve">Home Federal Bancorp of Louisiana (HFBL)  </t>
  </si>
  <si>
    <t xml:space="preserve">NVIDIA (NVDA)  </t>
  </si>
  <si>
    <t xml:space="preserve">CTI BioPharma (CTIC)  </t>
  </si>
  <si>
    <t xml:space="preserve">Yangtze River Development (YERR)  </t>
  </si>
  <si>
    <t xml:space="preserve">Match Group (MTCH)  </t>
  </si>
  <si>
    <t xml:space="preserve">Aevi Genomic Medicine (GNMX)  </t>
  </si>
  <si>
    <t xml:space="preserve">Monolithic Power Systems (MPWR)  </t>
  </si>
  <si>
    <t xml:space="preserve">Ingles Markets Cl A (IMKTA)  </t>
  </si>
  <si>
    <t xml:space="preserve">Taubman Centers (TCO)  </t>
  </si>
  <si>
    <t xml:space="preserve">Dollar Tree (DLTR)  </t>
  </si>
  <si>
    <t xml:space="preserve">Central Puerto ADR (CEPU)  </t>
  </si>
  <si>
    <t xml:space="preserve">Urban Outfitters (URBN)  </t>
  </si>
  <si>
    <t xml:space="preserve">DXC Technology (DXC)  </t>
  </si>
  <si>
    <t xml:space="preserve">Landec (LNDC)  </t>
  </si>
  <si>
    <t xml:space="preserve">Infinera (INFN)  </t>
  </si>
  <si>
    <t xml:space="preserve">GrubHub (GRUB)  </t>
  </si>
  <si>
    <t xml:space="preserve">Coty Cl A (COTY)  </t>
  </si>
  <si>
    <t xml:space="preserve">Just Energy Group (JE)  </t>
  </si>
  <si>
    <t xml:space="preserve">Vista Outdoor (VSTO)  </t>
  </si>
  <si>
    <t xml:space="preserve">Virtusa (VRTU)  </t>
  </si>
  <si>
    <t xml:space="preserve">New York Times Cl A (NYT)  </t>
  </si>
  <si>
    <t xml:space="preserve">Borqs Technologies (BRQS)  </t>
  </si>
  <si>
    <t xml:space="preserve">Travelzoo (TZOO)  </t>
  </si>
  <si>
    <t xml:space="preserve">Central Garden&amp;Pet (CENT)  </t>
  </si>
  <si>
    <t xml:space="preserve">Avalon Holdings (AWX)  </t>
  </si>
  <si>
    <t xml:space="preserve">Central Garden&amp;Pet Cl A (CENTA)  </t>
  </si>
  <si>
    <t xml:space="preserve">Invacare (IVC)  </t>
  </si>
  <si>
    <t xml:space="preserve">Advanced Drainage Systems (WMS)  </t>
  </si>
  <si>
    <t xml:space="preserve">Woodward (WWD)  </t>
  </si>
  <si>
    <t xml:space="preserve">Viacom Cl B (VIAB)  </t>
  </si>
  <si>
    <t xml:space="preserve">Synaptics (SYNA)  </t>
  </si>
  <si>
    <t xml:space="preserve">Barnwell Industries (BRN)  </t>
  </si>
  <si>
    <t xml:space="preserve">Cactus Cl A (WHD)  </t>
  </si>
  <si>
    <t xml:space="preserve">Green Plains (GPRE)  </t>
  </si>
  <si>
    <t xml:space="preserve">EnerSys (ENS)  </t>
  </si>
  <si>
    <t xml:space="preserve">Diodes (DIOD)  </t>
  </si>
  <si>
    <t xml:space="preserve">Evolution Petroleum (EPM)  </t>
  </si>
  <si>
    <t xml:space="preserve">Model N (MODN)  </t>
  </si>
  <si>
    <t xml:space="preserve">tronc (TRNC)  </t>
  </si>
  <si>
    <t xml:space="preserve">Weight Watchers International (WTW)  </t>
  </si>
  <si>
    <t xml:space="preserve">Perry Ellis International (PERY)  </t>
  </si>
  <si>
    <t xml:space="preserve">PROS Holdings (PRO)  </t>
  </si>
  <si>
    <t xml:space="preserve">Cavco Industries (CVCO)  </t>
  </si>
  <si>
    <t xml:space="preserve">IEC Electronics (IEC)  </t>
  </si>
  <si>
    <t xml:space="preserve">Blue Bird (BLBD)  </t>
  </si>
  <si>
    <t xml:space="preserve">Brookdale Senior Living (BKD)  </t>
  </si>
  <si>
    <t xml:space="preserve">Nanometrics (NANO)  </t>
  </si>
  <si>
    <t xml:space="preserve">SPS Commerce (SPSC)  </t>
  </si>
  <si>
    <t xml:space="preserve">Misonix (MSON)  </t>
  </si>
  <si>
    <t xml:space="preserve">New Relic (NEWR)  </t>
  </si>
  <si>
    <t xml:space="preserve">Hasbro (HAS)  </t>
  </si>
  <si>
    <t xml:space="preserve">ESCO Technologies (ESE)  </t>
  </si>
  <si>
    <t xml:space="preserve">TerraForm Power (TERP)  </t>
  </si>
  <si>
    <t xml:space="preserve">MEI Pharma (MEIP)  </t>
  </si>
  <si>
    <t xml:space="preserve">Blackbaud (BLKB)  </t>
  </si>
  <si>
    <t xml:space="preserve">Aspen Aerogels (ASPN)  </t>
  </si>
  <si>
    <t xml:space="preserve">Sprint (S)  </t>
  </si>
  <si>
    <t xml:space="preserve">Array BioPharma (ARRY)  </t>
  </si>
  <si>
    <t xml:space="preserve">Ultimate Software Group (ULTI)  </t>
  </si>
  <si>
    <t xml:space="preserve">Ballantyne Strong (BTN)  </t>
  </si>
  <si>
    <t xml:space="preserve">Capital Senior Living (CSU)  </t>
  </si>
  <si>
    <t xml:space="preserve">Fabrinet (FN)  </t>
  </si>
  <si>
    <t xml:space="preserve">Lumentum Holdings (LITE)  </t>
  </si>
  <si>
    <t xml:space="preserve">TripAdvisor (TRIP)  </t>
  </si>
  <si>
    <t xml:space="preserve">Phibro Animal Health (PAHC)  </t>
  </si>
  <si>
    <t xml:space="preserve">DB Commodity Double Long ETN (DYY)  </t>
  </si>
  <si>
    <t xml:space="preserve">Redfin (RDFN)  </t>
  </si>
  <si>
    <t xml:space="preserve">Skyworks Solutions (SWKS)  </t>
  </si>
  <si>
    <t xml:space="preserve">Flexion Therapeutics (FLXN)  </t>
  </si>
  <si>
    <t xml:space="preserve">Westmoreland Resource Partners (WMLP)  </t>
  </si>
  <si>
    <t xml:space="preserve">Newell Brands (NWL)  </t>
  </si>
  <si>
    <t xml:space="preserve">ETFMG Alternative Harvest ETF (MJX)  </t>
  </si>
  <si>
    <t xml:space="preserve">Salisbury Bancorp (SAL)  </t>
  </si>
  <si>
    <t xml:space="preserve">Haemonetics (HAE)  </t>
  </si>
  <si>
    <t xml:space="preserve">ProShares Ultra MSCI Brazil (UBR)  </t>
  </si>
  <si>
    <t xml:space="preserve">Ring Energy (REI)  </t>
  </si>
  <si>
    <t xml:space="preserve">Tapestry (TPR)  </t>
  </si>
  <si>
    <t xml:space="preserve">Zogenix (ZGNX)  </t>
  </si>
  <si>
    <t xml:space="preserve">TIM Participacoes ADR (TSU)  </t>
  </si>
  <si>
    <t xml:space="preserve">Safe Bulkers (SB)  </t>
  </si>
  <si>
    <t xml:space="preserve">S&amp;P Global (SPGI)  </t>
  </si>
  <si>
    <t xml:space="preserve">Community Bankers Trust (ESXB)  </t>
  </si>
  <si>
    <t xml:space="preserve">Transportadora de Gas del Sur ADR (TGS)  </t>
  </si>
  <si>
    <t xml:space="preserve">Finisar (FNSR)  </t>
  </si>
  <si>
    <t xml:space="preserve">Hexindai ADR (HX)  </t>
  </si>
  <si>
    <t xml:space="preserve">Second Sight Medical Products (EYES)  </t>
  </si>
  <si>
    <t xml:space="preserve">Aytu BioScience (AYTU)  </t>
  </si>
  <si>
    <t xml:space="preserve">Direxion Daily Regional Banks Bear 3X Shares (WDRW)  </t>
  </si>
  <si>
    <t xml:space="preserve">ProShares UltraShort MSCI EAFE (EFU)  </t>
  </si>
  <si>
    <t xml:space="preserve">ProShares UltraShort FTSE Europe (EPV)  </t>
  </si>
  <si>
    <t xml:space="preserve">PowerShares DB G10 Currency Harvest Fund (DBV)  </t>
  </si>
  <si>
    <t xml:space="preserve">ProShares UltraShort Consumer Goods (SZK)  </t>
  </si>
  <si>
    <t xml:space="preserve">Hamilton Bancorp (HBK)  </t>
  </si>
  <si>
    <t xml:space="preserve">China Lending (CLDC)  </t>
  </si>
  <si>
    <t xml:space="preserve">Sonic Foundry (SOFO)  </t>
  </si>
  <si>
    <t xml:space="preserve">China Southern Airlines ADR (ZNH)  </t>
  </si>
  <si>
    <t xml:space="preserve">McEwen Mining (MUX)  </t>
  </si>
  <si>
    <t xml:space="preserve">ProShares Short Dow30 (DOG)  </t>
  </si>
  <si>
    <t xml:space="preserve">Haynes International (HAYN)  </t>
  </si>
  <si>
    <t xml:space="preserve">USA Truck (USAK)  </t>
  </si>
  <si>
    <t xml:space="preserve">Johnson Outdoors Cl A (JOUT)  </t>
  </si>
  <si>
    <t xml:space="preserve">Viavi Solutions (VIAV)  </t>
  </si>
  <si>
    <t xml:space="preserve">Socket Mobile (SCKT)  </t>
  </si>
  <si>
    <t xml:space="preserve">FTS International (FTSI)  </t>
  </si>
  <si>
    <t xml:space="preserve">athenahealth (ATHN)  </t>
  </si>
  <si>
    <t xml:space="preserve">Mobile Mini (MINI)  </t>
  </si>
  <si>
    <t xml:space="preserve">Tableau Software (DATA)  </t>
  </si>
  <si>
    <t xml:space="preserve">ProSharesUltraShortSilver (ZSL)  </t>
  </si>
  <si>
    <t xml:space="preserve">La Jolla Pharmaceutical (LJPC)  </t>
  </si>
  <si>
    <t xml:space="preserve">Deckers Outdoor (DECK)  </t>
  </si>
  <si>
    <t xml:space="preserve">China Internet Nationwide Financial Services (CIFS)  </t>
  </si>
  <si>
    <t xml:space="preserve">Cimpress (CMPR)  </t>
  </si>
  <si>
    <t xml:space="preserve">Dynavax Technologies (DVAX)  </t>
  </si>
  <si>
    <t xml:space="preserve">Marlin Business Services (MRLN)  </t>
  </si>
  <si>
    <t xml:space="preserve">Sony ADR (SNE)  </t>
  </si>
  <si>
    <t xml:space="preserve">Citigroup Global Markets Holdings VelocityShares ETN Daily 4X Long USD vs. AUD Index (DAUD)  </t>
  </si>
  <si>
    <t xml:space="preserve">QCR Holdings (QCRH)  </t>
  </si>
  <si>
    <t xml:space="preserve">Twin Disc (TWIN)  </t>
  </si>
  <si>
    <t xml:space="preserve">Motorola Solutions (MSI)  </t>
  </si>
  <si>
    <t xml:space="preserve">MiX Telematics ADR (MIXT)  </t>
  </si>
  <si>
    <t xml:space="preserve">Ashland Global Holdings (ASH)  </t>
  </si>
  <si>
    <t xml:space="preserve">Leaf Group (LFGR)  </t>
  </si>
  <si>
    <t xml:space="preserve">KapStone Paper&amp;Packaging (KS)  </t>
  </si>
  <si>
    <t xml:space="preserve">Dr Pepper Snapple Group (DPS)  </t>
  </si>
  <si>
    <t xml:space="preserve">Matson (MATX)  </t>
  </si>
  <si>
    <t xml:space="preserve">Ablynx ADR (ABLX)  </t>
  </si>
  <si>
    <t xml:space="preserve">Maxim Integrated Products (MXIM)  </t>
  </si>
  <si>
    <t xml:space="preserve">Verastem (VSTM)  </t>
  </si>
  <si>
    <t xml:space="preserve">RedHill Biopharma ADR (RDHL)  </t>
  </si>
  <si>
    <t xml:space="preserve">AveXis (AVXS)  </t>
  </si>
  <si>
    <t xml:space="preserve">International Speedway Cl A (ISCA)  </t>
  </si>
  <si>
    <t xml:space="preserve">FibroGen (FGEN)  </t>
  </si>
  <si>
    <t xml:space="preserve">Atlantic American (AAME)  </t>
  </si>
  <si>
    <t xml:space="preserve">Kemet (KEM)  </t>
  </si>
  <si>
    <t xml:space="preserve">Iovance Biotherapeutics (IOVA)  </t>
  </si>
  <si>
    <t xml:space="preserve">CURO Group Holdings (CURO)  </t>
  </si>
  <si>
    <t xml:space="preserve">Surgery Partners (SGRY)  </t>
  </si>
  <si>
    <t xml:space="preserve">Las Vegas Sands (LVS)  </t>
  </si>
  <si>
    <t xml:space="preserve">Biomerica (BMRA)  </t>
  </si>
  <si>
    <t xml:space="preserve">Bioverativ (BIVV)  </t>
  </si>
  <si>
    <t xml:space="preserve">Validus Holdings (VR)  </t>
  </si>
  <si>
    <t xml:space="preserve">Juno Therapeutics (JUNO)  </t>
  </si>
  <si>
    <t xml:space="preserve">Lantronix (LTRX)  </t>
  </si>
  <si>
    <t xml:space="preserve">Agios Pharmaceuticals (AGIO)  </t>
  </si>
  <si>
    <t xml:space="preserve">FirstEnergy (FE)  </t>
  </si>
  <si>
    <t xml:space="preserve">Synergy Pharmaceuticals (SGYP)  </t>
  </si>
  <si>
    <t xml:space="preserve">Nuance Communications (NUAN)  </t>
  </si>
  <si>
    <t xml:space="preserve">Ultragenyx Pharmaceutical (RARE)  </t>
  </si>
  <si>
    <t xml:space="preserve">Axovant Sciences (AXON)  </t>
  </si>
  <si>
    <t xml:space="preserve">Papa John's International (PZZA)  </t>
  </si>
  <si>
    <t xml:space="preserve">Team (TISI)  </t>
  </si>
  <si>
    <t xml:space="preserve">ACADIA Pharmaceuticals (ACAD)  </t>
  </si>
  <si>
    <t xml:space="preserve">EP Energy Cl A (EPE)  </t>
  </si>
  <si>
    <t xml:space="preserve">SunCoke Energy Partners (SXCP)  </t>
  </si>
  <si>
    <t xml:space="preserve">Forward Industries (FORD)  </t>
  </si>
  <si>
    <t xml:space="preserve">ResMed (RMD)  </t>
  </si>
  <si>
    <t xml:space="preserve">Fidelity D&amp;D Bancorp (FDBC)  </t>
  </si>
  <si>
    <t xml:space="preserve">Argos Therapeutics (ARGS)  </t>
  </si>
  <si>
    <t xml:space="preserve">Logitech International (LOGI)  </t>
  </si>
  <si>
    <t xml:space="preserve">BiondVax Pharmaceuticals ADR (BVXV)  </t>
  </si>
  <si>
    <t xml:space="preserve">LG Display ADR (LPL)  </t>
  </si>
  <si>
    <t xml:space="preserve">ProShares Ultra Bloomberg Natural Gas (BOIL)  </t>
  </si>
  <si>
    <t xml:space="preserve">World Acceptance (WRLD)  </t>
  </si>
  <si>
    <t xml:space="preserve">Eclipse Resources (ECR)  </t>
  </si>
  <si>
    <t xml:space="preserve">Axcelis Technologies (ACLS)  </t>
  </si>
  <si>
    <t xml:space="preserve">EXACT Sciences (EXAS)  </t>
  </si>
  <si>
    <t xml:space="preserve">Therapix Biosciences ADR (TRPX)  </t>
  </si>
  <si>
    <t xml:space="preserve">Evertec (EVTC)  </t>
  </si>
  <si>
    <t xml:space="preserve">Amicus Therapeutics (FOLD)  </t>
  </si>
  <si>
    <t xml:space="preserve">Energy XXI Gulf Coast (EXXI)  </t>
  </si>
  <si>
    <t xml:space="preserve">Sage Therapeutics (SAGE)  </t>
  </si>
  <si>
    <t xml:space="preserve">Evolving Systems (EVOL)  </t>
  </si>
  <si>
    <t xml:space="preserve">TESARO (TSRO)  </t>
  </si>
  <si>
    <t xml:space="preserve">New Gold (NGD)  </t>
  </si>
  <si>
    <t xml:space="preserve">Consumer Portfolio Services (CPSS)  </t>
  </si>
  <si>
    <t xml:space="preserve">Mitcham Industries (MIND)  </t>
  </si>
  <si>
    <t xml:space="preserve">SAExploration Holdings (SAEX)  </t>
  </si>
  <si>
    <t xml:space="preserve">Canada Goose Holdings (GOOS)  </t>
  </si>
  <si>
    <t xml:space="preserve">Lee Enterprises (LEE)  </t>
  </si>
  <si>
    <t xml:space="preserve">Innovative Industrial Properties (IIPR)  </t>
  </si>
  <si>
    <t xml:space="preserve">Veracyte (VCYT)  </t>
  </si>
  <si>
    <t xml:space="preserve">Global Blood Therapeutics (GBT)  </t>
  </si>
  <si>
    <t xml:space="preserve">Popular (BPOP)  </t>
  </si>
  <si>
    <t xml:space="preserve">PagSeguro Digital (PAGS)  </t>
  </si>
  <si>
    <t xml:space="preserve">Startek (SRT)  </t>
  </si>
  <si>
    <t xml:space="preserve">U.S. Geothermal (HTM)  </t>
  </si>
  <si>
    <t xml:space="preserve">W.W. Grainger (GWW)  </t>
  </si>
  <si>
    <t xml:space="preserve">Cara Therapeutics (CARA)  </t>
  </si>
  <si>
    <t xml:space="preserve">MarineMax (HZO)  </t>
  </si>
  <si>
    <t xml:space="preserve">McDermott International (MDR)  </t>
  </si>
  <si>
    <t xml:space="preserve">Chicago Bridge&amp;Iron (CBI)  </t>
  </si>
  <si>
    <t xml:space="preserve">Sphere 3D (ANY)  </t>
  </si>
  <si>
    <t xml:space="preserve">Marine Products (MPX)  </t>
  </si>
  <si>
    <t xml:space="preserve">Petroleo Brasileiro ADR (PBR)  </t>
  </si>
  <si>
    <t xml:space="preserve">Itau Unibanco Holding ADR (ITUB)  </t>
  </si>
  <si>
    <t xml:space="preserve">Petroleo Brasileiro ADR A (PBRA)  </t>
  </si>
  <si>
    <t xml:space="preserve">Navient (NAVI)  </t>
  </si>
  <si>
    <t xml:space="preserve">Norbord (OSB)  </t>
  </si>
  <si>
    <t xml:space="preserve">China Advanced Construction Materials Group (CADC)  </t>
  </si>
  <si>
    <t xml:space="preserve">Wins Finance Holdings (WINS)  </t>
  </si>
  <si>
    <t xml:space="preserve">Liberty Latin America Cl C (LILAK)  </t>
  </si>
  <si>
    <t xml:space="preserve">Casella Waste Systems Cl A (CWST)  </t>
  </si>
  <si>
    <t xml:space="preserve">Sharps Compliance (SMED)  </t>
  </si>
  <si>
    <t xml:space="preserve">Xperi (XPER)  </t>
  </si>
  <si>
    <t xml:space="preserve">Telefonica Brasil ADR (VIV)  </t>
  </si>
  <si>
    <t xml:space="preserve">Banco Santander Brasil ADR (BSBR)  </t>
  </si>
  <si>
    <t xml:space="preserve">Natus Medical (BABY)  </t>
  </si>
  <si>
    <t xml:space="preserve">Franklin FTSE Brazil ETF (FLBR)  </t>
  </si>
  <si>
    <t xml:space="preserve">AU Optronics ADR (AUO)  </t>
  </si>
  <si>
    <t xml:space="preserve">iPath Bloomberg Nickel Subindex Total Return ETN (JJN)  </t>
  </si>
  <si>
    <t xml:space="preserve">Foresight Energy (FELP)  </t>
  </si>
  <si>
    <t xml:space="preserve">Companhia Brasileira de Distribuicao Grupo Pao de Acucar ADR (CBD)  </t>
  </si>
  <si>
    <t xml:space="preserve">United States 3x Oil Fund (USOU)  </t>
  </si>
  <si>
    <t xml:space="preserve">iShares MSCI Brazil ETF (EWZ)  </t>
  </si>
  <si>
    <t xml:space="preserve">ProSharesUltraSilver (AGQ)  </t>
  </si>
  <si>
    <t xml:space="preserve">Liberty Latin America Cl A (LILA)  </t>
  </si>
  <si>
    <t xml:space="preserve">GOL Linhas Aereas Inteligentes ADR (GOL)  </t>
  </si>
  <si>
    <t xml:space="preserve">Vina Concha y Toro ADR (VCO)  </t>
  </si>
  <si>
    <t xml:space="preserve">Ecopetrol ADR (EC)  </t>
  </si>
  <si>
    <t xml:space="preserve">Lightbridge (LTBR)  </t>
  </si>
  <si>
    <t xml:space="preserve">Key Technology (KTEC)  </t>
  </si>
  <si>
    <t xml:space="preserve">Varian Medical Systems (VAR)  </t>
  </si>
  <si>
    <t xml:space="preserve">trivago ADR (TRVG)  </t>
  </si>
  <si>
    <t xml:space="preserve">Oramed Pharmaceuticals (ORMP)  </t>
  </si>
  <si>
    <t xml:space="preserve">Live Oak Bancshares (LOB)  </t>
  </si>
  <si>
    <t xml:space="preserve">Alliqua BioMedical (ALQA)  </t>
  </si>
  <si>
    <t xml:space="preserve">CalAmp (CAMP)  </t>
  </si>
  <si>
    <t xml:space="preserve">Tilly's (TLYS)  </t>
  </si>
  <si>
    <t xml:space="preserve">Meridian Bioscience (VIVO)  </t>
  </si>
  <si>
    <t xml:space="preserve">Dolby Laboratories Cl A (DLB)  </t>
  </si>
  <si>
    <t xml:space="preserve">One Horizon Group (OHGI)  </t>
  </si>
  <si>
    <t xml:space="preserve">RLI (RLI)  </t>
  </si>
  <si>
    <t xml:space="preserve">Corvel (CRVL)  </t>
  </si>
  <si>
    <t xml:space="preserve">Alpine Immune Sciences (ALPN)  </t>
  </si>
  <si>
    <t xml:space="preserve">Liquidity Services (LQDT)  </t>
  </si>
  <si>
    <t xml:space="preserve">Magic Software Enterprises (MGIC)  </t>
  </si>
  <si>
    <t xml:space="preserve">Impax Laboratories (IPXL)  </t>
  </si>
  <si>
    <t xml:space="preserve">Tessco Technologies (TESS)  </t>
  </si>
  <si>
    <t xml:space="preserve">Itau CorpBanca ADR (ITCB)  </t>
  </si>
  <si>
    <t xml:space="preserve">Eversource Energy (ES)  </t>
  </si>
  <si>
    <t xml:space="preserve">McCormick Com. Vtg. (MKCV)  </t>
  </si>
  <si>
    <t xml:space="preserve">Flotek Industries (FTK)  </t>
  </si>
  <si>
    <t xml:space="preserve">Abaxis (ABAX)  </t>
  </si>
  <si>
    <t xml:space="preserve">PlayAGS (AGS)  </t>
  </si>
  <si>
    <t xml:space="preserve">U.S. Gold (USAU)  </t>
  </si>
  <si>
    <t xml:space="preserve">AbbVie (ABBV)  </t>
  </si>
  <si>
    <t xml:space="preserve">resTORbio (TORC)  </t>
  </si>
  <si>
    <t xml:space="preserve">Can-Fite Biopharma ADR (CANF)  </t>
  </si>
  <si>
    <t xml:space="preserve">Intel (INTC)  </t>
  </si>
  <si>
    <t xml:space="preserve">Nortech Systems (NSYS)  </t>
  </si>
  <si>
    <t xml:space="preserve">8X8 (EGHT)  </t>
  </si>
  <si>
    <t xml:space="preserve">Rapid7 (RPD)  </t>
  </si>
  <si>
    <t xml:space="preserve">VMware (VMW)  </t>
  </si>
  <si>
    <t xml:space="preserve">Anika Therapeutics (ANIK)  </t>
  </si>
  <si>
    <t xml:space="preserve">PLDT ADR (PHI)  </t>
  </si>
  <si>
    <t xml:space="preserve">21Vianet Group ADR (VNET)  </t>
  </si>
  <si>
    <t xml:space="preserve">K12 (LRN)  </t>
  </si>
  <si>
    <t xml:space="preserve">Hebron Technology (HEBT)  </t>
  </si>
  <si>
    <t xml:space="preserve">Trio-Tech International (TRT)  </t>
  </si>
  <si>
    <t xml:space="preserve">CEL-SCI (CVM)  </t>
  </si>
  <si>
    <t xml:space="preserve">Companhia Energetica de Minas Gerais-Cemig ADR (CIG)  </t>
  </si>
  <si>
    <t xml:space="preserve">Arthur J. Gallagher (AJG)  </t>
  </si>
  <si>
    <t xml:space="preserve">Amira Nature Foods (ANFI)  </t>
  </si>
  <si>
    <t xml:space="preserve">Staffing 360 Solutions (STAF)  </t>
  </si>
  <si>
    <t xml:space="preserve">JD.com ADR (JD)  </t>
  </si>
  <si>
    <t xml:space="preserve">Teradyne (TER)  </t>
  </si>
  <si>
    <t xml:space="preserve">Direxion Daily Healthcare Bull 3X Shares (CURE)  </t>
  </si>
  <si>
    <t xml:space="preserve">TransAct Technologies (TACT)  </t>
  </si>
  <si>
    <t xml:space="preserve">Mid Penn Bancorp (MPB)  </t>
  </si>
  <si>
    <t xml:space="preserve">Direxion Daily Pharmaceutical&amp;Medical Bull 3X Shares (PILL)  </t>
  </si>
  <si>
    <t xml:space="preserve">MercadoLibre (MELI)  </t>
  </si>
  <si>
    <t xml:space="preserve">IBERIABANK (IBKC)  </t>
  </si>
  <si>
    <t xml:space="preserve">First Business Financial Services (FBIZ)  </t>
  </si>
  <si>
    <t xml:space="preserve">Sierra Oncology (SRRA)  </t>
  </si>
  <si>
    <t xml:space="preserve">SiteOne Landscape Supply (SITE)  </t>
  </si>
  <si>
    <t xml:space="preserve">Natural Health Trends (NHTC)  </t>
  </si>
  <si>
    <t xml:space="preserve">Smart&amp;Final Stores (SFS)  </t>
  </si>
  <si>
    <t xml:space="preserve">Electromed (ELMD)  </t>
  </si>
  <si>
    <t xml:space="preserve">Controladora Vuela Compania de Aviacion ADR (VLRS)  </t>
  </si>
  <si>
    <t xml:space="preserve">First Majestic Silver (AG)  </t>
  </si>
  <si>
    <t xml:space="preserve">Ladder Capital Cl A (LADR)  </t>
  </si>
  <si>
    <t xml:space="preserve">Gold Resource (GORO)  </t>
  </si>
  <si>
    <t xml:space="preserve">County Bancorp (ICBK)  </t>
  </si>
  <si>
    <t xml:space="preserve">Broadway Financial (BYFC)  </t>
  </si>
  <si>
    <t xml:space="preserve">Agile Therapeutics (AGRX)  </t>
  </si>
  <si>
    <t xml:space="preserve">Avid Technology (AVID)  </t>
  </si>
  <si>
    <t xml:space="preserve">EDAP TMS ADR (EDAP)  </t>
  </si>
  <si>
    <t xml:space="preserve">OSI Systems (OSIS)  </t>
  </si>
  <si>
    <t xml:space="preserve">Merck&amp;Co (MRK)  </t>
  </si>
  <si>
    <t xml:space="preserve">Infosys ADR (INFY)  </t>
  </si>
  <si>
    <t xml:space="preserve">Jewett-Cameron Trading (JCTCF)  </t>
  </si>
  <si>
    <t xml:space="preserve">Empresa Distribuidora y Comercializadora Norte Cl B ADR (EDN)  </t>
  </si>
  <si>
    <t xml:space="preserve">RYB Education ADR (RYB)  </t>
  </si>
  <si>
    <t xml:space="preserve">ICICI Bank ADR (IBN)  </t>
  </si>
  <si>
    <t xml:space="preserve">Commercial Vehicle Group (CVGI)  </t>
  </si>
  <si>
    <t xml:space="preserve">Marchex Cl B (MCHX)  </t>
  </si>
  <si>
    <t xml:space="preserve">Owens&amp;Minor (OMI)  </t>
  </si>
  <si>
    <t xml:space="preserve">Sigmatron International (SGMA)  </t>
  </si>
  <si>
    <t xml:space="preserve">Performant Financial (PFMT)  </t>
  </si>
  <si>
    <t xml:space="preserve">Pretium Resources (PVG)  </t>
  </si>
  <si>
    <t xml:space="preserve">Molina Healthcare (MOH)  </t>
  </si>
  <si>
    <t xml:space="preserve">Long Island Iced Tea (LTEA)  </t>
  </si>
  <si>
    <t xml:space="preserve">Renren Cl A ADR (RENN)  </t>
  </si>
  <si>
    <t xml:space="preserve">Intec Pharma (NTEC)  </t>
  </si>
  <si>
    <t xml:space="preserve">ZK International Group (ZKIN)  </t>
  </si>
  <si>
    <t xml:space="preserve">Americas Silver (USAS)  </t>
  </si>
  <si>
    <t xml:space="preserve">Xinyuan Real Estate ADR (XIN)  </t>
  </si>
  <si>
    <t xml:space="preserve">ADOMANI (ADOM)  </t>
  </si>
  <si>
    <t xml:space="preserve">Inotek Pharmaceuticals (ITEK)  </t>
  </si>
  <si>
    <t xml:space="preserve">Synlogic (SYBX)  </t>
  </si>
  <si>
    <t xml:space="preserve">Sensus Healthcare (SRTS)  </t>
  </si>
  <si>
    <t xml:space="preserve">Cleantech Solutions International (CLNT)  </t>
  </si>
  <si>
    <t xml:space="preserve">China Lodging Group ADR (HTHT)  </t>
  </si>
  <si>
    <t xml:space="preserve">ANGI Homeservices (ANGI)  </t>
  </si>
  <si>
    <t xml:space="preserve">Consolidated Communications Holdings (CNSL)  </t>
  </si>
  <si>
    <t xml:space="preserve">Eagle Pharmaceuticals (EGRX)  </t>
  </si>
  <si>
    <t xml:space="preserve">ChinaCache International Holdings ADR (CCIH)  </t>
  </si>
  <si>
    <t xml:space="preserve">Acorda Therapeutics (ACOR)  </t>
  </si>
  <si>
    <t xml:space="preserve">Alphatec Holdings (ATEC)  </t>
  </si>
  <si>
    <t xml:space="preserve">Corcept Therapeutics (CORT)  </t>
  </si>
  <si>
    <t xml:space="preserve">PAVmed (PAVM)  </t>
  </si>
  <si>
    <t xml:space="preserve">Northern Technologies International (NTIC)  </t>
  </si>
  <si>
    <t xml:space="preserve">Corium International (CORI)  </t>
  </si>
  <si>
    <t xml:space="preserve">Boxlight Cl A (BOXL)  </t>
  </si>
  <si>
    <t xml:space="preserve">Volt Information Sciences (VISI)  </t>
  </si>
  <si>
    <t xml:space="preserve">Biondvax Pharmaceuticals ADR (BVXV)  </t>
  </si>
  <si>
    <t xml:space="preserve">Aradigm (ARDM)  </t>
  </si>
  <si>
    <t xml:space="preserve">Live Ventures (LIVE)  </t>
  </si>
  <si>
    <t xml:space="preserve">Airgain (AIRG)  </t>
  </si>
  <si>
    <t xml:space="preserve">Supernus Pharmaceuticals (SUPN)  </t>
  </si>
  <si>
    <t xml:space="preserve">BlackBerry (BB)  </t>
  </si>
  <si>
    <t xml:space="preserve">Dorman Products (DORM)  </t>
  </si>
  <si>
    <t xml:space="preserve">Endo International (ENDP)  </t>
  </si>
  <si>
    <t xml:space="preserve">Mazor Robotics ADR (MZOR)  </t>
  </si>
  <si>
    <t xml:space="preserve">Crown Crafts (CRWS)  </t>
  </si>
  <si>
    <t xml:space="preserve">Euronet Worldwide (EEFT)  </t>
  </si>
  <si>
    <t xml:space="preserve">Shake Shack Cl A (SHAK)  </t>
  </si>
  <si>
    <t xml:space="preserve">DSP Group (DSPG)  </t>
  </si>
  <si>
    <t xml:space="preserve">Severn Bancorp (SVBI)  </t>
  </si>
  <si>
    <t xml:space="preserve">Soligenix (SNGX)  </t>
  </si>
  <si>
    <t xml:space="preserve">Atlassian Cl A (TEAM)  </t>
  </si>
  <si>
    <t xml:space="preserve">Casey's General Stores (CASY)  </t>
  </si>
  <si>
    <t xml:space="preserve">Meridian Bank (MRBK)  </t>
  </si>
  <si>
    <t>01-17-2018</t>
  </si>
  <si>
    <t>01-21-2018</t>
  </si>
  <si>
    <t xml:space="preserve">AEterna Zentaris (AEZS)  </t>
  </si>
  <si>
    <t xml:space="preserve">ZAGG (ZAGG)  </t>
  </si>
  <si>
    <t xml:space="preserve">Pure Storage Cl A (PSTG)  </t>
  </si>
  <si>
    <t xml:space="preserve">CONSOL Energy (CEIX)  </t>
  </si>
  <si>
    <t xml:space="preserve">Control4 (CTRL)  </t>
  </si>
  <si>
    <t xml:space="preserve">Points International (PCOM)  </t>
  </si>
  <si>
    <t xml:space="preserve">Lam Research (LRCX)  </t>
  </si>
  <si>
    <t xml:space="preserve">ASML Holding (ASML)  </t>
  </si>
  <si>
    <t xml:space="preserve">Neos Therapeutics (NEOS)  </t>
  </si>
  <si>
    <t xml:space="preserve">American Axle&amp;Manufacturing Holdings (AXL)  </t>
  </si>
  <si>
    <t xml:space="preserve">Sina (SINA)  </t>
  </si>
  <si>
    <t xml:space="preserve">MKS Instruments (MKSI)  </t>
  </si>
  <si>
    <t xml:space="preserve">Ericsson ADR (ERIC)  </t>
  </si>
  <si>
    <t xml:space="preserve">Recon Technology (RCON)  </t>
  </si>
  <si>
    <t xml:space="preserve">Safeguard Scientifics (SFE)  </t>
  </si>
  <si>
    <t xml:space="preserve">Lions Gate Entertainment Cl B (LGFB)  </t>
  </si>
  <si>
    <t xml:space="preserve">Lions Gate Entertainment Cl A (LGFA)  </t>
  </si>
  <si>
    <t xml:space="preserve">Radius Health (RDUS)  </t>
  </si>
  <si>
    <t xml:space="preserve">Savara (SVRA)  </t>
  </si>
  <si>
    <t xml:space="preserve">Insteel Industries (IIIN)  </t>
  </si>
  <si>
    <t xml:space="preserve">WNS (Holdings) ADR (WNS)  </t>
  </si>
  <si>
    <t xml:space="preserve">Embotelladora Andina S.A. (Series A) ADR (AKOA)  </t>
  </si>
  <si>
    <t xml:space="preserve">Turkcell Iletisim Hizmetleri ADR (TKC)  </t>
  </si>
  <si>
    <t xml:space="preserve">Rexahn Pharmaceuticals (RNN)  </t>
  </si>
  <si>
    <t xml:space="preserve">Bowl America Cl A (BWLA)  </t>
  </si>
  <si>
    <t xml:space="preserve">Bunge (BG)  </t>
  </si>
  <si>
    <t xml:space="preserve">Americold Realty Trust (COLD)  </t>
  </si>
  <si>
    <t xml:space="preserve">Aluminum Corp. of China ADR (ACH)  </t>
  </si>
  <si>
    <t xml:space="preserve">Groupon (GRPN)  </t>
  </si>
  <si>
    <t xml:space="preserve">J. Alexander's Holdings (JAX)  </t>
  </si>
  <si>
    <t xml:space="preserve">Vishay Intertechnology (VSH)  </t>
  </si>
  <si>
    <t xml:space="preserve">Genie Energy (GNE)  </t>
  </si>
  <si>
    <t xml:space="preserve">SEACOR Marine Holdings (SMHI)  </t>
  </si>
  <si>
    <t xml:space="preserve">Eagle Bancorp (EGBN)  </t>
  </si>
  <si>
    <t xml:space="preserve">DB Base Metals Double Long ETN (BDD)  </t>
  </si>
  <si>
    <t xml:space="preserve">Super Micro Computer (SMCI)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</si>
</sst>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8" formatCode="&quot;$&quot;#,##0.00;[Red]\-&quot;$&quot;#,##0.00"/>
    <numFmt numFmtId="164" formatCode="[$-F800]dddd\,\ mmmm\ dd\,\ yyyy"/>
    <numFmt numFmtId="165" formatCode="&quot;$&quot;#,##0.00"/>
    <numFmt numFmtId="166" formatCode="dd/mm/yyyy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vertical="center" wrapText="1"/>
    </xf>
    <xf numFmtId="0" fontId="2" fillId="0" borderId="0" xfId="1" applyAlignment="1">
      <alignment vertical="center" wrapText="1"/>
    </xf>
    <xf numFmtId="8" fontId="0" fillId="0" borderId="0" xfId="0" applyNumberFormat="1" applyAlignment="1">
      <alignment vertical="center" wrapText="1"/>
    </xf>
    <xf numFmtId="3" fontId="0" fillId="0" borderId="0" xfId="0" applyNumberFormat="1" applyAlignment="1">
      <alignment vertical="center" wrapText="1"/>
    </xf>
    <xf numFmtId="164" fontId="0" fillId="0" borderId="0" xfId="0" applyNumberFormat="1"/>
    <xf numFmtId="0" fontId="1" fillId="0" borderId="1" xfId="0" applyFont="1" applyBorder="1"/>
    <xf numFmtId="164" fontId="1" fillId="0" borderId="1" xfId="0" applyNumberFormat="1" applyFont="1" applyBorder="1"/>
    <xf numFmtId="165" fontId="1" fillId="0" borderId="1" xfId="0" applyNumberFormat="1" applyFont="1" applyBorder="1"/>
    <xf numFmtId="165" fontId="0" fillId="0" borderId="0" xfId="0" applyNumberFormat="1" applyAlignment="1">
      <alignment vertical="center" wrapText="1"/>
    </xf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" fillId="0" borderId="0" xfId="1"/>
    <xf numFmtId="8" fontId="0" fillId="0" borderId="0" xfId="0" applyNumberFormat="1"/>
    <xf numFmtId="2" fontId="0" fillId="0" borderId="0" xfId="0" applyNumberFormat="1"/>
    <xf numFmtId="166" fontId="0" fillId="0" borderId="0" xfId="0" applyNumberFormat="1"/>
    <xf numFmtId="2" fontId="1" fillId="0" borderId="1" xfId="0" applyNumberFormat="1" applyFont="1" applyBorder="1"/>
    <xf numFmtId="2" fontId="1" fillId="0" borderId="0" xfId="0" applyNumberFormat="1" applyFont="1" applyAlignment="1">
      <alignment vertical="center" wrapText="1"/>
    </xf>
    <xf numFmtId="164" fontId="1" fillId="0" borderId="0" xfId="0" applyNumberFormat="1" applyFont="1" applyBorder="1"/>
    <xf numFmtId="164" fontId="1" fillId="2" borderId="0" xfId="0" applyNumberFormat="1" applyFont="1" applyFill="1" applyBorder="1"/>
    <xf numFmtId="164" fontId="0" fillId="2" borderId="0" xfId="0" applyNumberFormat="1" applyFill="1"/>
    <xf numFmtId="164" fontId="1" fillId="0" borderId="0" xfId="0" applyNumberFormat="1" applyFont="1" applyFill="1" applyBorder="1"/>
    <xf numFmtId="164" fontId="0" fillId="0" borderId="0" xfId="0" applyNumberFormat="1" applyFill="1"/>
    <xf numFmtId="0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2" xfId="0" applyFill="1" applyBorder="1" applyAlignment="1"/>
    <xf numFmtId="0" fontId="5" fillId="0" borderId="3" xfId="0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2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Histogram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invertIfNegative val="0"/>
          <c:cat>
            <c:strRef>
              <c:f>dailyMovers_Data!$K$29:$K$40</c:f>
              <c:strCache>
                <c:ptCount val="12"/>
                <c:pt idx="0">
                  <c:v>5</c:v>
                </c:pt>
                <c:pt idx="1">
                  <c:v>8</c:v>
                </c:pt>
                <c:pt idx="2">
                  <c:v>11</c:v>
                </c:pt>
                <c:pt idx="3">
                  <c:v>14</c:v>
                </c:pt>
                <c:pt idx="4">
                  <c:v>17</c:v>
                </c:pt>
                <c:pt idx="5">
                  <c:v>20</c:v>
                </c:pt>
                <c:pt idx="6">
                  <c:v>23</c:v>
                </c:pt>
                <c:pt idx="7">
                  <c:v>50</c:v>
                </c:pt>
                <c:pt idx="8">
                  <c:v>100</c:v>
                </c:pt>
                <c:pt idx="9">
                  <c:v>200</c:v>
                </c:pt>
                <c:pt idx="10">
                  <c:v>300</c:v>
                </c:pt>
                <c:pt idx="11">
                  <c:v>More</c:v>
                </c:pt>
              </c:strCache>
            </c:strRef>
          </c:cat>
          <c:val>
            <c:numRef>
              <c:f>dailyMovers_Data!$L$29:$L$40</c:f>
              <c:numCache>
                <c:formatCode>General</c:formatCode>
                <c:ptCount val="12"/>
                <c:pt idx="0">
                  <c:v>171</c:v>
                </c:pt>
                <c:pt idx="1">
                  <c:v>930</c:v>
                </c:pt>
                <c:pt idx="2">
                  <c:v>555</c:v>
                </c:pt>
                <c:pt idx="3">
                  <c:v>193</c:v>
                </c:pt>
                <c:pt idx="4">
                  <c:v>89</c:v>
                </c:pt>
                <c:pt idx="5">
                  <c:v>46</c:v>
                </c:pt>
                <c:pt idx="6">
                  <c:v>27</c:v>
                </c:pt>
                <c:pt idx="7">
                  <c:v>73</c:v>
                </c:pt>
                <c:pt idx="8">
                  <c:v>12</c:v>
                </c:pt>
                <c:pt idx="9">
                  <c:v>3</c:v>
                </c:pt>
                <c:pt idx="10">
                  <c:v>0</c:v>
                </c:pt>
                <c:pt idx="1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3125120"/>
        <c:axId val="183127040"/>
      </c:barChart>
      <c:catAx>
        <c:axId val="1831251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Bins for Histogram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183127040"/>
        <c:crosses val="autoZero"/>
        <c:auto val="1"/>
        <c:lblAlgn val="ctr"/>
        <c:lblOffset val="100"/>
        <c:noMultiLvlLbl val="0"/>
      </c:catAx>
      <c:valAx>
        <c:axId val="1831270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Frequency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831251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[top movers_20180702.xlsm]Pivot!PivotTable2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Pivot!$F$4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trendline>
            <c:trendlineType val="poly"/>
            <c:order val="2"/>
            <c:dispRSqr val="0"/>
            <c:dispEq val="0"/>
          </c:trendline>
          <c:cat>
            <c:strRef>
              <c:f>Pivot!$E$5:$E$11</c:f>
              <c:strCach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strCache>
            </c:strRef>
          </c:cat>
          <c:val>
            <c:numRef>
              <c:f>Pivot!$F$5:$F$11</c:f>
              <c:numCache>
                <c:formatCode>General</c:formatCode>
                <c:ptCount val="6"/>
                <c:pt idx="0">
                  <c:v>278</c:v>
                </c:pt>
                <c:pt idx="1">
                  <c:v>222</c:v>
                </c:pt>
                <c:pt idx="2">
                  <c:v>150</c:v>
                </c:pt>
                <c:pt idx="3">
                  <c:v>60</c:v>
                </c:pt>
                <c:pt idx="4">
                  <c:v>10</c:v>
                </c:pt>
                <c:pt idx="5">
                  <c:v>30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0646784"/>
        <c:axId val="280648320"/>
      </c:barChart>
      <c:catAx>
        <c:axId val="280646784"/>
        <c:scaling>
          <c:orientation val="minMax"/>
        </c:scaling>
        <c:delete val="0"/>
        <c:axPos val="b"/>
        <c:majorTickMark val="out"/>
        <c:minorTickMark val="none"/>
        <c:tickLblPos val="nextTo"/>
        <c:crossAx val="280648320"/>
        <c:crosses val="autoZero"/>
        <c:auto val="1"/>
        <c:lblAlgn val="ctr"/>
        <c:lblOffset val="100"/>
        <c:noMultiLvlLbl val="0"/>
      </c:catAx>
      <c:valAx>
        <c:axId val="280648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06467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419100</xdr:colOff>
          <xdr:row>20</xdr:row>
          <xdr:rowOff>65314</xdr:rowOff>
        </xdr:from>
        <xdr:to>
          <xdr:col>12</xdr:col>
          <xdr:colOff>353786</xdr:colOff>
          <xdr:row>21</xdr:row>
          <xdr:rowOff>103414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Update!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125186</xdr:colOff>
      <xdr:row>26</xdr:row>
      <xdr:rowOff>163285</xdr:rowOff>
    </xdr:from>
    <xdr:to>
      <xdr:col>23</xdr:col>
      <xdr:colOff>446313</xdr:colOff>
      <xdr:row>41</xdr:row>
      <xdr:rowOff>141514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32654</xdr:colOff>
      <xdr:row>11</xdr:row>
      <xdr:rowOff>146955</xdr:rowOff>
    </xdr:from>
    <xdr:to>
      <xdr:col>14</xdr:col>
      <xdr:colOff>261255</xdr:colOff>
      <xdr:row>26</xdr:row>
      <xdr:rowOff>48984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aber Dashery" refreshedDate="43189.615834722223" createdVersion="4" refreshedVersion="4" minRefreshableVersion="3" recordCount="461">
  <cacheSource type="worksheet">
    <worksheetSource ref="A3:B464" sheet="Pivot"/>
  </cacheSource>
  <cacheFields count="2">
    <cacheField name="Row Labels" numFmtId="0">
      <sharedItems/>
    </cacheField>
    <cacheField name="Count of Symbol" numFmtId="0">
      <sharedItems containsSemiMixedTypes="0" containsString="0" containsNumber="1" containsInteger="1" minValue="1" maxValue="6" count="6">
        <n v="1"/>
        <n v="4"/>
        <n v="2"/>
        <n v="3"/>
        <n v="6"/>
        <n v="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aber Dashery" refreshedDate="43189.615835300923" createdVersion="4" refreshedVersion="4" minRefreshableVersion="3" recordCount="1200">
  <cacheSource type="worksheet">
    <worksheetSource ref="B1:G1201" sheet="dailyMovers_Data"/>
  </cacheSource>
  <cacheFields count="6">
    <cacheField name="Symbol" numFmtId="0">
      <sharedItems count="1787">
        <s v="BlueLinx Holdings (BXC)  "/>
        <s v="Net Element (NETE)  "/>
        <s v="NTN Buzztime (NTN)  "/>
        <s v="Oclaro (OCLR)  "/>
        <s v="Loop Industries (LOOP)  "/>
        <s v="Innovate Biopharmaceuticals (INNT)  "/>
        <s v="Pacific Ethanol (PEIX)  "/>
        <s v="United Community Bancorp (UCBA)  "/>
        <s v="Arcadia Biosciences (RKDA)  "/>
        <s v="CounterPath (CPAH)  "/>
        <s v="Carver Bancorp (CARV)  "/>
        <s v="Juniper Pharmaceuticals (JNP)  "/>
        <s v="China Customer Relations Centers (CCRC)  "/>
        <s v="Novelion Therapeutics (NVLN)  "/>
        <s v="Codexis (CDXS)  "/>
        <s v="Zynerba Pharmaceuticals (ZYNE)  "/>
        <s v="Cocrystal Pharma (COCP)  "/>
        <s v="Ceco Environmental (CECE)  "/>
        <s v="American Superconductor (AMSC)  "/>
        <s v="Cogentix Medical (CGNT)  "/>
        <s v="Overseas Shipholding Group Cl A (OSG)  "/>
        <s v="LongFin Cl A (LFIN)  "/>
        <s v="Nxt-ID (NXTD)  "/>
        <s v="Novume Solutions (NVMM)  "/>
        <s v="Future FinTech Group (FTFT)  "/>
        <s v="Tetraphase Pharmaceuticals (TTPH)  "/>
        <s v="Joint (JYNT)  "/>
        <s v="Casa Systems (CASA)  "/>
        <s v="ChinaNet Online Holdings (CNET)  "/>
        <s v="NVE (NVEC)  "/>
        <s v="Dermira (DERM)  "/>
        <s v="Stone Energy (SGY)  "/>
        <s v="U.S. Global Investors Cl A (GROW)  "/>
        <s v="ITUS (ITUS)  "/>
        <s v="Assembly Biosciences (ASMB)  "/>
        <s v="Ultra Petroleum (UPL)  "/>
        <s v="Polar Power (POLA)  "/>
        <s v="Intellicheck (IDN)  "/>
        <s v="Immune Design (IMDZ)  "/>
        <s v="R1 RCM (RCM)  "/>
        <s v="RISE Education Cayman ADR (REDU)  "/>
        <s v="Mannatech (MTEX)  "/>
        <s v="Ultralife (ULBI)  "/>
        <s v="Tsakos Energy Navigation (TNP)  "/>
        <s v="Micron Technology (MU)  "/>
        <s v="Limoneira (LMNR)  "/>
        <s v="Bel Fuse Cl B (BELFB)  "/>
        <s v="Conifer Holdings (CNFR)  "/>
        <s v="Profire Energy (PFIE)  "/>
        <s v="Tenax Therapeutics (TENX)  "/>
        <s v="BeyondSpring (BYSI)  "/>
        <s v="Jounce Therapeutics (JNCE)  "/>
        <s v="InfoSonics (IFON)  "/>
        <s v="RF Industries (RFIL)  "/>
        <s v="InflaRx (IFRX)  "/>
        <s v="Ocular Therapeutix (OCUL)  "/>
        <s v="Novus Therapeutics (NVUS)  "/>
        <s v="Nuverra Environmental Solutions (NES)  "/>
        <s v="Applied Optoelectronics (AAOI)  "/>
        <s v="Champions Oncology (CSBR)  "/>
        <s v="Optical Cable (OCC)  "/>
        <s v="Endocyte (ECYT)  "/>
        <s v="Reata Pharmaceuticals Cl A (RETA)  "/>
        <s v="NeoPhotonics (NPTN)  "/>
        <s v="Xcerra (XCRA)  "/>
        <s v="Mexco Energy (MXC)  "/>
        <s v="Veritone (VERI)  "/>
        <s v="Jupai Holdings ADR (JP)  "/>
        <s v="Big 5 Sporting Goods (BGFV)  "/>
        <s v="CUI Global (CUI)  "/>
        <s v="Yirendai ADR (YRD)  "/>
        <s v="Aqua Metals (AQMS)  "/>
        <s v="Surmodics (SRDX)  "/>
        <s v="China Online Education Group ADR (COE)  "/>
        <s v="PPDAI Group ADR (PPDF)  "/>
        <s v="Eagle Bulk Shipping (EGLE)  "/>
        <s v="Global Partners (GLP)  "/>
        <s v="Rent-A-Center (RCII)  "/>
        <s v="PRGX Global (PRGX)  "/>
        <s v="Stitch Fix Cl A (SFIX)  "/>
        <s v="Schnitzer Steel Industries (SCHN)  "/>
        <s v="Alnylam Pharmaceuticals (ALNY)  "/>
        <s v="Papa Murphy's Holdings (FRSH)  "/>
        <s v="Genco Shipping&amp;Trading (GNK)  "/>
        <s v="Motif Bio ADR (MTFB)  "/>
        <s v="vTv Therapeutics Cl A (VTVT)  "/>
        <s v="Orchids Paper Products (TIS)  "/>
        <s v="MAG Silver (MAG)  "/>
        <s v="Taylor Devices (TAYD)  "/>
        <s v="DexCom (DXCM)  "/>
        <s v="Highpower International (HPJ)  "/>
        <s v="DMC Global (BOOM)  "/>
        <s v="Alliance One International (AOI)  "/>
        <s v="Sarepta Therapeutics (SRPT)  "/>
        <s v="StoneMor Partners (STON)  "/>
        <s v="Esperion Therapeutics (ESPR)  "/>
        <s v="Delta Apparel (DLA)  "/>
        <s v="Quanterix (QTRX)  "/>
        <s v="Flex Pharma (FLKS)  "/>
        <s v="Payment Data Systems (PYDS)  "/>
        <s v="Proteostasis Therapeutics (PTI)  "/>
        <s v="Arsanis (ASNS)  "/>
        <s v="Immuron ADR (IMRN)  "/>
        <s v="Bovie Medical (BVX)  "/>
        <s v="Orgenesis (ORGS)  "/>
        <s v="Atomera (ATOM)  "/>
        <s v="Professional Diversity Network (IPDN)  "/>
        <s v="Allena Pharmaceuticals (ALNA)  "/>
        <s v="American Vanguard (AVD)  "/>
        <s v="Myovant Sciences (MYOV)  "/>
        <s v="Vaxart (VXRT)  "/>
        <s v="NorthStar Realty Europe (NRE)  "/>
        <s v="Xplore Technologies (XPLR)  "/>
        <s v="Presbia (LENS)  "/>
        <s v="DSW Cl A (DSW)  "/>
        <s v="Purple Innovation (PRPL)  "/>
        <s v="BRT Apartments (BRT)  "/>
        <s v="Sify Technologies ADR (SIFY)  "/>
        <s v="G1 Therapeutics (GTHX)  "/>
        <s v="CHF Solutions (CHFS)  "/>
        <s v="Corvus Pharmaceuticals (CRVS)  "/>
        <s v="Zosano Pharma (ZSAN)  "/>
        <s v="Minerva Neurosciences (NERV)  "/>
        <s v="Digital Ally (DGLY)  "/>
        <s v="IZEA (IZEA)  "/>
        <s v="Limbach Holdings (LMB)  "/>
        <s v="Biofrontera ADR (BFRA)  "/>
        <s v="InfuSystems Holdings (INFU)  "/>
        <s v="Townsquare Media Cl A (TSQ)  "/>
        <s v="Ceragon Networks (CRNT)  "/>
        <s v="Zedge Cl B (ZDGE)  "/>
        <s v="Oxbridge Re Holdings (OXBR)  "/>
        <s v="Proteon Therapeutics (PRTO)  "/>
        <s v="JAKKS Pacific (JAKK)  "/>
        <s v="Rhythm Pharmaceuticals (RYTM)  "/>
        <s v="Eastside Distilling (EAST)  "/>
        <s v="BMO REX MicroSectors FANG+ Index -3X Inverse Leveraged ETN (FNGD)  "/>
        <s v="Newater Technology (NEWA)  "/>
        <s v="Core Molding Technologies (CMT)  "/>
        <s v="Veritiv (VRTV)  "/>
        <s v="Sol-Gel Technologies (SLGL)  "/>
        <s v="China Natural Resources (CHNR)  "/>
        <s v="Fortress Biotech (FBIO)  "/>
        <s v="GenMark Diagnostics (GNMK)  "/>
        <s v="Foresight Autonomous Holdings ADR (FRSX)  "/>
        <s v="PG&amp;E (PCG)  "/>
        <s v="Rosehill Resources Cl A (ROSE)  "/>
        <s v="Jason Industries (JASN)  "/>
        <s v="Galectin Therapeutics (GALT)  "/>
        <s v="MediciNova (MNOV)  "/>
        <s v="BioTime (BTX)  "/>
        <s v="Syndax Pharmaceuticals (SNDX)  "/>
        <s v="Mersana Therapeutics (MRSN)  "/>
        <s v="Xerox (XRX)  "/>
        <s v="Acer Therapeutics (ACER)  "/>
        <s v="KemPharm (KMPH)  "/>
        <s v="ASV Holdings (ASV)  "/>
        <s v="Cutera (CUTR)  "/>
        <s v="Direxion Daily Russia Bear 3x Shares (RUSS)  "/>
        <s v="Contango Oil&amp;Gas (MCF)  "/>
        <s v="Petrobras Argentina ADR (PZE)  "/>
        <s v="Iridex (IRIX)  "/>
        <s v="Eiger BioPharmaceuticals (EIGR)  "/>
        <s v="Evoke Pharma (EVOK)  "/>
        <s v="Five Oaks Investment (OAKS)  "/>
        <s v="M.D.C. Holdings (MDC)  "/>
        <s v="Ellomay Capital (ELLO)  "/>
        <s v="Aptevo Therapeutics (APVO)  "/>
        <s v="ChemoCentryx (CCXI)  "/>
        <s v="Azure Power Global (AZRE)  "/>
        <s v="Compugen (CGEN)  "/>
        <s v="JetPay (JTPY)  "/>
        <s v="ProPhase Labs (PRPH)  "/>
        <s v="Collegium Pharmaceutical (COLL)  "/>
        <s v="Genius Brands International (GNUS)  "/>
        <s v="SSR Mining (SSRM)  "/>
        <s v="Peoples Bancorp of North Carolina (PEBK)  "/>
        <s v="P&amp;F Industries Cl A (PFIN)  "/>
        <s v="Evogene (EVGN)  "/>
        <s v="Motorcar Parts of America (MPAA)  "/>
        <s v="LGI Homes (LGIH)  "/>
        <s v="Aptose Biosciences (APTO)  "/>
        <s v="Iteris (ITI)  "/>
        <s v="Krystal Biotech (KRYS)  "/>
        <s v="Alaska Air Group (ALK)  "/>
        <s v="Kopin (KOPN)  "/>
        <s v="Heron Therapeutics (HRTX)  "/>
        <s v="Ossen Innovation ADR (OSN)  "/>
        <s v="Arcimoto (FUV)  "/>
        <s v="Direxion Daily Semiconductor Bear 3X Shares (SOXS)  "/>
        <s v="Sears Holdings (SHLD)  "/>
        <s v="Daxor (DXR)  "/>
        <s v="RXi Pharmaceuticals (RXII)  "/>
        <s v="Xtant Medical Holdings (XTNT)  "/>
        <s v="AquaBounty Technologies (AQB)  "/>
        <s v="Avenue Therapeutics (ATXI)  "/>
        <s v="Seaspan (SSW)  "/>
        <s v="Apellis Pharmaceuticals (APLS)  "/>
        <s v="Carvana Cl A (CVNA)  "/>
        <s v="OptimumBank Holdings (OPHC)  "/>
        <s v="Cellectis ADR (CLLS)  "/>
        <s v="Internet Gold-Golden Lines (IGLD)  "/>
        <s v="Pfenex (PFNX)  "/>
        <s v="MYnd Analytics (MYND)  "/>
        <s v="Caleres (CAL)  "/>
        <s v="Camping World Holdings Cl A (CWH)  "/>
        <s v="Astrotech (ASTC)  "/>
        <s v="PetIQ Cl A (PETQ)  "/>
        <s v="Long Blockchain (LBCC)  "/>
        <s v="Infinity Pharmaceuticals (INFI)  "/>
        <s v="Denali Therapeutics (DNLI)  "/>
        <s v="Histogenics (HSGX)  "/>
        <s v="Gaia Cl A (GAIA)  "/>
        <s v="AstroNova (ALOT)  "/>
        <s v="Heat Biologics (HTBX)  "/>
        <s v="Scientific Games (SGMS)  "/>
        <s v="Spero Therapeutics (SPRO)  "/>
        <s v="OncoCyte (OCX)  "/>
        <s v="Comstock Resources (CRK)  "/>
        <s v="MongoDB (MDB)  "/>
        <s v="National Holdings (NHLD)  "/>
        <s v="Bridgewater Bancshares (BWB)  "/>
        <s v="II-VI (IIVI)  "/>
        <s v="Twitter (TWTR)  "/>
        <s v="Oragenics (OGEN)  "/>
        <s v="OptiNose (OPTN)  "/>
        <s v="LendingTree (TREE)  "/>
        <s v="support.com (SPRT)  "/>
        <s v="Fang Holdings ADR (SFUN)  "/>
        <s v="MyoKardia (MYOK)  "/>
        <s v="Enphase Energy (ENPH)  "/>
        <s v="Videocon d2h ADR (VDTH)  "/>
        <s v="Synthesis Energy Systems (SES)  "/>
        <s v="Art's Way Manufacturing (ARTW)  "/>
        <s v="Radiant Logistics (RLGT)  "/>
        <s v="Resource Capital (RSO)  "/>
        <s v="Rimini Street (RMNI)  "/>
        <s v="Rubicon Technology (RBCN)  "/>
        <s v="GTT Communications (GTT)  "/>
        <s v="Mitel Networks (MITL)  "/>
        <s v="Zendesk (ZEN)  "/>
        <s v="Adverum Biotechnologies (ADVM)  "/>
        <s v="Intra-Cellular Therapies (ITCI)  "/>
        <s v="Cerus (CERS)  "/>
        <s v="Prudential ADR (PUK)  "/>
        <s v="Recro Pharma (REPH)  "/>
        <s v="Valeant Pharmaceuticals International (VRX)  "/>
        <s v="Adaptimmune Therapeutics ADR (ADAP)  "/>
        <s v="Geron (GERN)  "/>
        <s v="Square Cl A (SQ)  "/>
        <s v="Asure Software (ASUR)  "/>
        <s v="SunRun (RUN)  "/>
        <s v="Pilgrim's Pride (PPC)  "/>
        <s v="Dick's Sporting Goods (DKS)  "/>
        <s v="Aduro Biotech (ADRO)  "/>
        <s v="Calix (CALX)  "/>
        <s v="Biostar Pharmaceuticals (BSPM)  "/>
        <s v="ICC Holdings (ICCH)  "/>
        <s v="Pandora Media (P)  "/>
        <s v="arGEN-X ADR (ARGX)  "/>
        <s v="ACM Research Cl A (ACMR)  "/>
        <s v="Orion Group Holdings (ORN)  "/>
        <s v="VelocityShares 3x Inverse Natural Gas ETN linked to the S&amp;P GSCI Natural Gas Index Excess Return (DGAZ)  "/>
        <s v="Black Box (BBOX)  "/>
        <s v="Urban One Cl D (UONEK)  "/>
        <s v="Kazia Therapeutics ADR (KZIA)  "/>
        <s v="Camtek (CAMT)  "/>
        <s v="Medley Management Cl A (MDLY)  "/>
        <s v="InspireMD (NSPR)  "/>
        <s v="Kingtone Wirelessinfo Solution Holding ADR (KONE)  "/>
        <s v="Children's Place (PLCE)  "/>
        <s v="KBS Fashion Group (KBSF)  "/>
        <s v="Image Sensing Systems (ISNS)  "/>
        <s v="Akcea Therapeutics (AKCA)  "/>
        <s v="Cogint (COGT)  "/>
        <s v="Coastway Bancorp (CWAY)  "/>
        <s v="Covenant Transportation Group Cl A (CVTI)  "/>
        <s v="Allied Motion Technologies (AMOT)  "/>
        <s v="Restoration Robotics (HAIR)  "/>
        <s v="Arcus Biosciences (RCUS)  "/>
        <s v="Avid Bioservices (CDMO)  "/>
        <s v="Noodles Cl A (NDLS)  "/>
        <s v="Sierra Metals (SMTS)  "/>
        <s v="RLJ Entertainment (RLJE)  "/>
        <s v="Semtech (SMTC)  "/>
        <s v="Aehr Test Systems (AEHR)  "/>
        <s v="Level Brands (LEVB)  "/>
        <s v="Eltek (ELTK)  "/>
        <s v="Tuesday Morning (TUES)  "/>
        <s v="Connecticut Water Service (CTWS)  "/>
        <s v="UBS AG 1xMonthly Short E-TRACS for Alerian MLP Infrastructure Total Return Index 2040 (MLPS)  "/>
        <s v="CYREN (CYRN)  "/>
        <s v="Inovio Pharmaceuticals (INO)  "/>
        <s v="Quotient (QTNT)  "/>
        <s v="Mastech Digital (MHH)  "/>
        <s v="HMG/Courtland Properties (HMG)  "/>
        <s v="Leap Therapeutics (LPTX)  "/>
        <s v="TapImmune (TPIV)  "/>
        <s v="Lawson Products (LAWS)  "/>
        <s v="Verona Pharma ADR (VRNA)  "/>
        <s v="Direxion Daily Natural Gas Related Bear 3x Shares (GASX)  "/>
        <s v="Diversicare Healthcare Services (DVCR)  "/>
        <s v="Civeo (CVEO)  "/>
        <s v="Federated National Holding (FNHC)  "/>
        <s v="inTEST (INTT)  "/>
        <s v="CTI Industries (CTIB)  "/>
        <s v="Galmed Pharmaceuticals (GLMD)  "/>
        <s v="Consolidated Water (CWCO)  "/>
        <s v="Zion Oil&amp;Gas (ZN)  "/>
        <s v="Electro Scientific Industries (ESIO)  "/>
        <s v="Aeglea BioTherapeutics (AGLE)  "/>
        <s v="Barnes&amp;Noble (BKS)  "/>
        <s v="Urban One Cl A (UONE)  "/>
        <s v="ShotSpotter (SSTI)  "/>
        <s v="Magna International (MGA)  "/>
        <s v="Aratana Therapeutics (PETX)  "/>
        <s v="Fuwei Films Holdings (FFHL)  "/>
        <s v="ATA ADR (ATAI)  "/>
        <s v="SMART Global Holdings (SGH)  "/>
        <s v="3D Systems (DDD)  "/>
        <s v="Good Times Restaurants (GTIM)  "/>
        <s v="FTE Networks (FTNW)  "/>
        <s v="SG Blocks (SGBX)  "/>
        <s v="James River Group Holdings (JRVR)  "/>
        <s v="Edgewater Technology (EDGW)  "/>
        <s v="NovaBay Pharmaceuticals (NBY)  "/>
        <s v="AAC Holdings (AAC)  "/>
        <s v="NovaGold Resources (NG)  "/>
        <s v="Hallador Energy (HNRG)  "/>
        <s v="Dogness (International) (DOGZ)  "/>
        <s v="NuCana ADR (NCNA)  "/>
        <s v="GDS Holdings ADR (GDS)  "/>
        <s v="Dollar General (DG)  "/>
        <s v="Direxion Daily S&amp;P Biotech Bear 3X Shares (LABD)  "/>
        <s v="Otelco Cl A (OTEL)  "/>
        <s v="Vera Bradley (VRA)  "/>
        <s v="Spark Energy (SPKE)  "/>
        <s v="ProShares UltraShort MSCI Brazil Capped (BZQ)  "/>
        <s v="Artesian Resources Cl A (ARTNA)  "/>
        <s v="Zscaler (ZS)  "/>
        <s v="Senmiao Technology (AIHS)  "/>
        <s v="Qualstar (QBAK)  "/>
        <s v="NextDecade (NEXT)  "/>
        <s v="Teligent (TLGT)  "/>
        <s v="Revlon Cl A (REV)  "/>
        <s v="Chicken Soup for the Soul Entertainment Cl A (CSSE)  "/>
        <s v="Amyris (AMRS)  "/>
        <s v="Citi Trends (CTRN)  "/>
        <s v="Eastman Kodak (KODK)  "/>
        <s v="Stewardship Financial (SSFN)  "/>
        <s v="Destination Maternity (DEST)  "/>
        <s v="Forterra (FRTA)  "/>
        <s v="Natera (NTRA)  "/>
        <s v="iFresh (IFMK)  "/>
        <s v="Spok Holdings (SPOK)  "/>
        <s v="Shoe Carnival (SCVL)  "/>
        <s v="RumbleON Cl B (RMBL)  "/>
        <s v="Zumiez (ZUMZ)  "/>
        <s v="Network-1 Technologies (NTIP)  "/>
        <s v="Riot Blockchain (RIOT)  "/>
        <s v="ARC Document Solutions (ARC)  "/>
        <s v="Valhi (VHI)  "/>
        <s v="Jabil (JBL)  "/>
        <s v="OPKO Health (OPK)  "/>
        <s v="Blue Capital Reinsurance Holdings (BCRH)  "/>
        <s v="IntriCon (IIN)  "/>
        <s v="CymaBay Therapeutics (CBAY)  "/>
        <s v="Carbonite (CARB)  "/>
        <s v="Ampio Pharmaceuticals (AMPE)  "/>
        <s v="RELM Wireless (RWC)  "/>
        <s v="Edge Therapeutics (EDGE)  "/>
        <s v="KalVista Pharmaceuticals (KALV)  "/>
        <s v="Mustang Bio (MBIO)  "/>
        <s v="Farmers&amp;Merchants Bancorp (FMAO)  "/>
        <s v="First Guaranty Bancshares (FGBI)  "/>
        <s v="XBiotech (XBIT)  "/>
        <s v="KEYW Holding (KEYW)  "/>
        <s v="Cemtrex (CETX)  "/>
        <s v="SSLJ.com Cl A (SSLJ)  "/>
        <s v="NGL Energy Partners (NGL)  "/>
        <s v="Shenandoah Telecommunications (SHEN)  "/>
        <s v="Vital Therapies (VTL)  "/>
        <s v="ArQule (ARQL)  "/>
        <s v="OrthoPediatrics (KIDS)  "/>
        <s v="Selecta Biosciences (SELB)  "/>
        <s v="Vivint Solar (VSLR)  "/>
        <s v="ChromaDex (CDXC)  "/>
        <s v="Albireo Pharma (ALBO)  "/>
        <s v="Lazydays Holdings (LAZY)  "/>
        <s v="Boston Omaha (BOMN)  "/>
        <s v="Kala Pharmaceuticals (KALA)  "/>
        <s v="Ulta Beauty (ULTA)  "/>
        <s v="NuSTAR GP Holdings (NSH)  "/>
        <s v="PC-Tel (PCTI)  "/>
        <s v="Electronics for Imaging (EFII)  "/>
        <s v="Social Reality Cl A (SRAX)  "/>
        <s v="Winnebago Industries (WGO)  "/>
        <s v="Zymeworks (ZYME)  "/>
        <s v="Alaska Communications Systems Group (ALSK)  "/>
        <s v="Euroseas (ESEA)  "/>
        <s v="PFSweb (PFSW)  "/>
        <s v="DHT Holdings (DHT)  "/>
        <s v="NuSTAR Energy (NS)  "/>
        <s v="Invuity (IVTY)  "/>
        <s v="Buckle (BKE)  "/>
        <s v="Kewaunee Scientific (KEQU)  "/>
        <s v="Pioneer Energy Services (PES)  "/>
        <s v="Colony Bankcorp (CBAN)  "/>
        <s v="Roadrunner Transportation Systems (RRTS)  "/>
        <s v="Opiant Pharmaceuticals (OPNT)  "/>
        <s v="Xerium Technologies (XRM)  "/>
        <s v="VelocityShares Daily 2x VIX Short Term ETN (TVIX)  "/>
        <s v="ProShares Ultra VIX Short-Term Futures ETF (UVXY)  "/>
        <s v="VelocityShares VIX Tail Risk ETN linked to the S&amp;P 500 VIX Futures Tail Risk Index Short Term due July 18 2046 (BSWN)  "/>
        <s v="MediWound (MDWD)  "/>
        <s v="Par Technology (PAR)  "/>
        <s v="HTG Molecular Diagnostics (HTGM)  "/>
        <s v="SecureWorks Cl A (SCWX)  "/>
        <s v="VelocityShares VIX Variable Long/Short ETN linked to the S&amp;P 500 VIX Futures Variable Long/Short Index Short Term due July 18 2046 (LSVX)  "/>
        <s v="Cronos Group (CRON)  "/>
        <s v="ReTo Eco-Solutions (RETO)  "/>
        <s v="Northern Oil&amp;Gas (NOG)  "/>
        <s v="Barclays Bank iPath S&amp;P 500 VIX Short Term Futures ETN (VXX)  "/>
        <s v="VelocityShares VIX Short Term ETN (VIIX)  "/>
        <s v="ProShares VIX Short-Term Futures ETF (VIXY)  "/>
        <s v="Inspired Entertainment (INSE)  "/>
        <s v="Cheetah Mobile ADR (CMCM)  "/>
        <s v="Direxion Daily S&amp;P Oil&amp;Gas Exp.&amp;Prod. Bear 3X Shares (DRIP)  "/>
        <s v="Adams Resources&amp;Energy (AE)  "/>
        <s v="Aileron Therapeutics (ALRN)  "/>
        <s v="Canadian Solar (CSIQ)  "/>
        <s v="Raven Industries (RAVN)  "/>
        <s v="Orbotech (ORBK)  "/>
        <s v="Everspin Technologies (MRAM)  "/>
        <s v="Nightstar Therapeutics ADR (NITE)  "/>
        <s v="Co-Diagnostics (CODX)  "/>
        <s v="Geospace Technologies (GEOS)  "/>
        <s v="Madrigal Pharmaceuticals (MDGL)  "/>
        <s v="Sienna Biopharmaceuticals (SNNA)  "/>
        <s v="Stage Stores (SSI)  "/>
        <s v="ProShares UltraPro Short QQQ (SQQQ)  "/>
        <s v="iRadimed (IRMD)  "/>
        <s v="GeoPark (GPRK)  "/>
        <s v="Pieris Pharmaceuticals (PIRS)  "/>
        <s v="Direxion Daily Technology Bear 3x Shares (TECS)  "/>
        <s v="Hibbett Sports (HIBB)  "/>
        <s v="ADMA Biologics (ADMA)  "/>
        <s v="ProShares UltraPro Short NASDAQ Biotechnology (ZBIO)  "/>
        <s v="Gulf Island Fabrication (GIFI)  "/>
        <s v="VelocityShares Daily 2x VIX Medium Term ETN (TVIZ)  "/>
        <s v="Acme United (ACU)  "/>
        <s v="Synalloy (SYNL)  "/>
        <s v="National Healthcare (NHC)  "/>
        <s v="LexinFintech Holdings ADR (LX)  "/>
        <s v="GRAVITY ADR (GRVY)  "/>
        <s v="Kirkland's (KIRK)  "/>
        <s v="ProShares UltraShort Semiconductors (SSG)  "/>
        <s v="VelocityShares VIX Short Volatility Hedged ETN linked to the S&amp;P 500 VIX Futures Short Volatility Hedged Index Short Term due July 18 2046 (XIVH)  "/>
        <s v="AMCON Distributing (DIT)  "/>
        <s v="AVEO Pharmaceuticals (AVEO)  "/>
        <s v="SharpSpring (SHSP)  "/>
        <s v="Luxfer Holdings (LXFR)  "/>
        <s v="Barclays ADR (BCS)  "/>
        <s v="Educational Development (EDUC)  "/>
        <s v="Tailored Brands (TLRD)  "/>
        <s v="ADT (ADT)  "/>
        <s v="GWG Holdings (GWGH)  "/>
        <s v="Torm (TRMD)  "/>
        <s v="Direxion Daily Energy Bear 3x Shares (ERY)  "/>
        <s v="Stewart Information Services (STC)  "/>
        <s v="Command Security (MOC)  "/>
        <s v="JinkoSolar Holding ADR (JKS)  "/>
        <s v="Overstock.com (OSTK)  "/>
        <s v="ProShares UltraShort Technology (REW)  "/>
        <s v="BSQUARE (BSQR)  "/>
        <s v="Cannae Holdings (CNNE)  "/>
        <s v="Spartan Motors (SPAR)  "/>
        <s v="Pixelworks (PXLW)  "/>
        <s v="Arena Pharmaceuticals (ARNA)  "/>
        <s v="MuleSoft Cl A (MULE)  "/>
        <s v="CASI Pharmaceuticals (CASI)  "/>
        <s v="Stoneridge (SRI)  "/>
        <s v="China Auto Logistics (CALI)  "/>
        <s v="Electro-Sensors (ELSE)  "/>
        <s v="HealthEquity (HQY)  "/>
        <s v="Zealand Pharma ADR (ZEAL)  "/>
        <s v="Adesto Technologies (IOTS)  "/>
        <s v="Bandwidth Cl A (BAND)  "/>
        <s v="Ballard Power Systems (BLDP)  "/>
        <s v="Tabula Rasa HealthCare (TRHC)  "/>
        <s v="Xcel Brands (XELB)  "/>
        <s v="Altair Engineering Cl A (ALTR)  "/>
        <s v="Noah Holdings ADR (NOAH)  "/>
        <s v="SunPower (SPWR)  "/>
        <s v="YY ADR (YY)  "/>
        <s v="MVB Financial (MVBF)  "/>
        <s v="High Point Resources (HPR)  "/>
        <s v="American Realty Investors (ARL)  "/>
        <s v="PTC Therapeutics (PTCT)  "/>
        <s v="Prana Biotechnology ADR (PRAN)  "/>
        <s v="Baozun ADR (BZUN)  "/>
        <s v="iClick Interactive Asia Group ADR (ICLK)  "/>
        <s v="UBS E-TRACS - ProShares Daily 3x Long Crude ETN (WTIU)  "/>
        <s v="uniQure (QURE)  "/>
        <s v="Sorrento Therapeutics (SRNE)  "/>
        <s v="Molecular Templates (MTEM)  "/>
        <s v="Timken (TKR)  "/>
        <s v="Dynatronics (DYNT)  "/>
        <s v="Universal Display (OLED)  "/>
        <s v="eGain (EGAN)  "/>
        <s v="Sachem Capital (SACH)  "/>
        <s v="Audentes Therapeutics (BOLD)  "/>
        <s v="Broadvision (BVSN)  "/>
        <s v="Finjan Holdings (FNJN)  "/>
        <s v="Fanhua ADR (FANH)  "/>
        <s v="China TechFaith Wireless Communication Technology ADR (CNTF)  "/>
        <s v="ProShares UltraPro 3x Crude Oil ETF (OILU)  "/>
        <s v="VelocityShares 3x Long Crude Oil ETNs linked to the S&amp;P GSCI Crude Oil Index ER (UWT)  "/>
        <s v="Durect (DRRX)  "/>
        <s v="Babcock&amp;Wilcox Enterprises (BW)  "/>
        <s v="TAL Education Group ADR (TAL)  "/>
        <s v="Partner Communications ADR (PTNR)  "/>
        <s v="Fuling Global (FORK)  "/>
        <s v="58.com ADR (WUBA)  "/>
        <s v="Talend ADR (TLND)  "/>
        <s v="Solaris Oilfield Infrastructure Cl A (SOI)  "/>
        <s v="Atara Biotherapeutics (ATRA)  "/>
        <s v="ReneSola ADR (SOL)  "/>
        <s v="HV Bancorp (HVBC)  "/>
        <s v="Floor&amp;Decor Holdings Cl A (FND)  "/>
        <s v="AzurRx BioPharma (AZRX)  "/>
        <s v="iPath Global Carbon ETN (GRN)  "/>
        <s v="BeiGene ADR (BGNE)  "/>
        <s v="Shopify Cl A (SHOP)  "/>
        <s v="ION Geophysical (IO)  "/>
        <s v="Houston Wire&amp;Cable (HWCC)  "/>
        <s v="Affimed (AFMD)  "/>
        <s v="Byline Bancorp (BY)  "/>
        <s v="A-Mark Precious Metals (AMRK)  "/>
        <s v="KraneShares MSCI All China Health Care Index ETF (KURE)  "/>
        <s v="PBF Energy (PBF)  "/>
        <s v="Momo ADR (MOMO)  "/>
        <s v="Cloudera (CLDR)  "/>
        <s v="Harsco (HSC)  "/>
        <s v="GlycoMimetics (GLYC)  "/>
        <s v="Dova Pharmaceuticals (DOVA)  "/>
        <s v="Direxion Daily S&amp;P Oil&amp;Gas Exp.&amp;Prod. Bull 3X Shares (GUSH)  "/>
        <s v="DXP Enterprises (DXPE)  "/>
        <s v="Manning&amp;Napier (MN)  "/>
        <s v="Tecogen (TGEN)  "/>
        <s v="Pareteum (TEUM)  "/>
        <s v="NantHealth (NH)  "/>
        <s v="CARBO Ceramics (CRR)  "/>
        <s v="Prothena (PRTA)  "/>
        <s v="Technical Communications (TCCO)  "/>
        <s v="Sanchez Energy (SN)  "/>
        <s v="Achaogen (AKAO)  "/>
        <s v="California Resources (CRC)  "/>
        <s v="Direxion Daily Natural Gas Related Bull 3x Shares (GASL)  "/>
        <s v="Youngevity International (YGYI)  "/>
        <s v="Abraxas Petroleum (AXAS)  "/>
        <s v="Ever-Glory International Group (EVK)  "/>
        <s v="NanoVibronix (NAOV)  "/>
        <s v="Lonestar Resources US Cl A (LONE)  "/>
        <s v="Direxion Daily Junior Gold Miners Index Bull 3X Shares (JNUG)  "/>
        <s v="Harvard Bioscience (HBIO)  "/>
        <s v="Westport Fuel Systems (WPRT)  "/>
        <s v="Denbury Resources (DNR)  "/>
        <s v="Smart Sand (SND)  "/>
        <s v="Whiting Petroleum (WLL)  "/>
        <s v="WildHorse Resource Development (WRD)  "/>
        <s v="Kandi Technologies Group (KNDI)  "/>
        <s v="Baytex Energy (BTE)  "/>
        <s v="Daqo New Energy ADR (DQ)  "/>
        <s v="Legacy Reserves (LGCY)  "/>
        <s v="Hecla Mining (HL)  "/>
        <s v="Encana (ECA)  "/>
        <s v="SM Energy (SM)  "/>
        <s v="Rowan Cos. (RDC)  "/>
        <s v="Cohu (COHU)  "/>
        <s v="Benefitfocus (BNFT)  "/>
        <s v="Diamond Offshore Drilling (DO)  "/>
        <s v="Abeona Therapeutics (ABEO)  "/>
        <s v="Direxion Daily Gold Miners Index Bull 3x Shares (NUGT)  "/>
        <s v="QEP Resources (QEP)  "/>
        <s v="Odyssey Marine Exploration (OMEX)  "/>
        <s v="Gulfmark Offshore (GLF)  "/>
        <s v="Fairmount Santrol Holdings (FMSA)  "/>
        <s v="Penn Virginia (PVAC)  "/>
        <s v="Direxion Daily Energy Bull 3x Shares (ERX)  "/>
        <s v="Range Resources (RRC)  "/>
        <s v="Pacira Pharmaceuticals (PCRX)  "/>
        <s v="Bioblast Pharma (ORPN)  "/>
        <s v="Nathan's Famous (NATH)  "/>
        <s v="VEON ADR (VEON)  "/>
        <s v="Transocean (RIG)  "/>
        <s v="Nabors Industries (NBR)  "/>
        <s v="Oasis Petroleum (OAS)  "/>
        <s v="Direxion Daily Silver Miners Index Bull 2X Shares (SHNY)  "/>
        <s v="Independence Contract Drilling (ICD)  "/>
        <s v="Direxion Daily Russia Bull 3x Shares (RUSL)  "/>
        <s v="RigNet (RNET)  "/>
        <s v="Companhia Siderurgica Nacional ADR (SID)  "/>
        <s v="Nine Energy Service (NINE)  "/>
        <s v="Mammoth Energy Services (TUSK)  "/>
        <s v="Continental Resources (CLR)  "/>
        <s v="Maui Land&amp;Pineapple (MLP)  "/>
        <s v="Menlo Therapeutics (MNLO)  "/>
        <s v="Frank's International (FI)  "/>
        <s v="Genworth Financial Cl A (GNW)  "/>
        <s v="Silvercorp Metals (SVM)  "/>
        <s v="Duluth Holdings Cl B (DLTH)  "/>
        <s v="Marathon Oil (MRO)  "/>
        <s v="ENSCO (ESV)  "/>
        <s v="Noble (NE)  "/>
        <s v="Endeavour Silver (EXK)  "/>
        <s v="C&amp;J Energy Services (CJ)  "/>
        <s v="Omeros (OMER)  "/>
        <s v="Guess? (GES)  "/>
        <s v="Lands' End (LE)  "/>
        <s v="VivoPower International (VVPR)  "/>
        <s v="Fusion Telecommunications International (FSNN)  "/>
        <s v="LiveXLive Media (LIVX)  "/>
        <s v="ProShares UltraPro Short Financial Select Sector (FINZ)  "/>
        <s v="Direxion Daily FTSE China Bear 3X Shares (YANG)  "/>
        <s v="Wheeler Real Estate Investment Trust (WHLR)  "/>
        <s v="Direxion Daily Emerging Markets Bear 3x Shares (EDZ)  "/>
        <s v="Direxion Daily Financial Bear 3x Shares (FAZ)  "/>
        <s v="ProShares UltraPro Short Dow30 (SDOW)  "/>
        <s v="Vuzix (VUZI)  "/>
        <s v="Arbutus Biopharma (ABUS)  "/>
        <s v="Luna Innovations (LUNA)  "/>
        <s v="ProShares UltraPro Short S&amp;P 500 (SPXU)  "/>
        <s v="ProShares UltraShort FTSE/Xinhua China 25 (FXP)  "/>
        <s v="ProShares UltraShort Basic Materials (SMN)  "/>
        <s v="Direxion Daily S&amp;P 500 Bear 3X Shares (SPXS)  "/>
        <s v="ProShares UltraPro Short MidCap400 (SMDD)  "/>
        <s v="United-Guardian (UG)  "/>
        <s v="Direxion Daily Mid Cap Bear 3x Shares (MIDZ)  "/>
        <s v="YogaWorks (YOGA)  "/>
        <s v="ProShares UltraShort MSCI Emerging Markets (EEV)  "/>
        <s v="ProShares UltraPro Short Russell2000 (SRTY)  "/>
        <s v="Direxion Daily Small Cap Bear 3x Shares (TZA)  "/>
        <s v="ProShares UltraShort Financials (SKF)  "/>
        <s v="MGP Ingredients (MGPI)  "/>
        <s v="Tyme Technologies (TYME)  "/>
        <s v="ProShares UltraShort Dow30 (DXD)  "/>
        <s v="UBS E-TRACS - ProShares Daily 3x Inverse Crude ETN (WTID)  "/>
        <s v="Direxion Daily Developed Markets Bear 3x Shares (DPK)  "/>
        <s v="pdvWireless (PDVW)  "/>
        <s v="ProShares UltraShort MidCap400 (MZZ)  "/>
        <s v="Tidewater (TDW)  "/>
        <s v="VelocityShares 3x Inverse Crude Oil ETNs linked to the S&amp;P GSCI Crude Oil Index ER (DWT)  "/>
        <s v="ProShares UltraPro 3x Short Crude Oil ETF (OILD)  "/>
        <s v="CPI Aerostructures (CVU)  "/>
        <s v="United Bancorp (UBCP)  "/>
        <s v="ProShares UltraShort QQQ (QID)  "/>
        <s v="Sapiens International (SPNS)  "/>
        <s v="Sears Hometown&amp;Outlet Stores (SHOS)  "/>
        <s v="FS Investment (FSIC)  "/>
        <s v="ProShares UltraShort S&amp;P500 (SDS)  "/>
        <s v="Grupo Televisa ADR (TV)  "/>
        <s v="BioDelivery Sciences International (BDSI)  "/>
        <s v="Yintech Investment Holdings ADR (YIN)  "/>
        <s v="Ovid Therapeutics (OVID)  "/>
        <s v="ProShares UltraShort Nasdaq Biotechnology (BIS)  "/>
        <s v="Lightpath Technologies Cl A (LPTH)  "/>
        <s v="United States 3x Short Oil Fund (USOD)  "/>
        <s v="Direxion Daily Gold Miners Index Bear 3x Shares (DUST)  "/>
        <s v="Secoo Holding ADR (SECO)  "/>
        <s v="Esquire Financial Holdings (ESQ)  "/>
        <s v="Magal Security Systems (MAGS)  "/>
        <s v="ProShares UltraShort Russell2000 (TWM)  "/>
        <s v="Five Below (FIVE)  "/>
        <s v="Auburn National Bancorp (AUBN)  "/>
        <s v="DropBox (DBX)  "/>
        <s v="New York (NWY)  "/>
        <s v="CareDx (CDNA)  "/>
        <s v="At Home Group (HOME)  "/>
        <s v="Renmin Tianli Group (ABAC)  "/>
        <s v="Evofem Biosciences (EVFM)  "/>
        <s v="Odonate Therapeutics (ODT)  "/>
        <s v="ProShares UltraShort Industrials (SIJ)  "/>
        <s v="Quorum Health (QHC)  "/>
        <s v="Euro Tech Holdings (CLWT)  "/>
        <s v="Fred's (FRED)  "/>
        <s v="Celcuity (CELC)  "/>
        <s v="GEE Group (JOB)  "/>
        <s v="Solid Biosciences (SLDB)  "/>
        <s v="Foamix Pharmaceuticals (FOMX)  "/>
        <s v="Manitex International (MNTX)  "/>
        <s v="Viveve Medical (VIVE)  "/>
        <s v="Dixie Group (DXYN)  "/>
        <s v="Ability (ABIL)  "/>
        <s v="Grana y Montero ADR (GRAM)  "/>
        <s v="Interlink Electronics (LINK)  "/>
        <s v="Aquinox Pharmaceuticals (AQXP)  "/>
        <s v="Universal Technical Institute (UTI)  "/>
        <s v="ProShares UltraShort SmallCap600 (SDD)  "/>
        <s v="Finish Line Cl A (FINL)  "/>
        <s v="ProShares UltraShort Health Care (RXD)  "/>
        <s v="Ritter Pharmaceuticals (RTTR)  "/>
        <s v="ProShares Ultra Gold Miners (GDXX)  "/>
        <s v="Highway Holdings (HIHO)  "/>
        <s v="SMTC (SMTX)  "/>
        <s v="AngloGold Ashanti ADR (AU)  "/>
        <s v="Kinross Gold (KGC)  "/>
        <s v="G-III Apparel Group (GIII)  "/>
        <s v="Industrial Services of America (IDSA)  "/>
        <s v="Bonso Electronics International (BNSO)  "/>
        <s v="Direxion Daily Real Estate Bear 3x Shares (DRV)  "/>
        <s v="Eyenovia (EYEN)  "/>
        <s v="Tandem Diabetes Care (TNDM)  "/>
        <s v="CSP (CSPI)  "/>
        <s v="ProShares Ultra Bloomberg Crude Oil (UCO)  "/>
        <s v="Alamos Gold (AGI)  "/>
        <s v="SilverBow Resources (SBOW)  "/>
        <s v="Goldcorp (GG)  "/>
        <s v="USG (USG)  "/>
        <s v="Travelport Worldwide (TVPT)  "/>
        <s v="Bellerophon Therapeutics (BLPH)  "/>
        <s v="Siebert Financial (SIEB)  "/>
        <s v="OncoMed Pharmaceuticals (OMED)  "/>
        <s v="AcelRx Pharmaceuticals (ACRX)  "/>
        <s v="Direxion Daily Semiconductor Bull 3X Shares (SOXL)  "/>
        <s v="Energous (WATT)  "/>
        <s v="Direxion Daily Technology Bull 3x Shares (TECL)  "/>
        <s v="ProShares UltraPro QQQ (TQQQ)  "/>
        <s v="Direxion Daily FTSE China Bull 3X Shares (YINN)  "/>
        <s v="Direxion Daily South Korea Bull 3X Shares (KORU)  "/>
        <s v="BMO REX MicroSectors FANG+ Index 3X Leveraged ETN (FNGU)  "/>
        <s v="Nova Lifestyle (NVFY)  "/>
        <s v="Direxion Daily Emerging Markets Bull 3x Shares (EDC)  "/>
        <s v="Direxion Daily Regional Banks Bull 3X Shares (DPST)  "/>
        <s v="ProShares UltraPro Financial Select Sector (FINU)  "/>
        <s v="ProShares Ultra Semiconductors (USD)  "/>
        <s v="Direxion Daily MSCI India Bull 3X Shares (INDL)  "/>
        <s v="B.O.S. Better Online Solutions (BOSC)  "/>
        <s v="Direxion Daily Retail Bull 3x Shares (RETL)  "/>
        <s v="Insys Therapeutics (INSY)  "/>
        <s v="Tile Shop Holdings (TTS)  "/>
        <s v="Build-A-Bear Workshop (BBW)  "/>
        <s v="Revolution Lighting Technologies (RVLT)  "/>
        <s v="ProShares UltraPro Dow 30 (UDOW)  "/>
        <s v="Scansource (SCSC)  "/>
        <s v="Direxion Daily S&amp;P Biotech Bull 3X Shares (LABU)  "/>
        <s v="Direxion Daily Financial Bull 3x Shares (FAS)  "/>
        <s v="Direxion Daily S&amp;P 500 Bull 3X Shares (SPXL)  "/>
        <s v="MiMedx Group (MDXG)  "/>
        <s v="ProQR Therapeutics (PRQR)  "/>
        <s v="ProShares UltraPro S&amp;P 500 (UPRO)  "/>
        <s v="ProShares Ultra Technology (ROM)  "/>
        <s v="Proshares UltraPro NASDAQ Biotechnology (UBIO)  "/>
        <s v="Preformed Line Products (PLPC)  "/>
        <s v="Roku Cl A (ROKU)  "/>
        <s v="Belden (BDC)  "/>
        <s v="iKang Healthcare Group ADR (KANG)  "/>
        <s v="UroGen Pharma (URGN)  "/>
        <s v="Enanta Pharmaceuticals (ENTA)  "/>
        <s v="Direxion Daily Aerospace&amp;Defense Bull 3X Shares (DFEN)  "/>
        <s v="Microsoft (MSFT)  "/>
        <s v="Anavex Life Sciences (AVXL)  "/>
        <s v="ProShares Ultra QQQ (QLD)  "/>
        <s v="Atlanticus Holdings (ATLC)  "/>
        <s v="ProShares Ultra FTSE/Xinhua China 25 (XPP)  "/>
        <s v="Harmony Gold Mining ADR (HMY)  "/>
        <s v="Ultra Clean Holdings (UCTT)  "/>
        <s v="Semiconductor Manufacturing International ADR (SMI)  "/>
        <s v="Direxion Daily Homebuilders&amp;Supplies Bull 3X Shares (NAIL)  "/>
        <s v="Immunogen (IMGN)  "/>
        <s v="Boot Barn Holdings (BOOT)  "/>
        <s v="Cloud Peak Energy (CLD)  "/>
        <s v="Takung Art (TKAT)  "/>
        <s v="Presidio (PSDO)  "/>
        <s v="Paycom Software (PAYC)  "/>
        <s v="Direxion Daily Industrials Bull 3X Shares (DUSL)  "/>
        <s v="Lowe's (LOW)  "/>
        <s v="Direxion Daily Mid Cap Bull 3x Shares (MIDU)  "/>
        <s v="Direxion Daily Small Cap Bull 3x Shares (TNA)  "/>
        <s v="Immunomedics (IMMU)  "/>
        <s v="Ambac Financial Group (AMBC)  "/>
        <s v="Conn's (CONN)  "/>
        <s v="Adobe Systems (ADBE)  "/>
        <s v="ProShares UltraPro Russell2000 (URTY)  "/>
        <s v="Netflix (NFLX)  "/>
        <s v="AgEagle Aerial Systems (UAVS)  "/>
        <s v="Moxian (MOXC)  "/>
        <s v="Marrone Bio Innovations (MBII)  "/>
        <s v="TOP Ships (TOPS)  "/>
        <s v="Athenex (ATNX)  "/>
        <s v="Altisource Asset Management (AAMC)  "/>
        <s v="Hailiang Education Group ADR (HLG)  "/>
        <s v="Nymox Pharmaceutical (NYMX)  "/>
        <s v="Rayonier Advanced Materials (RYAM)  "/>
        <s v="Neurotrope (NTRP)  "/>
        <s v="Xenetic Biosciences (XBIO)  "/>
        <s v="Four Seasons Education (Cayman) ADR (FEDU)  "/>
        <s v="NanoString Technologies (NSTG)  "/>
        <s v="Vitamin Shoppe (VSI)  "/>
        <s v="Citius Pharmaceuticals (CTXR)  "/>
        <s v="Sierra Wireless (SWIR)  "/>
        <s v="Tallgrass Energy Partners (TEP)  "/>
        <s v="SORL Auto Parts (SORL)  "/>
        <s v="Beasley Broadcast Group Cl A (BBGI)  "/>
        <s v="CVD Equipment (CVV)  "/>
        <s v="ShiftPixy (PIXY)  "/>
        <s v="Forward Pharma ADR (FWP)  "/>
        <s v="Ashford (AINC)  "/>
        <s v="Funko Cl A (FNKO)  "/>
        <s v="Wilhelmina International (WHLM)  "/>
        <s v="Direxion Daily Utilities Bull 3X Shares (UTSL)  "/>
        <s v="Direxion Daily Junior Gold Miners Index Bear 3X Shares (JDST)  "/>
        <s v="Helios&amp;Matheson Analytics (HMNY)  "/>
        <s v="Strongbridge Biopharma (SBBP)  "/>
        <s v="Celyad ADR (CYAD)  "/>
        <s v="China Yuchai International (CYD)  "/>
        <s v="Huami ADR (HMI)  "/>
        <s v="Cardiome Pharma (CRME)  "/>
        <s v="Global Self Storage (SELF)  "/>
        <s v="Banco Bradesco Ord ADR (BBDO)  "/>
        <s v="Barclays Bank iPath S&amp;P 500 VIX Mid Term Futures ETN (VXZ)  "/>
        <s v="ProShares VIX Mid-Term Futures ETF (VIXM)  "/>
        <s v="Summit Midstream Partners (SMLP)  "/>
        <s v="Nautilus (NLS)  "/>
        <s v="CNX Resources (CNX) " u="1"/>
        <s v="CytomX Therapeutics (CTMX) " u="1"/>
        <s v="GNC Holdings Cl A (GNC) " u="1"/>
        <s v="Xenon Pharmaceuticals (XENE) " u="1"/>
        <s v="SG Blocks (SGBX) " u="1"/>
        <s v="Collegium Pharmaceutical (COLL) " u="1"/>
        <s v="Evolent Health Cl A (EVH) " u="1"/>
        <s v="VelocityShares 3x Long Crude Oil ETNs linked to the S&amp;P GSCI Crude Oil Index ER (UWT) " u="1"/>
        <s v="Cleveland-Cliffs (CLF) " u="1"/>
        <s v="MyoKardia (MYOK) " u="1"/>
        <s v="Repligen (RGEN) " u="1"/>
        <s v="Whiting Petroleum (WLL) " u="1"/>
        <s v="Yangtze River Port&amp;Logistics (YRIV) " u="1"/>
        <s v="51job ADR (JOBS) " u="1"/>
        <s v="Cytosorbents (CTSO) " u="1"/>
        <s v="icad (ICAD) " u="1"/>
        <s v="Motus GI Holdings (MOTS) " u="1"/>
        <s v="Career Education (CECO) " u="1"/>
        <s v="Hingham Institution for Savings (HIFS) " u="1"/>
        <s v="Minerva Neurosciences (NERV) " u="1"/>
        <s v="Technical Communications (TCCO) " u="1"/>
        <s v="Dicerna Pharmaceuticals (DRNA) " u="1"/>
        <s v="Trinity Place Holdings (TPHS) " u="1"/>
        <s v="OpGen (OPGN) " u="1"/>
        <s v="MYnd Analytics (MYND) " u="1"/>
        <s v="Douglas Dynamics (PLOW) " u="1"/>
        <s v="Party City Holdco (PRTY) " u="1"/>
        <s v="MGP Ingredients (MGPI) " u="1"/>
        <s v="Telephone&amp;Data Systems (TDS) " u="1"/>
        <s v="Heritage-Crystal Clean (HCCI) " u="1"/>
        <s v="Pangaea Logistics Solutions (PANL) " u="1"/>
        <s v="TreeHouse Foods (THS) " u="1"/>
        <s v="Ruth's Hospitality Group (RUTH) " u="1"/>
        <s v="Kandi Technologies Group (KNDI) " u="1"/>
        <s v="Strongbridge Biopharma (SBBP) " u="1"/>
        <s v="Advance Auto Parts (AAP) " u="1"/>
        <s v="Fusion Telecommunications International (FSNN) " u="1"/>
        <s v="500.com ADR (WBAI) " u="1"/>
        <s v="Mindbody (MB) " u="1"/>
        <s v="ProShares UltraShort FTSE/Xinhua China 25 (FXP) " u="1"/>
        <s v="TSR (TSRI) " u="1"/>
        <s v="LSC Communications (LKSD) " u="1"/>
        <s v="Fiesta Restaurant Group (FRGI) " u="1"/>
        <s v="Evogene (EVGN) " u="1"/>
        <s v="WSI Industries (WSCI) " u="1"/>
        <s v="Reven Housing REIT (RVEN) " u="1"/>
        <s v="RSP Permian (RSPP) " u="1"/>
        <s v="Ascent Capital Group Series A (ASCMA) " u="1"/>
        <s v="Tel Instrument Electronics (TIK) " u="1"/>
        <s v="DMC Global (BOOM) " u="1"/>
        <s v="DryShips (DRYS) " u="1"/>
        <s v="Arrowhead Pharmaceuticals (ARWR) " u="1"/>
        <s v="Baytex Energy (BTE) " u="1"/>
        <s v="Mattersight (MATR) " u="1"/>
        <s v="vTv Therapeutics Cl A (VTVT) " u="1"/>
        <s v="HTG Molecular Diagnostics (HTGM) " u="1"/>
        <s v="Fate Therapeutics (FATE) " u="1"/>
        <s v="Despegar.com (DESP) " u="1"/>
        <s v="Altair Engineering Cl A (ALTR) " u="1"/>
        <s v="Express Scripts Holding (ESRX) " u="1"/>
        <s v="Catalyst Biosciences (CBIO) " u="1"/>
        <s v="Parsley Energy Cl A (PE) " u="1"/>
        <s v="Quotient (QTNT) " u="1"/>
        <s v="Allied Healthcare Products (AHPI) " u="1"/>
        <s v="Tyme Technologies (TYME) " u="1"/>
        <s v="Centrais Eletricas Brasileiras ADR (EBR) " u="1"/>
        <s v="58.com ADR (WUBA) " u="1"/>
        <s v="Arcadia Biosciences (RKDA) " u="1"/>
        <s v="AXIS Capital Holdings (AXS) " u="1"/>
        <s v="Direxion Daily FTSE China Bull 3X Shares (YINN) " u="1"/>
        <s v="InflaRx (IFRX) " u="1"/>
        <s v="Sea ADR (SE) " u="1"/>
        <s v="Air Transport Services Group (ATSG) " u="1"/>
        <s v="Novume Solutions (NVMM) " u="1"/>
        <s v="R.R. Donnelley&amp;Sons (RRD) " u="1"/>
        <s v="CryoLife (CRY) " u="1"/>
        <s v="China Yuchai International (CYD) " u="1"/>
        <s v="Allena Pharmaceuticals (ALNA) " u="1"/>
        <s v="United States 3x Short Oil Fund (USOD) " u="1"/>
        <s v="Inphi (IPHI) " u="1"/>
        <s v="Shutterstock (SSTK) " u="1"/>
        <s v="SSLJ.com Cl A (SSLJ) " u="1"/>
        <s v="Daxor (DXR) " u="1"/>
        <s v="Ramaco Resources (METC) " u="1"/>
        <s v="Mammoth Energy Services (TUSK) " u="1"/>
        <s v="New York Mortgage Trust (NYMT) " u="1"/>
        <s v="SpartanNash (SPTN) " u="1"/>
        <s v="Myomo (MYO) " u="1"/>
        <s v="NanoVibronix (NAOV) " u="1"/>
        <s v="Veritone (VERI) " u="1"/>
        <s v="Emmis Communications Cl A (EMMS) " u="1"/>
        <s v="Energous (WATT) " u="1"/>
        <s v="InterNAP (INAP) " u="1"/>
        <s v="VelocityShares Daily 2x VIX Short Term ETN (TVIX) " u="1"/>
        <s v="Quanex Building Products (NX) " u="1"/>
        <s v="Ashford Hospitality Trust (AHT) " u="1"/>
        <s v="Noah Holdings ADR (NOAH) " u="1"/>
        <s v="Finish Line Cl A (FINL) " u="1"/>
        <s v="Phoenix New Media Cl A ADR (FENG) " u="1"/>
        <s v="KBS Fashion Group (KBSF) " u="1"/>
        <s v="Celldex Therapeutics (CLDX) " u="1"/>
        <s v="Immersion (IMMR) " u="1"/>
        <s v="G1 Therapeutics (GTHX) " u="1"/>
        <s v="Quad/Graphics (QUAD) " u="1"/>
        <s v="PPDAI Group ADR (PPDF) " u="1"/>
        <s v="China Eastern Airlines ADR (CEA) " u="1"/>
        <s v="Adaptimmune Therapeutics ADR (ADAP) " u="1"/>
        <s v="Cogint (COGT) " u="1"/>
        <s v="Triton International (TRTN) " u="1"/>
        <s v="Ooma (OOMA) " u="1"/>
        <s v="Tredegar (TG) " u="1"/>
        <s v="ICU Medical (ICUI) " u="1"/>
        <s v="Siebert Financial (SIEB) " u="1"/>
        <s v="KemPharm (KMPH) " u="1"/>
        <s v="Intrexon (XON) " u="1"/>
        <s v="IDT Cl B (IDT) " u="1"/>
        <s v="Student Transportation (STB) " u="1"/>
        <s v="Universal Insurance Holdings (UVE) " u="1"/>
        <s v="Qudian ADR (QD) " u="1"/>
        <s v="Etsy (ETSY) " u="1"/>
        <s v="Acadia Healthcare (ACHC) " u="1"/>
        <s v="Upland Software (UPLD) " u="1"/>
        <s v="inTEST (INTT) " u="1"/>
        <s v="GEE Group (JOB) " u="1"/>
        <s v="VelocityShares VIX Tail Risk ETN linked to the S&amp;P 500 VIX Futures Tail Risk Index Short Term due July 18 2046 (BSWN) " u="1"/>
        <s v="Booking Holdings (BKNG) " u="1"/>
        <s v="WEX (WEX) " u="1"/>
        <s v="CarGurus Cl A (CARG) " u="1"/>
        <s v="ProShares UltraPro Short MidCap400 (SMDD) " u="1"/>
        <s v="Silvercrest Asset Management Group Cl A (SAMG) " u="1"/>
        <s v="NuCana ADR (NCNA) " u="1"/>
        <s v="ITUS (ITUS) " u="1"/>
        <s v="Manning&amp;Napier (MN) " u="1"/>
        <s v="Iteris (ITI) " u="1"/>
        <s v="Biohaven Pharmaceutical Holding (BHVN) " u="1"/>
        <s v="Hurco (HURC) " u="1"/>
        <s v="Voyager Therapeutics (VYGR) " u="1"/>
        <s v="Direxion Daily MSCI India Bull 3X Shares (INDL) " u="1"/>
        <s v="CGG ADR (CGG) " u="1"/>
        <s v="Global Brass&amp;Copper Holdings (BRSS) " u="1"/>
        <s v="Darling Ingredients (DAR) " u="1"/>
        <s v="BMO REX MicroSectors FANG+ Index 3X Leveraged ETN (FNGU) " u="1"/>
        <s v="ProShares UltraShort Semiconductors (SSG) " u="1"/>
        <s v="Build-A-Bear Workshop (BBW) " u="1"/>
        <s v="Hertz Global Holdings (HTZ) " u="1"/>
        <s v="Spectrum Pharmaceuticals (SPPI) " u="1"/>
        <s v="Pain Therapeutics (PTIE) " u="1"/>
        <s v="Dillard's (DDS) " u="1"/>
        <s v="InterDigital (IDCC) " u="1"/>
        <s v="Conifer Holdings (CNFR) " u="1"/>
        <s v="Peak Resorts (SKIS) " u="1"/>
        <s v="Aqua Metals (AQMS) " u="1"/>
        <s v="Blue Buffalo Pet Products (BUFF) " u="1"/>
        <s v="CareDx (CDNA) " u="1"/>
        <s v="Web.com Group (WEB) " u="1"/>
        <s v="Portola Pharmaceuticals (PTLA) " u="1"/>
        <s v="Interface (TILE) " u="1"/>
        <s v="Biofrontera ADR (BFRA) " u="1"/>
        <s v="Jason Industries (JASN) " u="1"/>
        <s v="Stepan (SCL) " u="1"/>
        <s v="Daqo New Energy ADR (DQ) " u="1"/>
        <s v="Youngevity International (YGYI) " u="1"/>
        <s v="LivePerson (LPSN) " u="1"/>
        <s v="ProShares UltraShort MSCI Emerging Markets (EEV) " u="1"/>
        <s v="Direxion Daily Energy Bull 3x Shares (ERX) " u="1"/>
        <s v="CynergisTek (CTEK) " u="1"/>
        <s v="PTC Therapeutics (PTCT) " u="1"/>
        <s v="Direxion Daily Energy Bear 3x Shares (ERY) " u="1"/>
        <s v="Co-Diagnostics (CODX) " u="1"/>
        <s v="Rowan Cos. (RDC) " u="1"/>
        <s v="Mersana Therapeutics (MRSN) " u="1"/>
        <s v="Northern Oil&amp;Gas (NOG) " u="1"/>
        <s v="Direxion Daily Emerging Markets Bear 3x Shares (EDZ) " u="1"/>
        <s v="CommerceHub Series C (CHUBK) " u="1"/>
        <s v="OptimumBank Holdings (OPHC) " u="1"/>
        <s v="Amedica (AMDA) " u="1"/>
        <s v="Summit Therapeutics ADR (SMMT) " u="1"/>
        <s v="Abeona Therapeutics (ABEO) " u="1"/>
        <s v="FormFactor (FORM) " u="1"/>
        <s v="Zion Oil&amp;Gas (ZN) " u="1"/>
        <s v="Blue Apron Holdings Cl A (APRN) " u="1"/>
        <s v="Beasley Broadcast Group Cl A (BBGI) " u="1"/>
        <s v="Stratasys (SSYS) " u="1"/>
        <s v="Zebra Technologies Cl A (ZBRA) " u="1"/>
        <s v="Art's Way Manufacturing (ARTW) " u="1"/>
        <s v="FTE Networks (FTNW) " u="1"/>
        <s v="Quaker Chemical (KWR) " u="1"/>
        <s v="AxoGen (AXGN) " u="1"/>
        <s v="Direxion Daily Natural Gas Related Bull 3x Shares (GASL) " u="1"/>
        <s v="Golden Ocean Group (GOGL) " u="1"/>
        <s v="Covanta Holding (CVA) " u="1"/>
        <s v="2U (TWOU) " u="1"/>
        <s v="Cidara Therapeutics (CDTX) " u="1"/>
        <s v="Agenus (AGEN) " u="1"/>
        <s v="Sonoma Pharmaceuticals (SNOA) " u="1"/>
        <s v="Southwestern Energy (SWN) " u="1"/>
        <s v="NN (NNBR) " u="1"/>
        <s v="PRA Group (PRAA) " u="1"/>
        <s v="SailPoint Technologies Holdings (SAIL) " u="1"/>
        <s v="IZEA (IZEA) " u="1"/>
        <s v="ENSCO (ESV) " u="1"/>
        <s v="Veritiv (VRTV) " u="1"/>
        <s v="Dragon Victory International (LYL) " u="1"/>
        <s v="Dunxin Financial Holdings ADR (DXF) " u="1"/>
        <s v="Oragenics (OGEN) " u="1"/>
        <s v="UroGen Pharma (URGN) " u="1"/>
        <s v="Adams Resources&amp;Energy (AE) " u="1"/>
        <s v="Deciphera Pharmaceuticals (DCPH) " u="1"/>
        <s v="iFresh (IFMK) " u="1"/>
        <s v="Zosano Pharma (ZSAN) " u="1"/>
        <s v="Bel Fuse Cl A (BELFA) " u="1"/>
        <s v="FTI Consulting (FCN) " u="1"/>
        <s v="Natural Grocers by Vitamin Cottage (NGVC) " u="1"/>
        <s v="Immuron ADR (IMRN) " u="1"/>
        <s v="Integer Holdings (ITGR) " u="1"/>
        <s v="United Microelectronics ADR (UMC) " u="1"/>
        <s v="Triple-S Management Cl B (GTS) " u="1"/>
        <s v="Histogenics (HSGX) " u="1"/>
        <s v="Amyris (AMRS) " u="1"/>
        <s v="Kazia Therapeutics ADR (KZIA) " u="1"/>
        <s v="Sunesis Pharmaceuticals (SNSS) " u="1"/>
        <s v="Shiloh Industries (SHLO) " u="1"/>
        <s v="VelocityShares VIX Medium Term ETN (VIIZ) " u="1"/>
        <s v="Appian Cl A (APPN) " u="1"/>
        <s v="Brunswick (BC) " u="1"/>
        <s v="SemiLEDS (LEDS) " u="1"/>
        <s v="Chico's Fas (CHS) " u="1"/>
        <s v="GeoPark (GPRK) " u="1"/>
        <s v="Talend ADR (TLND) " u="1"/>
        <s v="Mastech Digital (MHH) " u="1"/>
        <s v="Catasys (CATS) " u="1"/>
        <s v="Macrogenics (MGNX) " u="1"/>
        <s v="Contango Oil&amp;Gas (MCF) " u="1"/>
        <s v="Ocwen Financial (OCN) " u="1"/>
        <s v="Key Energy Services (KEG) " u="1"/>
        <s v="Infinity Pharmaceuticals (INFI) " u="1"/>
        <s v="Concord Medical Services Holdings ADR (CCM) " u="1"/>
        <s v="Transalta (TAC) " u="1"/>
        <s v="Container Store Group (TCS) " u="1"/>
        <s v="Intellia Therapeutics (NTLA) " u="1"/>
        <s v="Wayside Technology Group (WSTG) " u="1"/>
        <s v="Green Dot Cl A (GDOT) " u="1"/>
        <s v="Forward Pharma ADR (FWP) " u="1"/>
        <s v="Neurotrope (NTRP) " u="1"/>
        <s v="CRH Medical (CRHM) " u="1"/>
        <s v="AK Steel Holding (AKS) " u="1"/>
        <s v="Clearside Biomedical (CLSD) " u="1"/>
        <s v="Enphase Energy (ENPH) " u="1"/>
        <s v="Direxion Daily Russia Bull 3x Shares (RUSL) " u="1"/>
        <s v="La-Z-Boy (LZB) " u="1"/>
        <s v="Potbelly (PBPB) " u="1"/>
        <s v="China Rapid Finance ADR (XRF) " u="1"/>
        <s v="Newater Technology (NEWA) " u="1"/>
        <s v="Intelsat (I) " u="1"/>
        <s v="Rent-A-Center (RCII) " u="1"/>
        <s v="American Public Education (APEI) " u="1"/>
        <s v="Everi Holdings (EVRI) " u="1"/>
        <s v="Patriot Transportation Holding (PATI) " u="1"/>
        <s v="Concert Pharmaceuticals (CNCE) " u="1"/>
        <s v="Sears Holdings (SHLD) " u="1"/>
        <s v="Direxion Daily Real Estate Bear 3x Shares (DRV) " u="1"/>
        <s v="Telecom Italia ADR (TIA) " u="1"/>
        <s v="Orion Group Holdings (ORN) " u="1"/>
        <s v="DAVIDsTEA (DTEA) " u="1"/>
        <s v="Habit Restaurants Cl A (HABT) " u="1"/>
        <s v="Innovate Biopharmaceuticals (INNT) " u="1"/>
        <s v="GDS Holdings ADR (GDS) " u="1"/>
        <s v="Cato Cl A (CATO) " u="1"/>
        <s v="Nxt-ID (NXTD) " u="1"/>
        <s v="ARC Document Solutions (ARC) " u="1"/>
        <s v="Net Element (NETE) " u="1"/>
        <s v="Federated National Holding (FNHC) " u="1"/>
        <s v="Analogic (ALOG) " u="1"/>
        <s v="VelocityShares 3x Inverse Crude Oil ETNs linked to the S&amp;P GSCI Crude Oil Index ER (DWT) " u="1"/>
        <s v="Dolphin Entertainment (DLPN) " u="1"/>
        <s v="Textainer Group Holdings (TGH) " u="1"/>
        <s v="UBS E-TRACS - ProShares Daily 3x Inverse Crude ETN (WTID) " u="1"/>
        <s v="Heska (HSKA) " u="1"/>
        <s v="Harmony Gold Mining ADR (HMY) " u="1"/>
        <s v="Chart Industries (GTLS) " u="1"/>
        <s v="Stone Energy (SGY) " u="1"/>
        <s v="Clearfield (CLFD) " u="1"/>
        <s v="Ascendis Pharma ADR (ASND) " u="1"/>
        <s v="Vascular Biogenics (VBLT) " u="1"/>
        <s v="Gibraltar Industries (ROCK) " u="1"/>
        <s v="InspireMD (NSPR) " u="1"/>
        <s v="TiVo (TIVO) " u="1"/>
        <s v="Celsion (CLSN) " u="1"/>
        <s v="BeiGene ADR (BGNE) " u="1"/>
        <s v="Diebold Nixdorf (DBD) " u="1"/>
        <s v="Fibria Celulose ADR (FBR) " u="1"/>
        <s v="Navigator Holdings (NVGS) " u="1"/>
        <s v="Melinta Therapeutics (MLNT) " u="1"/>
        <s v="Direxion Daily Junior Gold Miners Index Bear 3X Shares (JDST) " u="1"/>
        <s v="Vital Therapies (VTL) " u="1"/>
        <s v="InterXion Holding (INXN) " u="1"/>
        <s v="Lydall (LDL) " u="1"/>
        <s v="Spero Therapeutics (SPRO) " u="1"/>
        <s v="BeyondSpring (BYSI) " u="1"/>
        <s v="QEP Resources (QEP) " u="1"/>
        <s v="Everspin Technologies (MRAM) " u="1"/>
        <s v="Telaria (TLRA) " u="1"/>
        <s v="Akari Therapeutics ADR (AKTX) " u="1"/>
        <s v="Attunity (ATTU) " u="1"/>
        <s v="China Distance Education Holdings ADR (DL) " u="1"/>
        <s v="YY ADR (YY) " u="1"/>
        <s v="Vishay Precision Group (VPG) " u="1"/>
        <s v="BlueLinx Holdings (BXC) " u="1"/>
        <s v="AMAG Pharmaceuticals (AMAG) " u="1"/>
        <s v="Pixelworks (PXLW) " u="1"/>
        <s v="Sorrento Therapeutics (SRNE) " u="1"/>
        <s v="DHX Media Variable Voting (DHXM) " u="1"/>
        <s v="McGrath RentCorp (MGRC) " u="1"/>
        <s v="VivoPower International (VVPR) " u="1"/>
        <s v="Ciena (CIEN) " u="1"/>
        <s v="Titan International (TWI) " u="1"/>
        <s v="Viking Therapeutics (VKTX) " u="1"/>
        <s v="Intrepid Potash (IPI) " u="1"/>
        <s v="SITO Mobile (SITO) " u="1"/>
        <s v="Sharing Economy International (SEII) " u="1"/>
        <s v="Standard Motor Products (SMP) " u="1"/>
        <s v="Nutanix Cl A (NTNX) " u="1"/>
        <s v="Sienna Biopharmaceuticals (SNNA) " u="1"/>
        <s v="VelocityShares VIX Short Term ETN (VIIX) " u="1"/>
        <s v="Howard Hughes (HHC) " u="1"/>
        <s v="Washington Prime Group (WPG) " u="1"/>
        <s v="BioCryst Pharmaceuticals (BCRX) " u="1"/>
        <s v="Materialise ADR (MTLS) " u="1"/>
        <s v="Aspen Insurance Holdings (AHL) " u="1"/>
        <s v="Helios&amp;Matheson Analytics (HMNY) " u="1"/>
        <s v="SMART Global Holdings (SGH) " u="1"/>
        <s v="China Customer Relations Centers (CCRC) " u="1"/>
        <s v="Vince Holding (VNCE) " u="1"/>
        <s v="Energy Focus (EFOI) " u="1"/>
        <s v="Fly Leasing ADR (FLY) " u="1"/>
        <s v="Scana (SCG) " u="1"/>
        <s v="Fresh Del Monte Produce (FDP) " u="1"/>
        <s v="Financial Engines (FNGN) " u="1"/>
        <s v="TJX (TJX) " u="1"/>
        <s v="Rocket Pharmaceuticals (RCKT) " u="1"/>
        <s v="RenaissanceRe Holdings (RNR) " u="1"/>
        <s v="Inspired Entertainment (INSE) " u="1"/>
        <s v="Jounce Therapeutics (JNCE) " u="1"/>
        <s v="Builders FirstSource (BLDR) " u="1"/>
        <s v="TDH Holdings (PETZ) " u="1"/>
        <s v="YRC Worldwide (YRCW) " u="1"/>
        <s v="Neptune Technologies&amp;Bioressources (NEPT) " u="1"/>
        <s v="Scorpio Tankers (STNG) " u="1"/>
        <s v="Vericel (VCEL) " u="1"/>
        <s v="International Game Technology (IGT) " u="1"/>
        <s v="Lexicon Pharmaceuticals (LXRX) " u="1"/>
        <s v="WPX Energy (WPX) " u="1"/>
        <s v="Yulong Eco-Materials (YECO) " u="1"/>
        <s v="TriNet Group (TNET) " u="1"/>
        <s v="Ferro Corp. (FOE) " u="1"/>
        <s v="Marcus&amp;Millichap (MMI) " u="1"/>
        <s v="Quantum (QTM) " u="1"/>
        <s v="XL Group (XL) " u="1"/>
        <s v="MakeMyTrip (MMYT) " u="1"/>
        <s v="ATN International (ATNI) " u="1"/>
        <s v="Dawson Geophysical (DWSN) " u="1"/>
        <s v="Aberdeen Australia Equity Fund (IAF) " u="1"/>
        <s v="Flex Pharma (FLKS) " u="1"/>
        <s v="Heat Biologics (HTBX) " u="1"/>
        <s v="CAI International (CAI) " u="1"/>
        <s v="Intevac (IVAC) " u="1"/>
        <s v="Legacy Reserves (LGCY) " u="1"/>
        <s v="Proteostasis Therapeutics (PTI) " u="1"/>
        <s v="Zedge Cl B (ZDGE) " u="1"/>
        <s v="Tivity Health (TVTY) " u="1"/>
        <s v="Rada Electronic Industries (RADA) " u="1"/>
        <s v="SunOpta (STKL) " u="1"/>
        <s v="Companhia Siderurgica Nacional ADR (SID) " u="1"/>
        <s v="Roadrunner Transportation Systems (RRTS) " u="1"/>
        <s v="AXT (AXTI) " u="1"/>
        <s v="Smart Sand (SND) " u="1"/>
        <s v="Aimmune Therapeutics (AIMT) " u="1"/>
        <s v="Okta Cl A (OKTA) " u="1"/>
        <s v="Senseonics Holdings (SENS) " u="1"/>
        <s v="Pacific Ethanol (PEIX) " u="1"/>
        <s v="Akcea Therapeutics (AKCA) " u="1"/>
        <s v="Restoration Robotics (HAIR) " u="1"/>
        <s v="Artesian Resources Cl A (ARTNA) " u="1"/>
        <s v="CRA International (CRAI) " u="1"/>
        <s v="Solid Biosciences (SLDB) " u="1"/>
        <s v="Hackett Group (HCKT) " u="1"/>
        <s v="Tenet Healthcare (THC) " u="1"/>
        <s v="Abercrombie&amp;Fitch (ANF) " u="1"/>
        <s v="Ichor Holdings (ICHR) " u="1"/>
        <s v="scPharmaceuticals (SCPH) " u="1"/>
        <s v="Friedman Industries (FRD) " u="1"/>
        <s v="Par Pacific Holdings (PARR) " u="1"/>
        <s v="National Bankshares (NKSH) " u="1"/>
        <s v="Adverum Biotechnologies (ADVM) " u="1"/>
        <s v="ViewRay (VRAY) " u="1"/>
        <s v="Recro Pharma (REPH) " u="1"/>
        <s v="Direxion Daily Utilities Bull 3X Shares (UTSL) " u="1"/>
        <s v="Cyanotech (CYAN) " u="1"/>
        <s v="Stamps.com (STMP) " u="1"/>
        <s v="Ameresco (AMRC) " u="1"/>
        <s v="Applied Genetic Technologies (AGTC) " u="1"/>
        <s v="Direxion Daily Gold Miners Index Bear 3x Shares (DUST) " u="1"/>
        <s v="Corvus Pharmaceuticals (CRVS) " u="1"/>
        <s v="Vivint Solar (VSLR) " u="1"/>
        <s v="U.S. Cellular (USM) " u="1"/>
        <s v="Coherus BioSciences (CHRS) " u="1"/>
        <s v="Houghton Mifflin Harcourt (HMHC) " u="1"/>
        <s v="Virtu Financial (VIRT) " u="1"/>
        <s v="Asterias Biotherapeutics (AST) " u="1"/>
        <s v="Ceragon Networks (CRNT) " u="1"/>
        <s v="Interlink Electronics (LINK) " u="1"/>
        <s v="Quorum Health (QHC) " u="1"/>
        <s v="LifePoint Health (LPNT) " u="1"/>
        <s v="Foresight Autonomous Holdings ADR (FRSX) " u="1"/>
        <s v="Calyxt (CLXT) " u="1"/>
        <s v="Famous Dave's of America (DAVE) " u="1"/>
        <s v="Ultra Petroleum (UPL) " u="1"/>
        <s v="Cue Biopharma (CUE) " u="1"/>
        <s v="GenMark Diagnostics (GNMK) " u="1"/>
        <s v="Ultra Clean Holdings (UCTT) " u="1"/>
        <s v="Liberty TripAdvisor Holdings Series A (LTRPA) " u="1"/>
        <s v="Essendant (ESND) " u="1"/>
        <s v="pdvWireless (PDVW) " u="1"/>
        <s v="TPI Composites (TPIC) " u="1"/>
        <s v="Krystal Biotech (KRYS) " u="1"/>
        <s v="Teekay Offshore Partners (TOO) " u="1"/>
        <s v="ProShares UltraPro 3x Short Crude Oil ETF (OILD) " u="1"/>
        <s v="NCS Multistage Holdings (NCSM) " u="1"/>
        <s v="Macquarie Infrastructure (MIC) " u="1"/>
        <s v="Direxion Daily S&amp;P Oil&amp;Gas Exp.&amp;Prod. Bear 3X Shares (DRIP) " u="1"/>
        <s v="Chefs' Warehouse (CHEF) " u="1"/>
        <s v="Profire Energy (PFIE) " u="1"/>
        <s v="Genworth Financial Cl A (GNW) " u="1"/>
        <s v="First United (FUNC) " u="1"/>
        <s v="Intellicheck (IDN) " u="1"/>
        <s v="MannKind (MNKD) " u="1"/>
        <s v="SilverSun Technologies (SSNT) " u="1"/>
        <s v="Natural Resource Partners (NRP) " u="1"/>
        <s v="Direxion Daily Russia Bear 3x Shares (RUSS) " u="1"/>
        <s v="VelocityShares VIX Short Volatility Hedged ETN linked to the S&amp;P 500 VIX Futures Short Volatility Hedged Index Short Term due July 18 2046 (XIVH) " u="1"/>
        <s v="Heico (HEI) " u="1"/>
        <s v="Odonate Therapeutics (ODT) " u="1"/>
        <s v="Joint (JYNT) " u="1"/>
        <s v="Atlas Financial Holdings (AFH) " u="1"/>
        <s v="Marinus Pharmaceuticals (MRNS) " u="1"/>
        <s v="Surmodics (SRDX) " u="1"/>
        <s v="American Renal Associates Holdings (ARA) " u="1"/>
        <s v="CRISPR Therapeutics (CRSP) " u="1"/>
        <s v="Trecora Resources (TREC) " u="1"/>
        <s v="Akoustis Technologies (AKTS) " u="1"/>
        <s v="Pegasystems (PEGA) " u="1"/>
        <s v="Renmin Tianli Group (ABAC) " u="1"/>
        <s v="Clementia Pharmaceuticals (CMTA) " u="1"/>
        <s v="Pareteum (TEUM) " u="1"/>
        <s v="Huttig Building Products (HBP) " u="1"/>
        <s v="Approach Resources (AREX) " u="1"/>
        <s v="Asia Pacific Wire&amp;Cable (APWC) " u="1"/>
        <s v="MediWound (MDWD) " u="1"/>
        <s v="22nd Century Group (XXII) " u="1"/>
        <s v="Edge Therapeutics (EDGE) " u="1"/>
        <s v="Forterra (FRTA) " u="1"/>
        <s v="Noble (NE) " u="1"/>
        <s v="NantKwest (NK) " u="1"/>
        <s v="Square Cl A (SQ) " u="1"/>
        <s v="Checkpoint Therapeutics (CKPT) " u="1"/>
        <s v="BioDelivery Sciences International (BDSI) " u="1"/>
        <s v="NewLink Genetics (NLNK) " u="1"/>
        <s v="SIFCO Industries (SIF) " u="1"/>
        <s v="ETRACS Monthly Pay 2xLeveraged US High Dividend Low Volatility ETN due September 30 2044 (HDLV) " u="1"/>
        <s v="Autohome ADR (ATHM) " u="1"/>
        <s v="Anavex Life Sciences (AVXL) " u="1"/>
        <s v="Global Net Lease (GNL) " u="1"/>
        <s v="Kosmos Energy (KOS) " u="1"/>
        <s v="Nevada Gold&amp;Casinos (UWN) " u="1"/>
        <s v="Hydrogenics (HYGS) " u="1"/>
        <s v="Proteon Therapeutics (PRTO) " u="1"/>
        <s v="Codexis (CDXS) " u="1"/>
        <s v="Blueprint Medicines (BPMC) " u="1"/>
        <s v="Aldeyra Therapeutics (ALDX) " u="1"/>
        <s v="Independence Contract Drilling (ICD) " u="1"/>
        <s v="Federal Agricultural Mortgage Cl A (AGMA) " u="1"/>
        <s v="Evolus (EOLS) " u="1"/>
        <s v="REGENXBIO (RGNX) " u="1"/>
        <s v="Sarepta Therapeutics (SRPT) " u="1"/>
        <s v="Alliance One International (AOI) " u="1"/>
        <s v="Internet Initiative Japan ADR (IIJI) " u="1"/>
        <s v="Gulfport Energy (GPOR) " u="1"/>
        <s v="support.com (SPRT) " u="1"/>
        <s v="Clovis Oncology (CLVS) " u="1"/>
        <s v="OncoMed Pharmaceuticals (OMED) " u="1"/>
        <s v="Rayonier Advanced Materials (RYAM) " u="1"/>
        <s v="Bridgepoint Education (BPI) " u="1"/>
        <s v="Lilis Energy (LLEX) " u="1"/>
        <s v="Guaranty Bancshares (GNTY) " u="1"/>
        <s v="Freshpet (FRPT) " u="1"/>
        <s v="Providence Service (PRSC) " u="1"/>
        <s v="Vicor (VICR) " u="1"/>
        <s v="Remark Holdings (MARK) " u="1"/>
        <s v="Verona Pharma ADR (VRNA) " u="1"/>
        <s v="Miragen Therapeutics (MGEN) " u="1"/>
        <s v="DexCom (DXCM) " u="1"/>
        <s v="El Pollo Loco Holdings (LOCO) " u="1"/>
        <s v="ProShares UltraShort Industrials (SIJ) " u="1"/>
        <s v="Noble Energy (NBL) " u="1"/>
        <s v="Grand Canyon Education (LOPE) " u="1"/>
        <s v="WageWorks (WAGE) " u="1"/>
        <s v="W&amp;T Offshore (WTI) " u="1"/>
        <s v="USA Technologies (USAT) " u="1"/>
        <s v="Archrock (AROC) " u="1"/>
        <s v="Conduent (CNDT) " u="1"/>
        <s v="CommerceHub Series A (CHUBA) " u="1"/>
        <s v="New Media Investment Group (NEWM) " u="1"/>
        <s v="Nuvectra (NVTR) " u="1"/>
        <s v="RXi Pharmaceuticals (RXII) " u="1"/>
        <s v="Community Health Systems (CYH) " u="1"/>
        <s v="ProShares UltraPro Short NASDAQ Biotechnology (ZBIO) " u="1"/>
        <s v="Pacific Biosciences of California (PACB) " u="1"/>
        <s v="Denali Therapeutics (DNLI) " u="1"/>
        <s v="ObsEva (OBSV) " u="1"/>
        <s v="Xencor (XNCR) " u="1"/>
        <s v="Internet Gold-Golden Lines (IGLD) " u="1"/>
        <s v="Envision Healthcare (EVHC) " u="1"/>
        <s v="Unit (UNT) " u="1"/>
        <s v="iPath Global Carbon ETN (GRN) " u="1"/>
        <s v="Kewaunee Scientific (KEQU) " u="1"/>
        <s v="BJ's Restaurants (BJRI) " u="1"/>
        <s v="Synchronoss Technologies (SNCR) " u="1"/>
        <s v="Pfenex (PFNX) " u="1"/>
        <s v="ANI Pharmaceuticals (ANIP) " u="1"/>
        <s v="Aeglea BioTherapeutics (AGLE) " u="1"/>
        <s v="RE/MAX Holdings Cl A (RMAX) " u="1"/>
        <s v="ProShares Short VIX Short-Term Futures ETF (SVXY) " u="1"/>
        <s v="Akamai Technologies (AKAM) " u="1"/>
        <s v="Sequential Brands Group (SQBG) " u="1"/>
        <s v="Nelnet Cl A (NNI) " u="1"/>
        <s v="RLJ Entertainment (RLJE) " u="1"/>
        <s v="Educational Development (EDUC) " u="1"/>
        <s v="Synthesis Energy Systems (SES) " u="1"/>
        <s v="ProShares Ultra VIX Short-Term Futures ETF (UVXY) " u="1"/>
        <s v="PGT Innovations (PGTI) " u="1"/>
        <s v="Gentherm (THRM) " u="1"/>
        <s v="OptiNose (OPTN) " u="1"/>
        <s v="DineEquity (DIN) " u="1"/>
        <s v="Selecta Biosciences (SELB) " u="1"/>
        <s v="Advanced Emissions Solutions (ADES) " u="1"/>
        <s v="Accuray (ARAY) " u="1"/>
        <s v="CounterPath (CPAH) " u="1"/>
        <s v="VirnetX Holding (VHC) " u="1"/>
        <s v="KMG Chemicals (KMG) " u="1"/>
        <s v="Novus Therapeutics (NVUS) " u="1"/>
        <s v="Grana y Montero ADR (GRAM) " u="1"/>
        <s v="Denbury Resources (DNR) " u="1"/>
        <s v="Retrophin (RTRX) " u="1"/>
        <s v="AzurRx BioPharma (AZRX) " u="1"/>
        <s v="Encore Wire (WIRE) " u="1"/>
        <s v="Computer Task Group (CTG) " u="1"/>
        <s v="Finjan Holdings (FNJN) " u="1"/>
        <s v="Luna Innovations (LUNA) " u="1"/>
        <s v="Hudson Cl A (HUD) " u="1"/>
        <s v="Ophthotech (OPHT) " u="1"/>
        <s v="Novocure (NVCR) " u="1"/>
        <s v="Eastside Distilling (EAST) " u="1"/>
        <s v="Chesapeake Energy (CHK) " u="1"/>
        <s v="Deswell Industries (DSWL) " u="1"/>
        <s v="Optical Cable (OCC) " u="1"/>
        <s v="InnerWorkings (INWK) " u="1"/>
        <s v="Atlantic Power (AT) " u="1"/>
        <s v="Endocyte (ECYT) " u="1"/>
        <s v="Sanchez Energy (SN) " u="1"/>
        <s v="Direxion Daily S&amp;P Biotech Bear 3X Shares (LABD) " u="1"/>
        <s v="Och-Ziff Capital Management (OZM) " u="1"/>
        <s v="ProShares UltraShort MSCI Japan (EWV) " u="1"/>
        <s v="Tintri (TNTR) " u="1"/>
        <s v="SunCoke Energy (SXC) " u="1"/>
        <s v="Endologix (ELGX) " u="1"/>
        <s v="Calithera Biosciences (CALA) " u="1"/>
        <s v="Gridsum Holding ADR (GSUM) " u="1"/>
        <s v="CVR Partners (UAN) " u="1"/>
        <s v="Cleveland BioLabs (CBLI) " u="1"/>
        <s v="arGEN-X ADR (ARGX) " u="1"/>
        <s v="Gaia Cl A (GAIA) " u="1"/>
        <s v="Kadmon Holdings (KDMN) " u="1"/>
        <s v="SJW Group (SJW) " u="1"/>
        <s v="Inseego (INSG) " u="1"/>
        <s v="Dogness (International) (DOGZ) " u="1"/>
        <s v="Barnes&amp;Noble (BKS) " u="1"/>
        <s v="Scientific Games (SGMS) " u="1"/>
        <s v="Vaxart (VXRT) " u="1"/>
        <s v="Oxbridge Re Holdings (OXBR) " u="1"/>
        <s v="Alio Gold (ALO) " u="1"/>
        <s v="NanoString Technologies (NSTG) " u="1"/>
        <s v="Valeritas Holdings (VLRX) " u="1"/>
        <s v="Aduro Biotech (ADRO) " u="1"/>
        <s v="Horizon Global (HZN) " u="1"/>
        <s v="Highpower International (HPJ) " u="1"/>
        <s v="Image Sensing Systems (ISNS) " u="1"/>
        <s v="PolarityTE (COOL) " u="1"/>
        <s v="Tallgrass Energy Partners (TEP) " u="1"/>
        <s v="Roku Cl A (ROKU) " u="1"/>
        <s v="Huaneng Power International ADR (HNP) " u="1"/>
        <s v="Zymeworks (ZYME) " u="1"/>
        <s v="Workiva Cl A (WK) " u="1"/>
        <s v="Bojangles' (BOJA) " u="1"/>
        <s v="ADMA Biologics (ADMA) " u="1"/>
        <s v="Direxion Daily Transportation Bull 3X Shares (TPOR) " u="1"/>
        <s v="H&amp;E Equipment Services (HEES) " u="1"/>
        <s v="Winnebago Industries (WGO) " u="1"/>
        <s v="VelocityShares 3x Long Natural Gas ETN linked to the S&amp;P GSCI Natural Gas Index Excess Return (UGAZ) " u="1"/>
        <s v="Anthera Pharmaceuticals (ANTH) " u="1"/>
        <s v="Formula Systems (1985) ADR (FORTY) " u="1"/>
        <s v="Trade Desk Cl A (TTD) " u="1"/>
        <s v="Crocs (CROX) " u="1"/>
        <s v="Revlon Cl A (REV) " u="1"/>
        <s v="voxeljet ADR (VJET) " u="1"/>
        <s v="Madison Square Garden (MSG) " u="1"/>
        <s v="Mesoblast ADR (MESO) " u="1"/>
        <s v="ShotSpotter (SSTI) " u="1"/>
        <s v="ProShares UltraPro 3x Crude Oil ETF (OILU) " u="1"/>
        <s v="American Superconductor (AMSC) " u="1"/>
        <s v="Axon Enterprise (AAXN) " u="1"/>
        <s v="Omeros (OMER) " u="1"/>
        <s v="ShiftPixy (PIXY) " u="1"/>
        <s v="Euro Tech Holdings (CLWT) " u="1"/>
        <s v="HealthStream (HSTM) " u="1"/>
        <s v="Immune Design (IMDZ) " u="1"/>
        <s v="Ikonics (IKNX) " u="1"/>
        <s v="Cogentix Medical (CGNT) " u="1"/>
        <s v="Galmed Pharmaceuticals (GLMD) " u="1"/>
        <s v="HP (HPQ) " u="1"/>
        <s v="Noodles Cl A (NDLS) " u="1"/>
        <s v="ChromaDex (CDXC) " u="1"/>
        <s v="Tutor Perini (TPC) " u="1"/>
        <s v="Carver Bancorp (CARV) " u="1"/>
        <s v="Sotheby's (BID) " u="1"/>
        <s v="Sundance Energy Australia ADR (SNDE) " u="1"/>
        <s v="ProShares UltraPro Short Financial Select Sector (FINZ) " u="1"/>
        <s v="Five Prime Therapeutics (FPRX) " u="1"/>
        <s v="Direxion Daily Natural Gas Related Bear 3x Shares (GASX) " u="1"/>
        <s v="NTN Buzztime (NTN) " u="1"/>
        <s v="Bridgford Foods (BRID) " u="1"/>
        <s v="Cambium Learning Group (ABCD) " u="1"/>
        <s v="RealNetworks (RNWK) " u="1"/>
        <s v="World Fuel Services (INT) " u="1"/>
        <s v="GTx (GTXI) " u="1"/>
        <s v="Atomera (ATOM) " u="1"/>
        <s v="Asta Funding (ASFI) " u="1"/>
        <s v="Champions Oncology (CSBR) " u="1"/>
        <s v="Veeva Systems Cl A (VEEV) " u="1"/>
        <s v="Hostess Brands Cl A (TWNK) " u="1"/>
        <s v="Direxion Daily South Korea Bull 3X Shares (KORU) " u="1"/>
        <s v="ChemoCentryx (CCXI) " u="1"/>
        <s v="AquaVenture Holdings (WAAS) " u="1"/>
        <s v="Hewlett Packard Enterprise (HPE) " u="1"/>
        <s v="Ampio Pharmaceuticals (AMPE) " u="1"/>
        <s v="eHealth (EHTH) " u="1"/>
        <s v="Encore Capital Group (ECPG) " u="1"/>
        <s v="Jumei International Holding ADR (JMEI) " u="1"/>
        <s v="R1 RCM (RCM) " u="1"/>
        <s v="Foundation Medicine (FMI) " u="1"/>
        <s v="UBS E-TRACS - ProShares Daily 3x Long Crude ETN (WTIU) " u="1"/>
        <s v="Bill Barrett (BBG) " u="1"/>
        <s v="Civeo (CVEO) " u="1"/>
        <s v="NV5 Global (NVEE) " u="1"/>
        <s v="Nektar Therapeutics (NKTR) " u="1"/>
        <s v="Snap (SNAP) " u="1"/>
        <s v="Spring Bank Pharmaceuticals (SBPH) " u="1"/>
        <s v="Discovery Communications Series B (DISCB) " u="1"/>
        <s v="FARO Technologies (FARO) " u="1"/>
        <s v="Revolution Lighting Technologies (RVLT) " u="1"/>
        <s v="Direxion Daily FTSE China Bear 3X Shares (YANG) " u="1"/>
        <s v="Medicines (MDCO) " u="1"/>
        <s v="Reis (REIS) " u="1"/>
        <s v="XOMA (XOMA) " u="1"/>
        <s v="Spark Therapeutics (ONCE) " u="1"/>
        <s v="Trupanion (TRUP) " u="1"/>
        <s v="Cott (COT) " u="1"/>
        <s v="Brown-Forman Cl A (BFA) " u="1"/>
        <s v="Pioneer Energy Services (PES) " u="1"/>
        <s v="DASAN Zhone Solutions (DZSI) " u="1"/>
        <s v="ProPhase Labs (PRPH) " u="1"/>
        <s v="Delek US Holdings (DK) " u="1"/>
        <s v="Nuverra Environmental Solutions (NES) " u="1"/>
        <s v="Four Seasons Education (Cayman) ADR (FEDU) " u="1"/>
        <s v="Ambarella (AMBA) " u="1"/>
        <s v="Advaxis (ADXS) " u="1"/>
        <s v="Travelport Worldwide (TVPT) " u="1"/>
        <s v="Emerge Energy Services (EMES) " u="1"/>
        <s v="NQ Mobile ADR (NQ) " u="1"/>
        <s v="Townsquare Media Cl A (TSQ) " u="1"/>
        <s v="Universal Electronics (UEIC) " u="1"/>
        <s v="VelocityShares Daily 2x VIX Medium Term ETN (TVIZ) " u="1"/>
        <s v="Bio-Rad Laboratories Cl A (BIO) " u="1"/>
        <s v="Employers Holdings (EIG) " u="1"/>
        <s v="VelocityShares VIX Variable Long/Short ETN linked to the S&amp;P 500 VIX Futures Variable Long/Short Index Short Term due July 18 2046 (LSVX) " u="1"/>
        <s v="Forescout Technologies (FSCT) " u="1"/>
        <s v="Momo ADR (MOMO) " u="1"/>
        <s v="Oasis Petroleum (OAS) " u="1"/>
        <s v="Autodesk (ADSK) " u="1"/>
        <s v="Oi ADR (OIBRC) " u="1"/>
        <s v="Apollo Medical Holdings (AMEH) " u="1"/>
        <s v="ZIOPHARM Oncology (ZIOP) " u="1"/>
        <s v="CyberOptics (CYBE) " u="1"/>
        <s v="Cree (CREE) " u="1"/>
        <s v="CPI Card Group (PMTS) " u="1"/>
        <s v="Skyline (SKY) " u="1"/>
        <s v="Fanhua ADR (FANH) " u="1"/>
        <s v="CHF Solutions (CHFS) " u="1"/>
        <s v="Aptose Biosciences (APTO) " u="1"/>
        <s v="RigNet (RNET) " u="1"/>
        <s v="Adamis Pharmaceuticals (ADMP) " u="1"/>
        <s v="Mirati Therapeutics (MRTX) " u="1"/>
        <s v="GSV Capital (GSVC) " u="1"/>
        <s v="Pernix Therapeutics Holdings (PTX) " u="1"/>
        <s v="PCM (PCMI) " u="1"/>
        <s v="Zoe's Kitchen (ZOES) " u="1"/>
        <s v="U.S. Global Investors Cl A (GROW) " u="1"/>
        <s v="Frontier Communications (FTR) " u="1"/>
        <s v="Bonso Electronics International (BNSO) " u="1"/>
        <s v="New Senior Investment Group (SNR) " u="1"/>
        <s v="Direxion Daily Semiconductor Bull 3X Shares (SOXL) " u="1"/>
        <s v="Bandwidth Cl A (BAND) " u="1"/>
        <s v="Federal Agricultural Mortgage Cl C (AGM) " u="1"/>
        <s v="Chicken Soup for the Soul Entertainment Cl A (CSSE) " u="1"/>
        <s v="New Age Beverages (NBEV) " u="1"/>
        <s v="Aehr Test Systems (AEHR) " u="1"/>
        <s v="Sterling Construction (STRL) " u="1"/>
        <s v="Vectrus (VEC) " u="1"/>
        <s v="NVE (NVEC) " u="1"/>
        <s v="Atlas Air Worldwide Holdings (AAWW) " u="1"/>
        <s v="Leap Therapeutics (LPTX) " u="1"/>
        <s v="Molecular Templates (MTEM) " u="1"/>
        <s v="Avis Budget Group (CAR) " u="1"/>
        <s v="JAKKS Pacific (JAKK) " u="1"/>
        <s v="Acer Therapeutics (ACER) " u="1"/>
        <s v="CryoPort (CYRX) " u="1"/>
        <s v="Frontline (FRO) " u="1"/>
        <s v="Tocagen (TOCA) " u="1"/>
        <s v="Theravance Biopharma (TBPH) " u="1"/>
        <s v="Teladoc (TDOC) " u="1"/>
        <s v="ILG (ILG) " u="1"/>
        <s v="Intra-Cellular Therapies (ITCI) " u="1"/>
        <s v="Progenics Pharmaceuticals (PGNX) " u="1"/>
        <s v="Raven Industries (RAVN) " u="1"/>
        <s v="Select Medical Holdings (SEM) " u="1"/>
        <s v="NeoGenomics (NEO) " u="1"/>
        <s v="Milacron Holdings (MCRN) " u="1"/>
        <s v="Liberty Tax (TAX) " u="1"/>
        <s v="NXP Semiconductors (NXPI) " u="1"/>
        <s v="Galectin Therapeutics (GALT) " u="1"/>
        <s v="Aspen Group (ASPU) " u="1"/>
        <s v="ONE Group Hospitality (STKS) " u="1"/>
        <s v="Eyenovia (EYEN) " u="1"/>
        <s v="ARMO Biosciences (ARMO) " u="1"/>
        <s v="Libbey (LBY) " u="1"/>
        <s v="Mosaic (MOS) " u="1"/>
        <s v="H&amp;R Block (HRB) " u="1"/>
        <s v="Kirkland Lake Gold (KL) " u="1"/>
        <s v="Ascena Retail Group (ASNA) " u="1"/>
        <s v="Rudolph Technologies (RTEC) " u="1"/>
        <s v="Impinj (PI) " u="1"/>
        <s v="Splunk (SPLK) " u="1"/>
        <s v="II-VI (IIVI) " u="1"/>
        <s v="iClick Interactive Asia Group ADR (ICLK) " u="1"/>
        <s v="Baozun ADR (BZUN) " u="1"/>
        <s v="Arsanis (ASNS) " u="1"/>
        <s v="Vitamin Shoppe (VSI) " u="1"/>
        <s v="AdvanSix (ASIX) " u="1"/>
        <s v="Mellanox Technologies (MLNX) " u="1"/>
        <s v="GMS (GMS) " u="1"/>
        <s v="Medifast (MED) " u="1"/>
        <s v="Broadvision (BVSN) " u="1"/>
        <s v="Korn/Ferry International (KFY) " u="1"/>
        <s v="ProShares UltraShort Real Estate (SRS) " u="1"/>
        <s v="3D Systems (DDD) " u="1"/>
        <s v="Aquantia (AQ) " u="1"/>
        <s v="Transcontinental Realty Investors (TCI) " u="1"/>
        <s v="Mitek Systems (MITK) " u="1"/>
        <s v="Kala Pharmaceuticals (KALA) " u="1"/>
        <s v="Celadon Group (CGI) " u="1"/>
        <s v="Rush Enterprises Cl A (RUSHA) " u="1"/>
        <s v="Intersections (INTX) " u="1"/>
        <s v="Protagonist Therapeutics (PTGX) " u="1"/>
        <s v="LendingClub (LC) " u="1"/>
        <s v="Sientra (SIEN) " u="1"/>
        <s v="Ceco Environmental (CECE) " u="1"/>
        <s v="Stemline Therapeutics (STML) " u="1"/>
        <s v="Comstock Resources (CRK) " u="1"/>
        <s v="Avianca Holdings ADR (AVH) " u="1"/>
        <s v="AES (AES) " u="1"/>
        <s v="MongoDB (MDB) " u="1"/>
        <s v="Cohen&amp;Co (COHN) " u="1"/>
        <s v="Obalon Therapeutics (OBLN) " u="1"/>
        <s v="Itron (ITRI) " u="1"/>
        <s v="Diversicare Healthcare Services (DVCR) " u="1"/>
        <s v="Cardtronics Cl A (CATM) " u="1"/>
        <s v="Fogo de Chao (FOGO) " u="1"/>
        <s v="GTT Communications (GTT) " u="1"/>
        <s v="Trillium Therapeutics (TRIL) " u="1"/>
        <s v="Casa Systems (CASA) " u="1"/>
        <s v="Universal Stainless&amp;Alloy Products (USAP) " u="1"/>
        <s v="Gemphire Therapeutics (GEMP) " u="1"/>
        <s v="Magellan Health (MGLN) " u="1"/>
        <s v="Acacia Communications (ACIA) " u="1"/>
        <s v="Hecla Mining (HL) " u="1"/>
        <s v="ReTo Eco-Solutions (RETO) " u="1"/>
        <s v="Adamas Pharmaceuticals (ADMS) " u="1"/>
        <s v="Aegean Marine Petroleum Network (ANW) " u="1"/>
        <s v="Cardlytics (CDLX) " u="1"/>
        <s v="Federal Signal (FSS) " u="1"/>
        <s v="Tenax Therapeutics (TENX) " u="1"/>
        <s v="LexinFintech Holdings ADR (LX) " u="1"/>
        <s v="Rush Enterprises Cl B (RUSHB) " u="1"/>
        <s v="Achillion Pharmaceuticals (ACHN) " u="1"/>
        <s v="SELLAS Life Sciences Group (SLS) " u="1"/>
        <s v="iPic Entertainment (IPIC) " u="1"/>
        <s v="Rocky Brands (RCKY) " u="1"/>
        <s v="Novelion Therapeutics (NVLN) " u="1"/>
        <s v="PHH (PHH) " u="1"/>
        <s v="Castlight Health Cl B (CSLT) " u="1"/>
        <s v="T2 Biosystems (TTOO) " u="1"/>
        <s v="Dermira (DERM) " u="1"/>
        <s v="Bravo Brio Restaurant Group (BBRG) " u="1"/>
        <s v="AV Homes (AVHI) " u="1"/>
        <s v="Comtech Telecommunications (CMTL) " u="1"/>
        <s v="Farmmi (FAMI) " u="1"/>
        <s v="Chanticleer Holdings (BURG) " u="1"/>
        <s v="One Stop Systems (OSS) " u="1"/>
        <s v="ProShares UltraPro Financial Select Sector (FINU) " u="1"/>
        <s v="AquaBounty Technologies (AQB) " u="1"/>
        <s v="DropCar (DCAR) " u="1"/>
        <s v="LongFin Cl A (LFIN) " u="1"/>
        <s v="Willdan Group (WLDN) " u="1"/>
        <s v="AAC Holdings (AAC) " u="1"/>
        <s v="Editas Medicine (EDIT) " u="1"/>
        <s v="Invuity (IVTY) " u="1"/>
        <s v="Planet Fitness Cl A (PLNT) " u="1"/>
        <s v="Cronos Group (CRON) " u="1"/>
        <s v="Quality Care Properties (QCP) " u="1"/>
        <s v="Realogy Holdings (RLGY) " u="1"/>
        <s v="Atara Biotherapeutics (ATRA) " u="1"/>
        <s v="Mallinckrodt (MNK) " u="1"/>
        <s v="Ra Pharmaceuticals (RARX) " u="1"/>
        <s v="Genius Brands International (GNUS) " u="1"/>
        <s v="NextDecade (NEXT) " u="1"/>
        <s v="Navigant Consulting (NCI) " u="1"/>
        <s v="Puma Biotechnology (PBYI) " u="1"/>
        <s v="Spark Energy (SPKE) " u="1"/>
        <s v="TG Therapeutics (TGTX) " u="1"/>
        <s v="Lianluo Smart (LLIT) " u="1"/>
        <s v="Constellium Cl A (CSTM) " u="1"/>
        <s v="IMPAC Mortgage Holdings (IMH) " u="1"/>
        <s v="Barclays Bank iPath S&amp;P 500 VIX Short Term Futures ETN (VXX) " u="1"/>
        <s v="Chembio Diagnostics (CEMI) " u="1"/>
        <s v="Herbalife (HLF) " u="1"/>
        <s v="Alteryx Cl A (AYX) " u="1"/>
        <s v="Glaukos (GKOS) " u="1"/>
        <s v="Workhorse Group (WKHS) " u="1"/>
        <s v="Qualstar (QBAK) " u="1"/>
        <s v="BIO-key International (BKYI) " u="1"/>
        <s v="VolitionRX (VNRX) " u="1"/>
        <s v="Diana Shipping (DSX) " u="1"/>
        <s v="Era Group (ERA) " u="1"/>
        <s v="PLx Pharma (PLXP) " u="1"/>
        <s v="Caladrius Biosciences (CLBS) " u="1"/>
        <s v="Direxion Daily Developed Markets Bear 3x Shares (DPK) " u="1"/>
        <s v="FTD Cos. (FTD) " u="1"/>
        <s v="Cellular Biomedicine Group (CBMG) " u="1"/>
        <s v="Five9 (FIVN) " u="1"/>
        <s v="Tronox Cl A (TROX) " u="1"/>
        <s v="Syneos Health Cl A (SYNH) " u="1"/>
        <s v="Stitch Fix Cl A (SFIX) " u="1"/>
        <s v="National General Holdings (NGHC) " u="1"/>
        <s v="Conatus Pharmaceuticals (CNAT) " u="1"/>
        <s v="ProShares VIX Short-Term Futures ETF (VIXY) " u="1"/>
        <s v="Riot Blockchain (RIOT) " u="1"/>
        <s v="Atrion (ATRI) " u="1"/>
        <s v="ZTO Express (Cayman) ADR (ZTO) " u="1"/>
        <s v="Par Technology (PAR) " u="1"/>
        <s v="Harsco (HSC) " u="1"/>
        <s v="PDL BioPharma (PDLI) " u="1"/>
        <s v="Celsius Holdings (CELH) " u="1"/>
        <s v="Ryerson Holding (RYI) " u="1"/>
        <s v="AAON (AAON) " u="1"/>
        <s v="MicroStrategy (MSTR) " u="1"/>
        <s v="Limelight Networks (LLNW) " u="1"/>
        <s v="MagnaChip Semiconductor (MX) " u="1"/>
        <s v="Guidewire Software (GWRE) " u="1"/>
        <s v="Compugen (CGEN) " u="1"/>
        <s v="Spartan Motors (SPAR) " u="1"/>
        <s v="Security National Financial Cl A (SNFCA) " u="1"/>
        <s v="Tahoe Resources (TAHO) " u="1"/>
        <s v="Rigel Pharmaceuticals (RIGL) " u="1"/>
        <s v="Xtant Medical Holdings (XTNT) " u="1"/>
        <s v="RumbleON Cl B (RMBL) " u="1"/>
        <s v="Nemaura Medical (NMRD) " u="1"/>
        <s v="Antares Pharma (ATRS) " u="1"/>
        <s v="Lantheus Holdings (LNTH) " u="1"/>
        <s v="BlackLine (BL) " u="1"/>
        <s v="Hortonworks (HDP) " u="1"/>
        <s v="Town Sports International Holdings (CLUB) " u="1"/>
        <s v="Reliv International (RELV) " u="1"/>
        <s v="TRACON Pharmaceuticals (TCON) " u="1"/>
        <s v="Thor Industries (THO) " u="1"/>
        <s v="Companhia Energetica de Minas Gerais-Cemig ADR (CIGC) " u="1"/>
        <s v="Juniper Pharmaceuticals (JNP) " u="1"/>
        <s v="Harmonic (HLIT) " u="1"/>
        <s v="LSB Industries (LXU) " u="1"/>
        <s v="Century Aluminum (CENX) " u="1"/>
        <s v="Ranger Energy Services Cl A (RNGR) " u="1"/>
        <s v="HCI Group (HCI) " u="1"/>
        <s v="Sangamo Therapeutics (SGMO) " u="1"/>
        <s v="GRAVITY ADR (GRVY) " u="1"/>
        <s v="Fortress Biotech (FBIO) " u="1"/>
        <s v="ALJ Regional Holdings (ALJJ) " u="1"/>
        <s v="Tennant (TNC) " u="1"/>
        <s v="Medical Transcription Billing (MTBC) " u="1"/>
        <s v="Energy Recovery (ERII) " u="1"/>
        <s v="Bank of South Carolina (BKSC) " u="1"/>
        <s v="Ominto (OMNT) " u="1"/>
        <s v="Brinker International (EAT) " u="1"/>
        <s v="Wynn Resorts (WYNN) " u="1"/>
        <s v="Direxion Daily S&amp;P Oil&amp;Gas Exp.&amp;Prod. Bull 3X Shares (GUSH) " u="1"/>
        <s v="Nordstrom (JWN) " u="1"/>
        <s v="BEST ADR (BSTI) " u="1"/>
        <s v="Eltek (ELTK) " u="1"/>
        <s v="Tandem Diabetes Care (TNDM) " u="1"/>
        <s v="Gazit-Globe (GZT) " u="1"/>
        <s v="Netshoes (Cayman) (NETS) " u="1"/>
        <s v="Community Healthcare Trust (CHCT) " u="1"/>
        <s v="Nightstar Therapeutics ADR (NITE) " u="1"/>
        <s v="Bloomin' Brands (BLMN) " u="1"/>
        <s v="Apellis Pharmaceuticals (APLS) " u="1"/>
        <s v="Empire Resorts (NYNY) " u="1"/>
        <s v="SunPower (SPWR) " u="1"/>
        <s v="Ingevity (NGVT) " u="1"/>
        <s v="Del Frisco's Restaurant Group (DFRG) " u="1"/>
        <s v="Meet Group (MEET) " u="1"/>
        <s v="Cerecor (CERC) " u="1"/>
        <s v="Park-Ohio Holdings (PKOH) " u="1"/>
        <s v="Black Box (BBOX) " u="1"/>
        <s v="MYR Group (MYRG) " u="1"/>
        <s v="OPKO Health (OPK) " u="1"/>
        <s v="ModusLink Global Solutions (MLNK) " u="1"/>
        <s v="CUI Global (CUI) " u="1"/>
        <s v="Tetraphase Pharmaceuticals (TTPH) " u="1"/>
        <s v="Nabriva Therapeutics (NBRV) " u="1"/>
        <s v="GoDaddy Cl A (GDDY) " u="1"/>
        <s v="P&amp;F Industries Cl A (PFIN) " u="1"/>
        <s v="China Finance Online ADR (JRJC) " u="1"/>
        <s v="ACM Research Cl A (ACMR) " u="1"/>
        <s v="NL Industries (NL) " u="1"/>
        <s v="Radnet (RDNT) " u="1"/>
        <s v="Level Brands (LEVB) " u="1"/>
        <s v="ManTech International Cl A (MANT) " u="1"/>
        <s v="Affimed (AFMD) " u="1"/>
        <s v="Ocular Therapeutix (OCUL) " u="1"/>
        <s v="AmTrust Financial Services (AFSI) " u="1"/>
        <s v="ProShares UltraShort Gold Miners (GDXS) " u="1"/>
        <s v="Industrial Services of America (IDSA) " u="1"/>
        <s v="Avenue Therapeutics (ATXI) " u="1"/>
        <s v="Dynatronics (DYNT) " u="1"/>
        <s v="Hanwha Q CELLS ADR (HQCL) " u="1"/>
        <s v="Income Opportunity Realty Investors (IOR) " u="1"/>
      </sharedItems>
    </cacheField>
    <cacheField name="Price " numFmtId="0">
      <sharedItems containsSemiMixedTypes="0" containsString="0" containsNumber="1" minValue="2.1" maxValue="373.35"/>
    </cacheField>
    <cacheField name="Change" numFmtId="0">
      <sharedItems containsSemiMixedTypes="0" containsString="0" containsNumber="1" minValue="0.1" maxValue="36.32"/>
    </cacheField>
    <cacheField name="% Change" numFmtId="2">
      <sharedItems containsSemiMixedTypes="0" containsString="0" containsNumber="1" minValue="4.16" maxValue="311.23" count="691">
        <n v="77.52"/>
        <n v="31.2"/>
        <n v="30.9"/>
        <n v="27.52"/>
        <n v="26.92"/>
        <n v="26.33"/>
        <n v="23.88"/>
        <n v="23.27"/>
        <n v="23.08"/>
        <n v="22.17"/>
        <n v="22.06"/>
        <n v="17.2"/>
        <n v="16.05"/>
        <n v="15.45"/>
        <n v="15.32"/>
        <n v="15.21"/>
        <n v="14.46"/>
        <n v="13.85"/>
        <n v="13.44"/>
        <n v="13.35"/>
        <n v="13.33"/>
        <n v="13.3"/>
        <n v="13.06"/>
        <n v="12.86"/>
        <n v="11.48"/>
        <n v="11.38"/>
        <n v="11.32"/>
        <n v="11.08"/>
        <n v="10.64"/>
        <n v="10.55"/>
        <n v="10.5"/>
        <n v="10.45"/>
        <n v="10.32"/>
        <n v="10.039999999999999"/>
        <n v="9.8000000000000007"/>
        <n v="9.7200000000000006"/>
        <n v="9.6199999999999992"/>
        <n v="9.4600000000000009"/>
        <n v="9.31"/>
        <n v="9"/>
        <n v="8.9499999999999993"/>
        <n v="8.86"/>
        <n v="8.8000000000000007"/>
        <n v="8.76"/>
        <n v="8.7100000000000009"/>
        <n v="8.67"/>
        <n v="8.65"/>
        <n v="8.33"/>
        <n v="8.26"/>
        <n v="8.2100000000000009"/>
        <n v="8.19"/>
        <n v="8.06"/>
        <n v="7.98"/>
        <n v="7.97"/>
        <n v="7.93"/>
        <n v="7.87"/>
        <n v="7.84"/>
        <n v="7.77"/>
        <n v="7.69"/>
        <n v="7.68"/>
        <n v="7.63"/>
        <n v="7.53"/>
        <n v="7.5"/>
        <n v="7.46"/>
        <n v="7.4"/>
        <n v="7.35"/>
        <n v="7.32"/>
        <n v="7.28"/>
        <n v="7.22"/>
        <n v="7.14"/>
        <n v="7.12"/>
        <n v="6.98"/>
        <n v="6.97"/>
        <n v="6.96"/>
        <n v="6.92"/>
        <n v="6.87"/>
        <n v="6.81"/>
        <n v="6.78"/>
        <n v="6.76"/>
        <n v="6.75"/>
        <n v="6.7"/>
        <n v="6.68"/>
        <n v="6.64"/>
        <n v="6.63"/>
        <n v="6.59"/>
        <n v="6.49"/>
        <n v="6.43"/>
        <n v="6.37"/>
        <n v="6.36"/>
        <n v="6.34"/>
        <n v="6.32"/>
        <n v="6.31"/>
        <n v="54.11"/>
        <n v="24.79"/>
        <n v="23.35"/>
        <n v="22.54"/>
        <n v="21.51"/>
        <n v="21.12"/>
        <n v="20.82"/>
        <n v="17.170000000000002"/>
        <n v="16.28"/>
        <n v="14.38"/>
        <n v="14.32"/>
        <n v="13.65"/>
        <n v="13.58"/>
        <n v="12.09"/>
        <n v="11.45"/>
        <n v="10.82"/>
        <n v="10.71"/>
        <n v="10.56"/>
        <n v="10"/>
        <n v="9.92"/>
        <n v="9.5"/>
        <n v="8.69"/>
        <n v="8.51"/>
        <n v="8.4"/>
        <n v="8.3800000000000008"/>
        <n v="7.67"/>
        <n v="7.56"/>
        <n v="7.52"/>
        <n v="7.42"/>
        <n v="7.31"/>
        <n v="7.24"/>
        <n v="7.17"/>
        <n v="6.86"/>
        <n v="6.77"/>
        <n v="6.67"/>
        <n v="6.62"/>
        <n v="6.6"/>
        <n v="6.57"/>
        <n v="6.56"/>
        <n v="6.51"/>
        <n v="6.47"/>
        <n v="6.46"/>
        <n v="6.41"/>
        <n v="6.3"/>
        <n v="6.27"/>
        <n v="6.13"/>
        <n v="6.02"/>
        <n v="5.99"/>
        <n v="5.8"/>
        <n v="5.65"/>
        <n v="5.56"/>
        <n v="5.45"/>
        <n v="5.38"/>
        <n v="5.37"/>
        <n v="5.34"/>
        <n v="5.27"/>
        <n v="5.26"/>
        <n v="5.15"/>
        <n v="5.08"/>
        <n v="5.03"/>
        <n v="5"/>
        <n v="4.99"/>
        <n v="4.9800000000000004"/>
        <n v="4.97"/>
        <n v="4.92"/>
        <n v="4.9000000000000004"/>
        <n v="4.8899999999999997"/>
        <n v="4.88"/>
        <n v="4.83"/>
        <n v="4.82"/>
        <n v="4.8"/>
        <n v="4.76"/>
        <n v="4.72"/>
        <n v="4.7"/>
        <n v="4.67"/>
        <n v="4.6500000000000004"/>
        <n v="4.6399999999999997"/>
        <n v="4.6100000000000003"/>
        <n v="4.59"/>
        <n v="4.58"/>
        <n v="4.57"/>
        <n v="4.55"/>
        <n v="4.53"/>
        <n v="4.5199999999999996"/>
        <n v="4.51"/>
        <n v="311.23"/>
        <n v="56"/>
        <n v="42.19"/>
        <n v="37.68"/>
        <n v="28.36"/>
        <n v="25.34"/>
        <n v="23.95"/>
        <n v="22.21"/>
        <n v="16"/>
        <n v="13.54"/>
        <n v="13.38"/>
        <n v="13.14"/>
        <n v="12.63"/>
        <n v="12.56"/>
        <n v="12.53"/>
        <n v="11.18"/>
        <n v="11.17"/>
        <n v="10.84"/>
        <n v="10.6"/>
        <n v="10.59"/>
        <n v="10.33"/>
        <n v="9.9600000000000009"/>
        <n v="9.89"/>
        <n v="9.61"/>
        <n v="9.6"/>
        <n v="9.51"/>
        <n v="8.5299999999999994"/>
        <n v="8.36"/>
        <n v="7.81"/>
        <n v="7.6"/>
        <n v="7.57"/>
        <n v="7.47"/>
        <n v="7.3"/>
        <n v="7.25"/>
        <n v="7.07"/>
        <n v="7.04"/>
        <n v="6.91"/>
        <n v="6.9"/>
        <n v="6.82"/>
        <n v="6.19"/>
        <n v="6.09"/>
        <n v="6.04"/>
        <n v="6.01"/>
        <n v="5.98"/>
        <n v="5.97"/>
        <n v="5.91"/>
        <n v="5.87"/>
        <n v="5.84"/>
        <n v="5.76"/>
        <n v="5.68"/>
        <n v="5.63"/>
        <n v="5.59"/>
        <n v="5.41"/>
        <n v="5.36"/>
        <n v="5.23"/>
        <n v="5.14"/>
        <n v="5.1100000000000003"/>
        <n v="5.07"/>
        <n v="5.04"/>
        <n v="5.01"/>
        <n v="4.79"/>
        <n v="4.74"/>
        <n v="4.71"/>
        <n v="4.66"/>
        <n v="71.16"/>
        <n v="46.76"/>
        <n v="44.26"/>
        <n v="38.35"/>
        <n v="27.34"/>
        <n v="23.73"/>
        <n v="20.89"/>
        <n v="19.059999999999999"/>
        <n v="18.78"/>
        <n v="17.88"/>
        <n v="16.98"/>
        <n v="16.72"/>
        <n v="15.47"/>
        <n v="15.23"/>
        <n v="12.2"/>
        <n v="12.17"/>
        <n v="11.84"/>
        <n v="10.89"/>
        <n v="10.83"/>
        <n v="10.3"/>
        <n v="10.26"/>
        <n v="10.17"/>
        <n v="9.65"/>
        <n v="8.73"/>
        <n v="8.6999999999999993"/>
        <n v="8.2799999999999994"/>
        <n v="8.1300000000000008"/>
        <n v="8.01"/>
        <n v="7.89"/>
        <n v="7.78"/>
        <n v="7.74"/>
        <n v="7.66"/>
        <n v="7.54"/>
        <n v="7.36"/>
        <n v="7.27"/>
        <n v="7.26"/>
        <n v="7.18"/>
        <n v="7.13"/>
        <n v="7.1"/>
        <n v="7.09"/>
        <n v="7.02"/>
        <n v="7.01"/>
        <n v="6.99"/>
        <n v="6.95"/>
        <n v="6.84"/>
        <n v="6.8"/>
        <n v="6.72"/>
        <n v="6.25"/>
        <n v="6.24"/>
        <n v="6.22"/>
        <n v="6.1"/>
        <n v="6.05"/>
        <n v="6.03"/>
        <n v="5.94"/>
        <n v="5.92"/>
        <n v="5.9"/>
        <n v="5.88"/>
        <n v="5.86"/>
        <n v="5.66"/>
        <n v="5.61"/>
        <n v="5.55"/>
        <n v="5.54"/>
        <n v="5.48"/>
        <n v="5.47"/>
        <n v="5.42"/>
        <n v="5.16"/>
        <n v="5.12"/>
        <n v="4.9400000000000004"/>
        <n v="4.8499999999999996"/>
        <n v="4.75"/>
        <n v="4.63"/>
        <n v="4.62"/>
        <n v="106.25"/>
        <n v="41.25"/>
        <n v="24.95"/>
        <n v="21.43"/>
        <n v="20.97"/>
        <n v="17.57"/>
        <n v="15.91"/>
        <n v="15.05"/>
        <n v="14.7"/>
        <n v="14.29"/>
        <n v="13.95"/>
        <n v="13.26"/>
        <n v="13.13"/>
        <n v="13.08"/>
        <n v="12.77"/>
        <n v="12.6"/>
        <n v="12.52"/>
        <n v="12.38"/>
        <n v="12.34"/>
        <n v="12.33"/>
        <n v="12"/>
        <n v="11.92"/>
        <n v="11.39"/>
        <n v="11.11"/>
        <n v="10.91"/>
        <n v="10.85"/>
        <n v="10.74"/>
        <n v="10.73"/>
        <n v="10.58"/>
        <n v="10.46"/>
        <n v="10.42"/>
        <n v="10.39"/>
        <n v="10.23"/>
        <n v="10.210000000000001"/>
        <n v="10.199999999999999"/>
        <n v="10.14"/>
        <n v="10.11"/>
        <n v="10.09"/>
        <n v="10.029999999999999"/>
        <n v="10.01"/>
        <n v="9.98"/>
        <n v="9.94"/>
        <n v="9.8699999999999992"/>
        <n v="9.84"/>
        <n v="9.5399999999999991"/>
        <n v="9.39"/>
        <n v="9.2200000000000006"/>
        <n v="9.2100000000000009"/>
        <n v="8.99"/>
        <n v="8.98"/>
        <n v="8.9"/>
        <n v="8.5500000000000007"/>
        <n v="8.4700000000000006"/>
        <n v="8.4499999999999993"/>
        <n v="8.2200000000000006"/>
        <n v="8.18"/>
        <n v="8.17"/>
        <n v="7.94"/>
        <n v="7.82"/>
        <n v="7.8"/>
        <n v="7.64"/>
        <n v="7.51"/>
        <n v="7.45"/>
        <n v="7.33"/>
        <n v="7.03"/>
        <n v="6.93"/>
        <n v="6.85"/>
        <n v="6.73"/>
        <n v="6.71"/>
        <n v="28.78"/>
        <n v="27.55"/>
        <n v="26.98"/>
        <n v="22.52"/>
        <n v="19.559999999999999"/>
        <n v="17.59"/>
        <n v="14.92"/>
        <n v="14.21"/>
        <n v="12.84"/>
        <n v="12.65"/>
        <n v="12.1"/>
        <n v="11.94"/>
        <n v="11.89"/>
        <n v="11.71"/>
        <n v="10.050000000000001"/>
        <n v="9.75"/>
        <n v="9.4499999999999993"/>
        <n v="9.02"/>
        <n v="9.01"/>
        <n v="8.82"/>
        <n v="8.58"/>
        <n v="8.11"/>
        <n v="8.02"/>
        <n v="7.41"/>
        <n v="6.83"/>
        <n v="6.48"/>
        <n v="6.44"/>
        <n v="6.2"/>
        <n v="6.07"/>
        <n v="5.95"/>
        <n v="5.77"/>
        <n v="5.75"/>
        <n v="5.73"/>
        <n v="5.72"/>
        <n v="5.71"/>
        <n v="5.58"/>
        <n v="5.57"/>
        <n v="5.5"/>
        <n v="5.33"/>
        <n v="5.31"/>
        <n v="5.29"/>
        <n v="5.2"/>
        <n v="5.13"/>
        <n v="5.09"/>
        <n v="5.05"/>
        <n v="4.96"/>
        <n v="4.8600000000000003"/>
        <n v="4.7699999999999996"/>
        <n v="4.68"/>
        <n v="4.5999999999999996"/>
        <n v="4.5599999999999996"/>
        <n v="4.4800000000000004"/>
        <n v="4.43"/>
        <n v="4.38"/>
        <n v="28.68"/>
        <n v="27.16"/>
        <n v="21.81"/>
        <n v="16.23"/>
        <n v="15.51"/>
        <n v="15.41"/>
        <n v="15.22"/>
        <n v="14.37"/>
        <n v="12.68"/>
        <n v="11.47"/>
        <n v="10.06"/>
        <n v="9.3699999999999992"/>
        <n v="9.2899999999999991"/>
        <n v="8.89"/>
        <n v="7.71"/>
        <n v="7.65"/>
        <n v="7.23"/>
        <n v="7.21"/>
        <n v="6.94"/>
        <n v="6.79"/>
        <n v="6.53"/>
        <n v="6.45"/>
        <n v="6.4"/>
        <n v="6.18"/>
        <n v="6.06"/>
        <n v="5.83"/>
        <n v="5.78"/>
        <n v="5.7"/>
        <n v="5.67"/>
        <n v="5.64"/>
        <n v="5.6"/>
        <n v="5.49"/>
        <n v="5.44"/>
        <n v="5.3"/>
        <n v="5.25"/>
        <n v="4.95"/>
        <n v="4.91"/>
        <n v="4.8099999999999996"/>
        <n v="4.78"/>
        <n v="34.01"/>
        <n v="21.86"/>
        <n v="21.57"/>
        <n v="20.309999999999999"/>
        <n v="19.09"/>
        <n v="18.22"/>
        <n v="18.11"/>
        <n v="17.54"/>
        <n v="16.170000000000002"/>
        <n v="15.04"/>
        <n v="14.39"/>
        <n v="14.15"/>
        <n v="14.09"/>
        <n v="13.45"/>
        <n v="12.99"/>
        <n v="12.7"/>
        <n v="12.44"/>
        <n v="12.32"/>
        <n v="12.03"/>
        <n v="11.76"/>
        <n v="11.29"/>
        <n v="10.69"/>
        <n v="10.63"/>
        <n v="10.43"/>
        <n v="10.38"/>
        <n v="10.34"/>
        <n v="10.29"/>
        <n v="9.7100000000000009"/>
        <n v="9.67"/>
        <n v="9.66"/>
        <n v="9.52"/>
        <n v="9.4700000000000006"/>
        <n v="9.42"/>
        <n v="9.17"/>
        <n v="8.9600000000000009"/>
        <n v="8.92"/>
        <n v="8.8699999999999992"/>
        <n v="8.77"/>
        <n v="8.6199999999999992"/>
        <n v="8.57"/>
        <n v="8.48"/>
        <n v="8.43"/>
        <n v="8.23"/>
        <n v="8.16"/>
        <n v="8"/>
        <n v="7.95"/>
        <n v="7.91"/>
        <n v="7.88"/>
        <n v="7.75"/>
        <n v="7.73"/>
        <n v="7.62"/>
        <n v="7.59"/>
        <n v="7.49"/>
        <n v="7.43"/>
        <n v="7.38"/>
        <n v="7.34"/>
        <n v="7.19"/>
        <n v="7.11"/>
        <n v="7.08"/>
        <n v="7.05"/>
        <n v="6.89"/>
        <n v="118.42"/>
        <n v="35.31"/>
        <n v="28.29"/>
        <n v="26.35"/>
        <n v="26.11"/>
        <n v="24.93"/>
        <n v="19.82"/>
        <n v="18.16"/>
        <n v="17.36"/>
        <n v="16.75"/>
        <n v="15.52"/>
        <n v="14.76"/>
        <n v="14.74"/>
        <n v="13.22"/>
        <n v="13.16"/>
        <n v="13.04"/>
        <n v="12.23"/>
        <n v="11.78"/>
        <n v="10.62"/>
        <n v="10.47"/>
        <n v="9.9700000000000006"/>
        <n v="9.9499999999999993"/>
        <n v="9.69"/>
        <n v="9.07"/>
        <n v="8.9700000000000006"/>
        <n v="8.83"/>
        <n v="7.92"/>
        <n v="7.76"/>
        <n v="6.61"/>
        <n v="6.17"/>
        <n v="6.16"/>
        <n v="6"/>
        <n v="5.46"/>
        <n v="4.7300000000000004"/>
        <n v="4.5"/>
        <n v="4.3899999999999997"/>
        <n v="4.29"/>
        <n v="4.2"/>
        <n v="4.17"/>
        <n v="4.16"/>
        <n v="35.619999999999997"/>
        <n v="25.9"/>
        <n v="25.75"/>
        <n v="21.32"/>
        <n v="20.2"/>
        <n v="19.239999999999998"/>
        <n v="17.91"/>
        <n v="15.61"/>
        <n v="13.47"/>
        <n v="11.5"/>
        <n v="11.03"/>
        <n v="11.01"/>
        <n v="10.41"/>
        <n v="9.56"/>
        <n v="9.34"/>
        <n v="9.1300000000000008"/>
        <n v="8.93"/>
        <n v="8.35"/>
        <n v="8.32"/>
        <n v="8.0399999999999991"/>
        <n v="7.16"/>
        <n v="6.55"/>
        <n v="6.39"/>
        <n v="6.33"/>
        <n v="6.21"/>
        <n v="5.93"/>
        <n v="5.79"/>
        <n v="5.51"/>
        <n v="5.4"/>
        <n v="5.39"/>
        <n v="5.28"/>
        <n v="5.24"/>
        <n v="5.22"/>
        <n v="5.21"/>
        <n v="5.19"/>
        <n v="5.0999999999999996"/>
        <n v="5.0599999999999996"/>
        <n v="31.09"/>
        <n v="31.06"/>
        <n v="19.46"/>
        <n v="18.28"/>
        <n v="17.07"/>
        <n v="15.7"/>
        <n v="14.85"/>
        <n v="13.81"/>
        <n v="13.7"/>
        <n v="13.25"/>
        <n v="12.58"/>
        <n v="12.07"/>
        <n v="11.49"/>
        <n v="11.43"/>
        <n v="11.25"/>
        <n v="11.21"/>
        <n v="11.15"/>
        <n v="11"/>
        <n v="10.78"/>
        <n v="10.51"/>
        <n v="10.24"/>
        <n v="9.9"/>
        <n v="9.86"/>
        <n v="9.68"/>
        <n v="9.59"/>
        <n v="9.35"/>
        <n v="9.32"/>
        <n v="9.2799999999999994"/>
        <n v="9.26"/>
        <n v="9.11"/>
        <n v="9.0299999999999994"/>
        <n v="8.8800000000000008"/>
        <n v="8.56"/>
        <n v="8.4600000000000009"/>
        <n v="8.3699999999999992"/>
        <n v="8.14"/>
        <n v="8.1"/>
        <n v="7.86"/>
        <n v="7.79"/>
        <n v="7.72"/>
        <n v="7.7"/>
        <n v="7.39"/>
        <n v="7.37"/>
        <n v="6.88"/>
        <n v="6.54"/>
        <n v="6.52"/>
        <n v="30.95"/>
        <n v="30.2"/>
        <n v="23.45"/>
        <n v="17.649999999999999"/>
        <n v="16.32"/>
        <n v="16.100000000000001"/>
        <n v="15.07"/>
        <n v="14.55"/>
        <n v="13.07"/>
        <n v="12.96"/>
        <n v="12.45"/>
        <n v="12.4"/>
        <n v="11.85"/>
        <n v="11.35"/>
        <n v="11.27"/>
        <n v="10.53"/>
        <n v="9.64"/>
        <n v="9.4"/>
        <n v="9.1999999999999993"/>
        <n v="8.5399999999999991"/>
        <n v="8.42"/>
        <n v="8.15"/>
        <n v="8.09"/>
        <n v="7.96"/>
        <n v="7.61"/>
        <n v="6.74"/>
        <n v="6.12"/>
        <n v="5.96"/>
        <n v="5.43"/>
        <n v="5.32"/>
        <n v="4.84"/>
        <n v="4.45"/>
      </sharedItems>
    </cacheField>
    <cacheField name="Volume " numFmtId="0">
      <sharedItems containsSemiMixedTypes="0" containsString="0" containsNumber="1" containsInteger="1" minValue="2000" maxValue="136444540"/>
    </cacheField>
    <cacheField name="Date" numFmtId="164">
      <sharedItems containsSemiMixedTypes="0" containsNonDate="0" containsDate="1" containsString="0" minDate="2018-03-12T00:00:00" maxDate="2018-03-28T00:00:00" count="12">
        <d v="2018-03-12T00:00:00"/>
        <d v="2018-03-13T00:00:00"/>
        <d v="2018-03-14T00:00:00"/>
        <d v="2018-03-15T00:00:00"/>
        <d v="2018-03-16T00:00:00"/>
        <d v="2018-03-19T00:00:00"/>
        <d v="2018-03-20T00:00:00"/>
        <d v="2018-03-21T00:00:00"/>
        <d v="2018-03-22T00:00:00"/>
        <d v="2018-03-23T00:00:00"/>
        <d v="2018-03-26T00:00:00"/>
        <d v="2018-03-27T00:00:00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61">
  <r>
    <s v="22nd Century Group (XXII) "/>
    <x v="0"/>
  </r>
  <r>
    <s v="Acacia Communications (ACIA) "/>
    <x v="0"/>
  </r>
  <r>
    <s v="Accuray (ARAY) "/>
    <x v="0"/>
  </r>
  <r>
    <s v="ACM Research Cl A (ACMR) "/>
    <x v="1"/>
  </r>
  <r>
    <s v="Adamis Pharmaceuticals (ADMP) "/>
    <x v="1"/>
  </r>
  <r>
    <s v="ADMA Biologics (ADMA) "/>
    <x v="0"/>
  </r>
  <r>
    <s v="Adverum Biotechnologies (ADVM) "/>
    <x v="0"/>
  </r>
  <r>
    <s v="Aegean Marine Petroleum Network (ANW) "/>
    <x v="0"/>
  </r>
  <r>
    <s v="Aeglea BioTherapeutics (AGLE) "/>
    <x v="2"/>
  </r>
  <r>
    <s v="Allena Pharmaceuticals (ALNA) "/>
    <x v="2"/>
  </r>
  <r>
    <s v="Altair Engineering Cl A (ALTR) "/>
    <x v="0"/>
  </r>
  <r>
    <s v="Ambarella (AMBA) "/>
    <x v="0"/>
  </r>
  <r>
    <s v="Ampio Pharmaceuticals (AMPE) "/>
    <x v="0"/>
  </r>
  <r>
    <s v="Anavex Life Sciences (AVXL) "/>
    <x v="3"/>
  </r>
  <r>
    <s v="Apellis Pharmaceuticals (APLS) "/>
    <x v="3"/>
  </r>
  <r>
    <s v="Apollo Medical Holdings (AMEH) "/>
    <x v="2"/>
  </r>
  <r>
    <s v="Aquantia (AQ) "/>
    <x v="0"/>
  </r>
  <r>
    <s v="Archrock (AROC) "/>
    <x v="0"/>
  </r>
  <r>
    <s v="ARMO Biosciences (ARMO) "/>
    <x v="0"/>
  </r>
  <r>
    <s v="Arsanis (ASNS) "/>
    <x v="2"/>
  </r>
  <r>
    <s v="Asia Pacific Wire&amp;Cable (APWC) "/>
    <x v="0"/>
  </r>
  <r>
    <s v="Asta Funding (ASFI) "/>
    <x v="3"/>
  </r>
  <r>
    <s v="Atara Biotherapeutics (ATRA) "/>
    <x v="0"/>
  </r>
  <r>
    <s v="Atomera (ATOM) "/>
    <x v="1"/>
  </r>
  <r>
    <s v="AzurRx BioPharma (AZRX) "/>
    <x v="0"/>
  </r>
  <r>
    <s v="Barclays Bank iPath S&amp;P 500 VIX Short Term Futures ETN (VXX) "/>
    <x v="2"/>
  </r>
  <r>
    <s v="BeiGene ADR (BGNE) "/>
    <x v="0"/>
  </r>
  <r>
    <s v="BioCryst Pharmaceuticals (BCRX) "/>
    <x v="0"/>
  </r>
  <r>
    <s v="Bravo Brio Restaurant Group (BBRG) "/>
    <x v="3"/>
  </r>
  <r>
    <s v="Bridgford Foods (BRID) "/>
    <x v="0"/>
  </r>
  <r>
    <s v="Brunswick (BC) "/>
    <x v="0"/>
  </r>
  <r>
    <s v="Calithera Biosciences (CALA) "/>
    <x v="0"/>
  </r>
  <r>
    <s v="Cardtronics Cl A (CATM) "/>
    <x v="0"/>
  </r>
  <r>
    <s v="Casa Systems (CASA) "/>
    <x v="1"/>
  </r>
  <r>
    <s v="Castlight Health Cl B (CSLT) "/>
    <x v="0"/>
  </r>
  <r>
    <s v="Catalyst Biosciences (CBIO) "/>
    <x v="0"/>
  </r>
  <r>
    <s v="Cerecor (CERC) "/>
    <x v="4"/>
  </r>
  <r>
    <s v="CGG ADR (CGG) "/>
    <x v="2"/>
  </r>
  <r>
    <s v="Chanticleer Holdings (BURG) "/>
    <x v="0"/>
  </r>
  <r>
    <s v="Checkpoint Therapeutics (CKPT) "/>
    <x v="1"/>
  </r>
  <r>
    <s v="China Distance Education Holdings ADR (DL) "/>
    <x v="0"/>
  </r>
  <r>
    <s v="Ciena (CIEN) "/>
    <x v="0"/>
  </r>
  <r>
    <s v="Cleveland BioLabs (CBLI) "/>
    <x v="0"/>
  </r>
  <r>
    <s v="Co-Diagnostics (CODX) "/>
    <x v="2"/>
  </r>
  <r>
    <s v="Collegium Pharmaceutical (COLL) "/>
    <x v="0"/>
  </r>
  <r>
    <s v="Constellium Cl A (CSTM) "/>
    <x v="0"/>
  </r>
  <r>
    <s v="CounterPath (CPAH) "/>
    <x v="0"/>
  </r>
  <r>
    <s v="CRH Medical (CRHM) "/>
    <x v="3"/>
  </r>
  <r>
    <s v="Cyanotech (CYAN) "/>
    <x v="0"/>
  </r>
  <r>
    <s v="Daqo New Energy ADR (DQ) "/>
    <x v="0"/>
  </r>
  <r>
    <s v="Dawson Geophysical (DWSN) "/>
    <x v="1"/>
  </r>
  <r>
    <s v="Direxion Daily Developed Markets Bear 3x Shares (DPK) "/>
    <x v="0"/>
  </r>
  <r>
    <s v="Direxion Daily Emerging Markets Bear 3x Shares (EDZ) "/>
    <x v="0"/>
  </r>
  <r>
    <s v="Direxion Daily Energy Bear 3x Shares (ERY) "/>
    <x v="0"/>
  </r>
  <r>
    <s v="Direxion Daily FTSE China Bear 3X Shares (YANG) "/>
    <x v="3"/>
  </r>
  <r>
    <s v="Direxion Daily Gold Miners Index Bear 3x Shares (DUST) "/>
    <x v="3"/>
  </r>
  <r>
    <s v="Direxion Daily Junior Gold Miners Index Bear 3X Shares (JDST) "/>
    <x v="3"/>
  </r>
  <r>
    <s v="Direxion Daily MSCI India Bull 3X Shares (INDL) "/>
    <x v="0"/>
  </r>
  <r>
    <s v="Direxion Daily Natural Gas Related Bear 3x Shares (GASX) "/>
    <x v="3"/>
  </r>
  <r>
    <s v="Direxion Daily Real Estate Bear 3x Shares (DRV) "/>
    <x v="0"/>
  </r>
  <r>
    <s v="Direxion Daily Russia Bear 3x Shares (RUSS) "/>
    <x v="2"/>
  </r>
  <r>
    <s v="Direxion Daily S&amp;P Biotech Bear 3X Shares (LABD) "/>
    <x v="2"/>
  </r>
  <r>
    <s v="Direxion Daily S&amp;P Oil&amp;Gas Exp.&amp;Prod. Bear 3X Shares (DRIP) "/>
    <x v="3"/>
  </r>
  <r>
    <s v="Direxion Daily Semiconductor Bull 3X Shares (SOXL) "/>
    <x v="3"/>
  </r>
  <r>
    <s v="Direxion Daily South Korea Bull 3X Shares (KORU) "/>
    <x v="3"/>
  </r>
  <r>
    <s v="DropCar (DCAR) "/>
    <x v="2"/>
  </r>
  <r>
    <s v="Eastside Distilling (EAST) "/>
    <x v="3"/>
  </r>
  <r>
    <s v="Emmis Communications Cl A (EMMS) "/>
    <x v="0"/>
  </r>
  <r>
    <s v="Empire Resorts (NYNY) "/>
    <x v="0"/>
  </r>
  <r>
    <s v="Energous (WATT) "/>
    <x v="0"/>
  </r>
  <r>
    <s v="Energy Recovery (ERII) "/>
    <x v="2"/>
  </r>
  <r>
    <s v="Enphase Energy (ENPH) "/>
    <x v="3"/>
  </r>
  <r>
    <s v="Forescout Technologies (FSCT) "/>
    <x v="0"/>
  </r>
  <r>
    <s v="Forterra (FRTA) "/>
    <x v="0"/>
  </r>
  <r>
    <s v="Galectin Therapeutics (GALT) "/>
    <x v="3"/>
  </r>
  <r>
    <s v="Galmed Pharmaceuticals (GLMD) "/>
    <x v="2"/>
  </r>
  <r>
    <s v="GDS Holdings ADR (GDS) "/>
    <x v="0"/>
  </r>
  <r>
    <s v="Genius Brands International (GNUS) "/>
    <x v="0"/>
  </r>
  <r>
    <s v="Grana y Montero ADR (GRAM) "/>
    <x v="0"/>
  </r>
  <r>
    <s v="GRAVITY ADR (GRVY) "/>
    <x v="3"/>
  </r>
  <r>
    <s v="Heat Biologics (HTBX) "/>
    <x v="0"/>
  </r>
  <r>
    <s v="Helios&amp;Matheson Analytics (HMNY) "/>
    <x v="0"/>
  </r>
  <r>
    <s v="Histogenics (HSGX) "/>
    <x v="0"/>
  </r>
  <r>
    <s v="Horizon Global (HZN) "/>
    <x v="2"/>
  </r>
  <r>
    <s v="Immersion (IMMR) "/>
    <x v="0"/>
  </r>
  <r>
    <s v="Immuron ADR (IMRN) "/>
    <x v="1"/>
  </r>
  <r>
    <s v="InflaRx (IFRX) "/>
    <x v="2"/>
  </r>
  <r>
    <s v="Inphi (IPHI) "/>
    <x v="0"/>
  </r>
  <r>
    <s v="Inspired Entertainment (INSE) "/>
    <x v="0"/>
  </r>
  <r>
    <s v="Intellicheck (IDN) "/>
    <x v="3"/>
  </r>
  <r>
    <s v="Intersections (INTX) "/>
    <x v="0"/>
  </r>
  <r>
    <s v="Intrexon (XON) "/>
    <x v="0"/>
  </r>
  <r>
    <s v="iPath Global Carbon ETN (GRN) "/>
    <x v="2"/>
  </r>
  <r>
    <s v="Iteris (ITI) "/>
    <x v="0"/>
  </r>
  <r>
    <s v="Juniper Pharmaceuticals (JNP) "/>
    <x v="0"/>
  </r>
  <r>
    <s v="Kazia Therapeutics ADR (KZIA) "/>
    <x v="3"/>
  </r>
  <r>
    <s v="KBS Fashion Group (KBSF) "/>
    <x v="0"/>
  </r>
  <r>
    <s v="KemPharm (KMPH) "/>
    <x v="2"/>
  </r>
  <r>
    <s v="Lianluo Smart (LLIT) "/>
    <x v="0"/>
  </r>
  <r>
    <s v="Liberty TripAdvisor Holdings Series A (LTRPA) "/>
    <x v="0"/>
  </r>
  <r>
    <s v="LongFin Cl A (LFIN) "/>
    <x v="2"/>
  </r>
  <r>
    <s v="MGP Ingredients (MGPI) "/>
    <x v="0"/>
  </r>
  <r>
    <s v="Miragen Therapeutics (MGEN) "/>
    <x v="0"/>
  </r>
  <r>
    <s v="Mirati Therapeutics (MRTX) "/>
    <x v="2"/>
  </r>
  <r>
    <s v="Myomo (MYO) "/>
    <x v="2"/>
  </r>
  <r>
    <s v="NantKwest (NK) "/>
    <x v="0"/>
  </r>
  <r>
    <s v="Natural Grocers by Vitamin Cottage (NGVC) "/>
    <x v="0"/>
  </r>
  <r>
    <s v="Navigator Holdings (NVGS) "/>
    <x v="0"/>
  </r>
  <r>
    <s v="Nektar Therapeutics (NKTR) "/>
    <x v="2"/>
  </r>
  <r>
    <s v="Nemaura Medical (NMRD) "/>
    <x v="0"/>
  </r>
  <r>
    <s v="Neptune Technologies&amp;Bioressources (NEPT) "/>
    <x v="2"/>
  </r>
  <r>
    <s v="Net Element (NETE) "/>
    <x v="3"/>
  </r>
  <r>
    <s v="Netshoes (Cayman) (NETS) "/>
    <x v="2"/>
  </r>
  <r>
    <s v="Neurotrope (NTRP) "/>
    <x v="0"/>
  </r>
  <r>
    <s v="New Age Beverages (NBEV) "/>
    <x v="0"/>
  </r>
  <r>
    <s v="Newater Technology (NEWA) "/>
    <x v="3"/>
  </r>
  <r>
    <s v="Novelion Therapeutics (NVLN) "/>
    <x v="0"/>
  </r>
  <r>
    <s v="Novus Therapeutics (NVUS) "/>
    <x v="0"/>
  </r>
  <r>
    <s v="NTN Buzztime (NTN) "/>
    <x v="0"/>
  </r>
  <r>
    <s v="Nuvectra (NVTR) "/>
    <x v="0"/>
  </r>
  <r>
    <s v="Nuverra Environmental Solutions (NES) "/>
    <x v="2"/>
  </r>
  <r>
    <s v="ObsEva (OBSV) "/>
    <x v="0"/>
  </r>
  <r>
    <s v="Och-Ziff Capital Management (OZM) "/>
    <x v="0"/>
  </r>
  <r>
    <s v="Ocular Therapeutix (OCUL) "/>
    <x v="2"/>
  </r>
  <r>
    <s v="Ooma (OOMA) "/>
    <x v="2"/>
  </r>
  <r>
    <s v="OptimumBank Holdings (OPHC) "/>
    <x v="2"/>
  </r>
  <r>
    <s v="Oragenics (OGEN) "/>
    <x v="0"/>
  </r>
  <r>
    <s v="Oxbridge Re Holdings (OXBR) "/>
    <x v="0"/>
  </r>
  <r>
    <s v="Par Technology (PAR) "/>
    <x v="3"/>
  </r>
  <r>
    <s v="Patriot Transportation Holding (PATI) "/>
    <x v="0"/>
  </r>
  <r>
    <s v="Pioneer Energy Services (PES) "/>
    <x v="2"/>
  </r>
  <r>
    <s v="PolarityTE (COOL) "/>
    <x v="0"/>
  </r>
  <r>
    <s v="ProShares Ultra VIX Short-Term Futures ETF (UVXY) "/>
    <x v="1"/>
  </r>
  <r>
    <s v="ProShares UltraPro 3x Crude Oil ETF (OILU) "/>
    <x v="2"/>
  </r>
  <r>
    <s v="ProShares UltraPro 3x Short Crude Oil ETF (OILD) "/>
    <x v="2"/>
  </r>
  <r>
    <s v="ProShares UltraPro Short Financial Select Sector (FINZ) "/>
    <x v="0"/>
  </r>
  <r>
    <s v="ProShares UltraPro Short MidCap400 (SMDD) "/>
    <x v="0"/>
  </r>
  <r>
    <s v="ProShares UltraPro Short NASDAQ Biotechnology (ZBIO) "/>
    <x v="0"/>
  </r>
  <r>
    <s v="ProShares UltraShort FTSE/Xinhua China 25 (FXP) "/>
    <x v="0"/>
  </r>
  <r>
    <s v="ProShares UltraShort Gold Miners (GDXS) "/>
    <x v="2"/>
  </r>
  <r>
    <s v="ProShares UltraShort Industrials (SIJ) "/>
    <x v="0"/>
  </r>
  <r>
    <s v="ProShares UltraShort MSCI Emerging Markets (EEV) "/>
    <x v="0"/>
  </r>
  <r>
    <s v="ProShares UltraShort MSCI Japan (EWV) "/>
    <x v="0"/>
  </r>
  <r>
    <s v="ProShares UltraShort Real Estate (SRS) "/>
    <x v="0"/>
  </r>
  <r>
    <s v="ProShares UltraShort Semiconductors (SSG) "/>
    <x v="0"/>
  </r>
  <r>
    <s v="ProShares VIX Short-Term Futures ETF (VIXY) "/>
    <x v="2"/>
  </r>
  <r>
    <s v="Proteostasis Therapeutics (PTI) "/>
    <x v="2"/>
  </r>
  <r>
    <s v="Qualstar (QBAK) "/>
    <x v="0"/>
  </r>
  <r>
    <s v="Quotient (QTNT) "/>
    <x v="2"/>
  </r>
  <r>
    <s v="Reliv International (RELV) "/>
    <x v="0"/>
  </r>
  <r>
    <s v="Remark Holdings (MARK) "/>
    <x v="3"/>
  </r>
  <r>
    <s v="ReTo Eco-Solutions (RETO) "/>
    <x v="2"/>
  </r>
  <r>
    <s v="Revolution Lighting Technologies (RVLT) "/>
    <x v="0"/>
  </r>
  <r>
    <s v="Riot Blockchain (RIOT) "/>
    <x v="0"/>
  </r>
  <r>
    <s v="Rocket Pharmaceuticals (RCKT) "/>
    <x v="0"/>
  </r>
  <r>
    <s v="Select Medical Holdings (SEM) "/>
    <x v="0"/>
  </r>
  <r>
    <s v="SemiLEDS (LEDS) "/>
    <x v="0"/>
  </r>
  <r>
    <s v="ShiftPixy (PIXY) "/>
    <x v="3"/>
  </r>
  <r>
    <s v="Sientra (SIEN) "/>
    <x v="0"/>
  </r>
  <r>
    <s v="SMART Global Holdings (SGH) "/>
    <x v="2"/>
  </r>
  <r>
    <s v="Solid Biosciences (SLDB) "/>
    <x v="3"/>
  </r>
  <r>
    <s v="Sorrento Therapeutics (SRNE) "/>
    <x v="1"/>
  </r>
  <r>
    <s v="Spartan Motors (SPAR) "/>
    <x v="0"/>
  </r>
  <r>
    <s v="Spring Bank Pharmaceuticals (SBPH) "/>
    <x v="0"/>
  </r>
  <r>
    <s v="SSLJ.com Cl A (SSLJ) "/>
    <x v="2"/>
  </r>
  <r>
    <s v="Sunesis Pharmaceuticals (SNSS) "/>
    <x v="2"/>
  </r>
  <r>
    <s v="Technical Communications (TCCO) "/>
    <x v="0"/>
  </r>
  <r>
    <s v="TG Therapeutics (TGTX) "/>
    <x v="2"/>
  </r>
  <r>
    <s v="Tintri (TNTR) "/>
    <x v="0"/>
  </r>
  <r>
    <s v="TRACON Pharmaceuticals (TCON) "/>
    <x v="3"/>
  </r>
  <r>
    <s v="Triton International (TRTN) "/>
    <x v="0"/>
  </r>
  <r>
    <s v="Tyme Technologies (TYME) "/>
    <x v="3"/>
  </r>
  <r>
    <s v="UBS E-TRACS - ProShares Daily 3x Inverse Crude ETN (WTID) "/>
    <x v="2"/>
  </r>
  <r>
    <s v="UBS E-TRACS - ProShares Daily 3x Long Crude ETN (WTIU) "/>
    <x v="3"/>
  </r>
  <r>
    <s v="UroGen Pharma (URGN) "/>
    <x v="0"/>
  </r>
  <r>
    <s v="VelocityShares 3x Inverse Crude Oil ETNs linked to the S&amp;P GSCI Crude Oil Index ER (DWT) "/>
    <x v="2"/>
  </r>
  <r>
    <s v="VelocityShares 3x Long Crude Oil ETNs linked to the S&amp;P GSCI Crude Oil Index ER (UWT) "/>
    <x v="2"/>
  </r>
  <r>
    <s v="VelocityShares Daily 2x VIX Medium Term ETN (TVIZ) "/>
    <x v="2"/>
  </r>
  <r>
    <s v="VelocityShares Daily 2x VIX Short Term ETN (TVIX) "/>
    <x v="1"/>
  </r>
  <r>
    <s v="VelocityShares VIX Medium Term ETN (VIIZ) "/>
    <x v="0"/>
  </r>
  <r>
    <s v="VelocityShares VIX Short Term ETN (VIIX) "/>
    <x v="2"/>
  </r>
  <r>
    <s v="VelocityShares VIX Tail Risk ETN linked to the S&amp;P 500 VIX Futures Tail Risk Index Short Term due July 18 2046 (BSWN) "/>
    <x v="3"/>
  </r>
  <r>
    <s v="Vericel (VCEL) "/>
    <x v="2"/>
  </r>
  <r>
    <s v="Viking Therapeutics (VKTX) "/>
    <x v="0"/>
  </r>
  <r>
    <s v="Vince Holding (VNCE) "/>
    <x v="0"/>
  </r>
  <r>
    <s v="Wynn Resorts (WYNN) "/>
    <x v="0"/>
  </r>
  <r>
    <s v="Youngevity International (YGYI) "/>
    <x v="0"/>
  </r>
  <r>
    <s v="Yulong Eco-Materials (YECO) "/>
    <x v="2"/>
  </r>
  <r>
    <s v="Zion Oil&amp;Gas (ZN) "/>
    <x v="2"/>
  </r>
  <r>
    <s v="ZIOPHARM Oncology (ZIOP) "/>
    <x v="2"/>
  </r>
  <r>
    <s v="Zymeworks (ZYME) "/>
    <x v="0"/>
  </r>
  <r>
    <s v="Fogo de Chao (FOGO) "/>
    <x v="0"/>
  </r>
  <r>
    <s v="Voyager Therapeutics (VYGR) "/>
    <x v="3"/>
  </r>
  <r>
    <s v="FTE Networks (FTNW) "/>
    <x v="3"/>
  </r>
  <r>
    <s v="DineEquity (DIN) "/>
    <x v="3"/>
  </r>
  <r>
    <s v="Ra Pharmaceuticals (RARX) "/>
    <x v="3"/>
  </r>
  <r>
    <s v="Rayonier Advanced Materials (RYAM) "/>
    <x v="0"/>
  </r>
  <r>
    <s v="SITO Mobile (SITO) "/>
    <x v="2"/>
  </r>
  <r>
    <s v="PGT Innovations (PGTI) "/>
    <x v="0"/>
  </r>
  <r>
    <s v="Endocyte (ECYT) "/>
    <x v="4"/>
  </r>
  <r>
    <s v="Tandem Diabetes Care (TNDM) "/>
    <x v="4"/>
  </r>
  <r>
    <s v="Legacy Reserves (LGCY) "/>
    <x v="5"/>
  </r>
  <r>
    <s v="500.com ADR (WBAI) "/>
    <x v="1"/>
  </r>
  <r>
    <s v="Xtant Medical Holdings (XTNT) "/>
    <x v="2"/>
  </r>
  <r>
    <s v="Noodles Cl A (NDLS) "/>
    <x v="0"/>
  </r>
  <r>
    <s v="Dicerna Pharmaceuticals (DRNA) "/>
    <x v="2"/>
  </r>
  <r>
    <s v="Textainer Group Holdings (TGH) "/>
    <x v="0"/>
  </r>
  <r>
    <s v="Noble Energy (NBL) "/>
    <x v="0"/>
  </r>
  <r>
    <s v="Avenue Therapeutics (ATXI) "/>
    <x v="3"/>
  </r>
  <r>
    <s v="Euro Tech Holdings (CLWT) "/>
    <x v="2"/>
  </r>
  <r>
    <s v="Internet Gold-Golden Lines (IGLD) "/>
    <x v="0"/>
  </r>
  <r>
    <s v="Computer Task Group (CTG) "/>
    <x v="3"/>
  </r>
  <r>
    <s v="scPharmaceuticals (SCPH) "/>
    <x v="0"/>
  </r>
  <r>
    <s v="Everi Holdings (EVRI) "/>
    <x v="2"/>
  </r>
  <r>
    <s v="Build-A-Bear Workshop (BBW) "/>
    <x v="0"/>
  </r>
  <r>
    <s v="Avianca Holdings ADR (AVH) "/>
    <x v="0"/>
  </r>
  <r>
    <s v="Reven Housing REIT (RVEN) "/>
    <x v="2"/>
  </r>
  <r>
    <s v="Milacron Holdings (MCRN) "/>
    <x v="0"/>
  </r>
  <r>
    <s v="VolitionRX (VNRX) "/>
    <x v="3"/>
  </r>
  <r>
    <s v="Impinj (PI) "/>
    <x v="2"/>
  </r>
  <r>
    <s v="RXi Pharmaceuticals (RXII) "/>
    <x v="5"/>
  </r>
  <r>
    <s v="Agenus (AGEN) "/>
    <x v="0"/>
  </r>
  <r>
    <s v="Fibria Celulose ADR (FBR) "/>
    <x v="2"/>
  </r>
  <r>
    <s v="Akoustis Technologies (AKTS) "/>
    <x v="2"/>
  </r>
  <r>
    <s v="Gazit-Globe (GZT) "/>
    <x v="0"/>
  </r>
  <r>
    <s v="GTx (GTXI) "/>
    <x v="1"/>
  </r>
  <r>
    <s v="Sundance Energy Australia ADR (SNDE) "/>
    <x v="0"/>
  </r>
  <r>
    <s v="Bandwidth Cl A (BAND) "/>
    <x v="2"/>
  </r>
  <r>
    <s v="Hingham Institution for Savings (HIFS) "/>
    <x v="0"/>
  </r>
  <r>
    <s v="Biofrontera ADR (BFRA) "/>
    <x v="2"/>
  </r>
  <r>
    <s v="SailPoint Technologies Holdings (SAIL) "/>
    <x v="2"/>
  </r>
  <r>
    <s v="Virtu Financial (VIRT) "/>
    <x v="0"/>
  </r>
  <r>
    <s v="U.S. Global Investors Cl A (GROW) "/>
    <x v="0"/>
  </r>
  <r>
    <s v="Scientific Games (SGMS) "/>
    <x v="0"/>
  </r>
  <r>
    <s v="VelocityShares 3x Long Natural Gas ETN linked to the S&amp;P GSCI Natural Gas Index Excess Return (UGAZ) "/>
    <x v="0"/>
  </r>
  <r>
    <s v="Intelsat (I) "/>
    <x v="3"/>
  </r>
  <r>
    <s v="Golden Ocean Group (GOGL) "/>
    <x v="0"/>
  </r>
  <r>
    <s v="Roku Cl A (ROKU) "/>
    <x v="0"/>
  </r>
  <r>
    <s v="InterNAP (INAP) "/>
    <x v="0"/>
  </r>
  <r>
    <s v="iPic Entertainment (IPIC) "/>
    <x v="1"/>
  </r>
  <r>
    <s v="Centrais Eletricas Brasileiras ADR (EBR) "/>
    <x v="0"/>
  </r>
  <r>
    <s v="Odonate Therapeutics (ODT) "/>
    <x v="2"/>
  </r>
  <r>
    <s v="Standard Motor Products (SMP) "/>
    <x v="0"/>
  </r>
  <r>
    <s v="Ultra Clean Holdings (UCTT) "/>
    <x v="0"/>
  </r>
  <r>
    <s v="Innovate Biopharmaceuticals (INNT) "/>
    <x v="4"/>
  </r>
  <r>
    <s v="NXP Semiconductors (NXPI) "/>
    <x v="0"/>
  </r>
  <r>
    <s v="China Yuchai International (CYD) "/>
    <x v="0"/>
  </r>
  <r>
    <s v="BIO-key International (BKYI) "/>
    <x v="0"/>
  </r>
  <r>
    <s v="Ascendis Pharma ADR (ASND) "/>
    <x v="0"/>
  </r>
  <r>
    <s v="CyberOptics (CYBE) "/>
    <x v="0"/>
  </r>
  <r>
    <s v="PLx Pharma (PLXP) "/>
    <x v="0"/>
  </r>
  <r>
    <s v="CUI Global (CUI) "/>
    <x v="0"/>
  </r>
  <r>
    <s v="VelocityShares VIX Short Volatility Hedged ETN linked to the S&amp;P 500 VIX Futures Short Volatility Hedged Index Short Term due July 18 2046 (XIVH) "/>
    <x v="2"/>
  </r>
  <r>
    <s v="TreeHouse Foods (THS) "/>
    <x v="0"/>
  </r>
  <r>
    <s v="Travelport Worldwide (TVPT) "/>
    <x v="0"/>
  </r>
  <r>
    <s v="Eyenovia (EYEN) "/>
    <x v="0"/>
  </r>
  <r>
    <s v="CAI International (CAI) "/>
    <x v="0"/>
  </r>
  <r>
    <s v="Medical Transcription Billing (MTBC) "/>
    <x v="0"/>
  </r>
  <r>
    <s v="Gentherm (THRM) "/>
    <x v="0"/>
  </r>
  <r>
    <s v="China Finance Online ADR (JRJC) "/>
    <x v="2"/>
  </r>
  <r>
    <s v="Gemphire Therapeutics (GEMP) "/>
    <x v="3"/>
  </r>
  <r>
    <s v="Mosaic (MOS) "/>
    <x v="0"/>
  </r>
  <r>
    <s v="Obalon Therapeutics (OBLN) "/>
    <x v="2"/>
  </r>
  <r>
    <s v="LivePerson (LPSN) "/>
    <x v="2"/>
  </r>
  <r>
    <s v="Restoration Robotics (HAIR) "/>
    <x v="3"/>
  </r>
  <r>
    <s v="Quad/Graphics (QUAD) "/>
    <x v="2"/>
  </r>
  <r>
    <s v="Level Brands (LEVB) "/>
    <x v="0"/>
  </r>
  <r>
    <s v="Nightstar Therapeutics ADR (NITE) "/>
    <x v="0"/>
  </r>
  <r>
    <s v="Fate Therapeutics (FATE) "/>
    <x v="3"/>
  </r>
  <r>
    <s v="Chefs' Warehouse (CHEF) "/>
    <x v="0"/>
  </r>
  <r>
    <s v="OptiNose (OPTN) "/>
    <x v="0"/>
  </r>
  <r>
    <s v="Vishay Precision Group (VPG) "/>
    <x v="2"/>
  </r>
  <r>
    <s v="Novume Solutions (NVMM) "/>
    <x v="2"/>
  </r>
  <r>
    <s v="Conduent (CNDT) "/>
    <x v="0"/>
  </r>
  <r>
    <s v="Mattersight (MATR) "/>
    <x v="0"/>
  </r>
  <r>
    <s v="Rocky Brands (RCKY) "/>
    <x v="2"/>
  </r>
  <r>
    <s v="Hackett Group (HCKT) "/>
    <x v="0"/>
  </r>
  <r>
    <s v="Encore Wire (WIRE) "/>
    <x v="0"/>
  </r>
  <r>
    <s v="Dolphin Entertainment (DLPN) "/>
    <x v="2"/>
  </r>
  <r>
    <s v="Roadrunner Transportation Systems (RRTS) "/>
    <x v="2"/>
  </r>
  <r>
    <s v="La-Z-Boy (LZB) "/>
    <x v="0"/>
  </r>
  <r>
    <s v="NeoGenomics (NEO) "/>
    <x v="2"/>
  </r>
  <r>
    <s v="Clementia Pharmaceuticals (CMTA) "/>
    <x v="3"/>
  </r>
  <r>
    <s v="Allied Healthcare Products (AHPI) "/>
    <x v="4"/>
  </r>
  <r>
    <s v="CPI Card Group (PMTS) "/>
    <x v="3"/>
  </r>
  <r>
    <s v="Phoenix New Media Cl A ADR (FENG) "/>
    <x v="0"/>
  </r>
  <r>
    <s v="ALJ Regional Holdings (ALJJ) "/>
    <x v="0"/>
  </r>
  <r>
    <s v="Chicken Soup for the Soul Entertainment Cl A (CSSE) "/>
    <x v="0"/>
  </r>
  <r>
    <s v="WEX (WEX) "/>
    <x v="0"/>
  </r>
  <r>
    <s v="Navigant Consulting (NCI) "/>
    <x v="0"/>
  </r>
  <r>
    <s v="Protagonist Therapeutics (PTGX) "/>
    <x v="3"/>
  </r>
  <r>
    <s v="Materialise ADR (MTLS) "/>
    <x v="0"/>
  </r>
  <r>
    <s v="Kandi Technologies Group (KNDI) "/>
    <x v="0"/>
  </r>
  <r>
    <s v="Kirkland Lake Gold (KL) "/>
    <x v="0"/>
  </r>
  <r>
    <s v="Advance Auto Parts (AAP) "/>
    <x v="0"/>
  </r>
  <r>
    <s v="Universal Insurance Holdings (UVE) "/>
    <x v="0"/>
  </r>
  <r>
    <s v="Four Seasons Education (Cayman) ADR (FEDU) "/>
    <x v="0"/>
  </r>
  <r>
    <s v="Energy Focus (EFOI) "/>
    <x v="2"/>
  </r>
  <r>
    <s v="Dynatronics (DYNT) "/>
    <x v="2"/>
  </r>
  <r>
    <s v="Ingevity (NGVT) "/>
    <x v="0"/>
  </r>
  <r>
    <s v="HealthStream (HSTM) "/>
    <x v="0"/>
  </r>
  <r>
    <s v="Cytosorbents (CTSO) "/>
    <x v="0"/>
  </r>
  <r>
    <s v="Renmin Tianli Group (ABAC) "/>
    <x v="0"/>
  </r>
  <r>
    <s v="Liberty Tax (TAX) "/>
    <x v="2"/>
  </r>
  <r>
    <s v="Finish Line Cl A (FINL) "/>
    <x v="0"/>
  </r>
  <r>
    <s v="Brinker International (EAT) "/>
    <x v="0"/>
  </r>
  <r>
    <s v="Forward Pharma ADR (FWP) "/>
    <x v="0"/>
  </r>
  <r>
    <s v="RumbleON Cl B (RMBL) "/>
    <x v="2"/>
  </r>
  <r>
    <s v="Proteon Therapeutics (PRTO) "/>
    <x v="2"/>
  </r>
  <r>
    <s v="Akcea Therapeutics (AKCA) "/>
    <x v="2"/>
  </r>
  <r>
    <s v="Pangaea Logistics Solutions (PANL) "/>
    <x v="3"/>
  </r>
  <r>
    <s v="Blueprint Medicines (BPMC) "/>
    <x v="0"/>
  </r>
  <r>
    <s v="Comtech Telecommunications (CMTL) "/>
    <x v="2"/>
  </r>
  <r>
    <s v="Cohen&amp;Co (COHN) "/>
    <x v="0"/>
  </r>
  <r>
    <s v="Ruth's Hospitality Group (RUTH) "/>
    <x v="0"/>
  </r>
  <r>
    <s v="Cogint (COGT) "/>
    <x v="3"/>
  </r>
  <r>
    <s v="Compugen (CGEN) "/>
    <x v="2"/>
  </r>
  <r>
    <s v="LSC Communications (LKSD) "/>
    <x v="2"/>
  </r>
  <r>
    <s v="Hydrogenics (HYGS) "/>
    <x v="0"/>
  </r>
  <r>
    <s v="CVR Partners (UAN) "/>
    <x v="2"/>
  </r>
  <r>
    <s v="Edge Therapeutics (EDGE) "/>
    <x v="0"/>
  </r>
  <r>
    <s v="Educational Development (EDUC) "/>
    <x v="0"/>
  </r>
  <r>
    <s v="ITUS (ITUS) "/>
    <x v="3"/>
  </r>
  <r>
    <s v="Gaia Cl A (GAIA) "/>
    <x v="0"/>
  </r>
  <r>
    <s v="Fortress Biotech (FBIO) "/>
    <x v="3"/>
  </r>
  <r>
    <s v="CRA International (CRAI) "/>
    <x v="0"/>
  </r>
  <r>
    <s v="CynergisTek (CTEK) "/>
    <x v="0"/>
  </r>
  <r>
    <s v="MyoKardia (MYOK) "/>
    <x v="2"/>
  </r>
  <r>
    <s v="VirnetX Holding (VHC) "/>
    <x v="2"/>
  </r>
  <r>
    <s v="Amyris (AMRS) "/>
    <x v="0"/>
  </r>
  <r>
    <s v="Federated National Holding (FNHC) "/>
    <x v="0"/>
  </r>
  <r>
    <s v="Tetraphase Pharmaceuticals (TTPH) "/>
    <x v="1"/>
  </r>
  <r>
    <s v="Vascular Biogenics (VBLT) "/>
    <x v="2"/>
  </r>
  <r>
    <s v="ModusLink Global Solutions (MLNK) "/>
    <x v="0"/>
  </r>
  <r>
    <s v="Aldeyra Therapeutics (ALDX) "/>
    <x v="2"/>
  </r>
  <r>
    <s v="Deswell Industries (DSWL) "/>
    <x v="0"/>
  </r>
  <r>
    <s v="Whiting Petroleum (WLL) "/>
    <x v="0"/>
  </r>
  <r>
    <s v="Chesapeake Energy (CHK) "/>
    <x v="0"/>
  </r>
  <r>
    <s v="Harsco (HSC) "/>
    <x v="0"/>
  </r>
  <r>
    <s v="Denbury Resources (DNR) "/>
    <x v="0"/>
  </r>
  <r>
    <s v="Hertz Global Holdings (HTZ) "/>
    <x v="0"/>
  </r>
  <r>
    <s v="Atlas Air Worldwide Holdings (AAWW) "/>
    <x v="0"/>
  </r>
  <r>
    <s v="Career Education (CECO) "/>
    <x v="0"/>
  </r>
  <r>
    <s v="G1 Therapeutics (GTHX) "/>
    <x v="1"/>
  </r>
  <r>
    <s v="Sangamo Therapeutics (SGMO) "/>
    <x v="0"/>
  </r>
  <r>
    <s v="Alteryx Cl A (AYX) "/>
    <x v="0"/>
  </r>
  <r>
    <s v="Gulfport Energy (GPOR) "/>
    <x v="0"/>
  </r>
  <r>
    <s v="Abeona Therapeutics (ABEO) "/>
    <x v="2"/>
  </r>
  <r>
    <s v="Avis Budget Group (CAR) "/>
    <x v="0"/>
  </r>
  <r>
    <s v="Five9 (FIVN) "/>
    <x v="0"/>
  </r>
  <r>
    <s v="Ikonics (IKNX) "/>
    <x v="2"/>
  </r>
  <r>
    <s v="Zebra Technologies Cl A (ZBRA) "/>
    <x v="0"/>
  </r>
  <r>
    <s v="Chart Industries (GTLS) "/>
    <x v="0"/>
  </r>
  <r>
    <s v="Mesoblast ADR (MESO) "/>
    <x v="3"/>
  </r>
  <r>
    <s v="Lydall (LDL) "/>
    <x v="0"/>
  </r>
  <r>
    <s v="FARO Technologies (FARO) "/>
    <x v="0"/>
  </r>
  <r>
    <s v="VelocityShares VIX Variable Long/Short ETN linked to the S&amp;P 500 VIX Futures Variable Long/Short Index Short Term due July 18 2046 (LSVX) "/>
    <x v="2"/>
  </r>
  <r>
    <s v="Mellanox Technologies (MLNX) "/>
    <x v="0"/>
  </r>
  <r>
    <s v="Gibraltar Industries (ROCK) "/>
    <x v="0"/>
  </r>
  <r>
    <s v="Sienna Biopharmaceuticals (SNNA) "/>
    <x v="2"/>
  </r>
  <r>
    <s v="Stamps.com (STMP) "/>
    <x v="0"/>
  </r>
  <r>
    <s v="Teekay Offshore Partners (TOO) "/>
    <x v="0"/>
  </r>
  <r>
    <s v="Atrion (ATRI) "/>
    <x v="2"/>
  </r>
  <r>
    <s v="Workhorse Group (WKHS) "/>
    <x v="0"/>
  </r>
  <r>
    <s v="Scana (SCG) "/>
    <x v="0"/>
  </r>
  <r>
    <s v="Verona Pharma ADR (VRNA) "/>
    <x v="2"/>
  </r>
  <r>
    <s v="Green Dot Cl A (GDOT) "/>
    <x v="0"/>
  </r>
  <r>
    <s v="Comstock Resources (CRK) "/>
    <x v="0"/>
  </r>
  <r>
    <s v="ManTech International Cl A (MANT) "/>
    <x v="0"/>
  </r>
  <r>
    <s v="Mersana Therapeutics (MRSN) "/>
    <x v="0"/>
  </r>
  <r>
    <s v="Clovis Oncology (CLVS) "/>
    <x v="2"/>
  </r>
  <r>
    <s v="FTI Consulting (FCN) "/>
    <x v="0"/>
  </r>
  <r>
    <s v="Grand Canyon Education (LOPE) "/>
    <x v="0"/>
  </r>
  <r>
    <s v="Lexicon Pharmaceuticals (LXRX) "/>
    <x v="0"/>
  </r>
  <r>
    <s v="Parsley Energy Cl A (PE) "/>
    <x v="0"/>
  </r>
  <r>
    <s v="Interlink Electronics (LINK) "/>
    <x v="2"/>
  </r>
  <r>
    <s v="Civeo (CVEO) "/>
    <x v="2"/>
  </r>
  <r>
    <s v="Acadia Healthcare (ACHC) "/>
    <x v="0"/>
  </r>
  <r>
    <s v="Stepan (SCL) "/>
    <x v="0"/>
  </r>
  <r>
    <s v="ATN International (ATNI) "/>
    <x v="0"/>
  </r>
  <r>
    <s v="MannKind (MNKD) "/>
    <x v="2"/>
  </r>
  <r>
    <s v="Repligen (RGEN) "/>
    <x v="0"/>
  </r>
  <r>
    <s v="Bloomin' Brands (BLMN) "/>
    <x v="0"/>
  </r>
  <r>
    <s v="Encore Capital Group (ECPG) "/>
    <x v="0"/>
  </r>
  <r>
    <s v="Oasis Petroleum (OAS) "/>
    <x v="0"/>
  </r>
  <r>
    <s v="Biohaven Pharmaceutical Holding (BHVN) "/>
    <x v="2"/>
  </r>
  <r>
    <s v="Asterias Biotherapeutics (AST) "/>
    <x v="0"/>
  </r>
  <r>
    <s v="AAC Holdings (AAC) "/>
    <x v="3"/>
  </r>
  <r>
    <s v="GEE Group (JOB) "/>
    <x v="0"/>
  </r>
  <r>
    <s v="ONE Group Hospitality (STKS) "/>
    <x v="0"/>
  </r>
  <r>
    <s v="Zoe's Kitchen (ZOES) "/>
    <x v="2"/>
  </r>
  <r>
    <s v="Unit (UNT) "/>
    <x v="2"/>
  </r>
  <r>
    <s v="Mindbody (MB) "/>
    <x v="0"/>
  </r>
  <r>
    <s v="W&amp;T Offshore (WTI) "/>
    <x v="0"/>
  </r>
  <r>
    <s v="Ceragon Networks (CRNT) "/>
    <x v="0"/>
  </r>
  <r>
    <s v="SJW Group (SJW) "/>
    <x v="0"/>
  </r>
  <r>
    <s v="Stemline Therapeutics (STML) "/>
    <x v="0"/>
  </r>
  <r>
    <s v="Rowan Cos. (RDC) "/>
    <x v="0"/>
  </r>
  <r>
    <s v="Employers Holdings (EIG) "/>
    <x v="0"/>
  </r>
  <r>
    <s v="WSI Industries (WSCI) "/>
    <x v="0"/>
  </r>
  <r>
    <s v="Noble (NE) "/>
    <x v="0"/>
  </r>
  <r>
    <s v="Hanwha Q CELLS ADR (HQCL) "/>
    <x v="0"/>
  </r>
  <r>
    <s v="Interface (TILE) "/>
    <x v="0"/>
  </r>
  <r>
    <s v="Fresh Del Monte Produce (FDP) "/>
    <x v="0"/>
  </r>
  <r>
    <s v="Direxion Daily S&amp;P Oil&amp;Gas Exp.&amp;Prod. Bull 3X Shares (GUSH) "/>
    <x v="2"/>
  </r>
  <r>
    <s v="ENSCO (ESV) "/>
    <x v="0"/>
  </r>
  <r>
    <s v="Sanchez Energy (SN) "/>
    <x v="0"/>
  </r>
  <r>
    <s v="WPX Energy (WPX) "/>
    <x v="0"/>
  </r>
  <r>
    <s v="Direxion Daily Russia Bull 3x Shares (RUSL) "/>
    <x v="2"/>
  </r>
  <r>
    <s v="ChemoCentryx (CCXI) "/>
    <x v="3"/>
  </r>
  <r>
    <s v="China Eastern Airlines ADR (CEA) "/>
    <x v="0"/>
  </r>
  <r>
    <s v="Essendant (ESND) "/>
    <x v="0"/>
  </r>
  <r>
    <s v="Vicor (VICR) "/>
    <x v="0"/>
  </r>
  <r>
    <s v="Financial Engines (FNGN) "/>
    <x v="0"/>
  </r>
  <r>
    <s v="Trade Desk Cl A (TTD) "/>
    <x v="0"/>
  </r>
  <r>
    <s v="Universal Electronics (UEIC) "/>
    <x v="0"/>
  </r>
  <r>
    <s v="Aspen Group (ASPU) "/>
    <x v="0"/>
  </r>
  <r>
    <s v="Bonso Electronics International (BNSO) "/>
    <x v="0"/>
  </r>
  <r>
    <s v="Titan International (TWI) "/>
    <x v="0"/>
  </r>
  <r>
    <s v="Blue Buffalo Pet Products (BUFF) "/>
    <x v="0"/>
  </r>
  <r>
    <s v="Momo ADR (MOMO) "/>
    <x v="2"/>
  </r>
  <r>
    <s v="Integer Holdings (ITGR) "/>
    <x v="0"/>
  </r>
  <r>
    <s v="Mammoth Energy Services (TUSK) "/>
    <x v="2"/>
  </r>
  <r>
    <s v="Frontier Communications (FTR) "/>
    <x v="2"/>
  </r>
  <r>
    <s v="BJ's Restaurants (BJRI) "/>
    <x v="0"/>
  </r>
  <r>
    <s v="Vital Therapies (VTL) "/>
    <x v="2"/>
  </r>
  <r>
    <s v="New Senior Investment Group (SNR) "/>
    <x v="0"/>
  </r>
  <r>
    <s v="Planet Fitness Cl A (PLNT) "/>
    <x v="0"/>
  </r>
  <r>
    <s v="U.S. Cellular (USM) "/>
    <x v="0"/>
  </r>
  <r>
    <s v="Omeros (OMER) "/>
    <x v="3"/>
  </r>
  <r>
    <s v="GoDaddy Cl A (GDDY) "/>
    <x v="0"/>
  </r>
  <r>
    <s v="Telephone&amp;Data Systems (TDS) "/>
    <x v="0"/>
  </r>
  <r>
    <s v="Hewlett Packard Enterprise (HPE) "/>
    <x v="0"/>
  </r>
  <r>
    <s v="AdvanSix (ASIX) "/>
    <x v="0"/>
  </r>
  <r>
    <s v="GSV Capital (GSVC) "/>
    <x v="2"/>
  </r>
  <r>
    <s v="Spectrum Pharmaceuticals (SPPI) "/>
    <x v="0"/>
  </r>
  <r>
    <s v="Senseonics Holdings (SENS) "/>
    <x v="2"/>
  </r>
  <r>
    <s v="IDT Cl B (IDT) "/>
    <x v="0"/>
  </r>
  <r>
    <s v="Syneos Health Cl A (SYNH) "/>
    <x v="2"/>
  </r>
  <r>
    <s v="Telaria (TLRA) "/>
    <x v="0"/>
  </r>
  <r>
    <s v="Corvus Pharmaceuticals (CRVS) "/>
    <x v="2"/>
  </r>
  <r>
    <s v="Rush Enterprises Cl B (RUSHB) "/>
    <x v="0"/>
  </r>
  <r>
    <s v="GNC Holdings Cl A (GNC) "/>
    <x v="2"/>
  </r>
  <r>
    <s v="Tivity Health (TVTY) "/>
    <x v="0"/>
  </r>
  <r>
    <s v="Smart Sand (SND) "/>
    <x v="0"/>
  </r>
  <r>
    <s v="Potbelly (PBPB) "/>
    <x v="0"/>
  </r>
  <r>
    <s v="P&amp;F Industries Cl A (PFIN) "/>
    <x v="0"/>
  </r>
  <r>
    <s v="RE/MAX Holdings Cl A (RMAX) "/>
    <x v="0"/>
  </r>
  <r>
    <s v="Shutterstock (SSTK) "/>
    <x v="0"/>
  </r>
  <r>
    <s v="SG Blocks (SGBX) "/>
    <x v="0"/>
  </r>
  <r>
    <s v="Independence Contract Drilling (ICD) "/>
    <x v="2"/>
  </r>
  <r>
    <s v="Direxion Daily Natural Gas Related Bull 3x Shares (GASL) "/>
    <x v="0"/>
  </r>
  <r>
    <s v="Direxion Daily Utilities Bull 3X Shares (UTSL) "/>
    <x v="0"/>
  </r>
  <r>
    <s v="Tredegar (TG) "/>
    <x v="2"/>
  </r>
  <r>
    <s v="ProShares Short VIX Short-Term Futures ETF (SVXY) "/>
    <x v="0"/>
  </r>
  <r>
    <s v="InterDigital (IDCC) "/>
    <x v="0"/>
  </r>
  <r>
    <s v="Clearfield (CLFD) "/>
    <x v="0"/>
  </r>
  <r>
    <s v="Washington Prime Group (WPG) "/>
    <x v="0"/>
  </r>
  <r>
    <s v="Approach Resources (AREX) "/>
    <x v="0"/>
  </r>
  <r>
    <s v="Rudolph Technologies (RTEC) "/>
    <x v="0"/>
  </r>
  <r>
    <s v="AV Homes (AVHI) 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200">
  <r>
    <x v="0"/>
    <n v="28.03"/>
    <n v="12.24"/>
    <x v="0"/>
    <n v="4977855"/>
    <x v="0"/>
  </r>
  <r>
    <x v="1"/>
    <n v="13.5"/>
    <n v="3.21"/>
    <x v="1"/>
    <n v="6800044"/>
    <x v="0"/>
  </r>
  <r>
    <x v="2"/>
    <n v="6.6"/>
    <n v="1.56"/>
    <x v="2"/>
    <n v="95813"/>
    <x v="0"/>
  </r>
  <r>
    <x v="3"/>
    <n v="10.01"/>
    <n v="2.16"/>
    <x v="3"/>
    <n v="79944538"/>
    <x v="0"/>
  </r>
  <r>
    <x v="4"/>
    <n v="16.5"/>
    <n v="3.5"/>
    <x v="4"/>
    <n v="138445"/>
    <x v="0"/>
  </r>
  <r>
    <x v="5"/>
    <n v="18.82"/>
    <n v="3.92"/>
    <x v="5"/>
    <n v="667117"/>
    <x v="0"/>
  </r>
  <r>
    <x v="6"/>
    <n v="4.1500000000000004"/>
    <n v="0.8"/>
    <x v="6"/>
    <n v="1110470"/>
    <x v="0"/>
  </r>
  <r>
    <x v="7"/>
    <n v="24.9"/>
    <n v="4.7"/>
    <x v="7"/>
    <n v="417884"/>
    <x v="0"/>
  </r>
  <r>
    <x v="8"/>
    <n v="12.8"/>
    <n v="2.4"/>
    <x v="8"/>
    <n v="3525412"/>
    <x v="0"/>
  </r>
  <r>
    <x v="9"/>
    <n v="4.63"/>
    <n v="0.84"/>
    <x v="9"/>
    <n v="843507"/>
    <x v="0"/>
  </r>
  <r>
    <x v="10"/>
    <n v="3.32"/>
    <n v="0.6"/>
    <x v="10"/>
    <n v="25553"/>
    <x v="0"/>
  </r>
  <r>
    <x v="11"/>
    <n v="10.9"/>
    <n v="1.6"/>
    <x v="11"/>
    <n v="238608"/>
    <x v="0"/>
  </r>
  <r>
    <x v="12"/>
    <n v="15.26"/>
    <n v="2.11"/>
    <x v="12"/>
    <n v="200328"/>
    <x v="0"/>
  </r>
  <r>
    <x v="13"/>
    <n v="5.08"/>
    <n v="0.68"/>
    <x v="13"/>
    <n v="33641"/>
    <x v="0"/>
  </r>
  <r>
    <x v="14"/>
    <n v="12.8"/>
    <n v="1.7"/>
    <x v="14"/>
    <n v="1500107"/>
    <x v="0"/>
  </r>
  <r>
    <x v="15"/>
    <n v="10.53"/>
    <n v="1.39"/>
    <x v="15"/>
    <n v="1078239"/>
    <x v="0"/>
  </r>
  <r>
    <x v="16"/>
    <n v="4.75"/>
    <n v="0.6"/>
    <x v="16"/>
    <n v="4388"/>
    <x v="0"/>
  </r>
  <r>
    <x v="17"/>
    <n v="5.26"/>
    <n v="0.64"/>
    <x v="17"/>
    <n v="327017"/>
    <x v="0"/>
  </r>
  <r>
    <x v="18"/>
    <n v="5.74"/>
    <n v="0.68"/>
    <x v="18"/>
    <n v="378739"/>
    <x v="0"/>
  </r>
  <r>
    <x v="19"/>
    <n v="3.82"/>
    <n v="0.45"/>
    <x v="19"/>
    <n v="3967648"/>
    <x v="0"/>
  </r>
  <r>
    <x v="20"/>
    <n v="2.38"/>
    <n v="0.28000000000000003"/>
    <x v="20"/>
    <n v="2190444"/>
    <x v="0"/>
  </r>
  <r>
    <x v="21"/>
    <n v="39.4"/>
    <n v="4.63"/>
    <x v="21"/>
    <n v="517430"/>
    <x v="0"/>
  </r>
  <r>
    <x v="22"/>
    <n v="2.77"/>
    <n v="0.32"/>
    <x v="22"/>
    <n v="2108477"/>
    <x v="0"/>
  </r>
  <r>
    <x v="23"/>
    <n v="3.95"/>
    <n v="0.45"/>
    <x v="23"/>
    <n v="9926"/>
    <x v="0"/>
  </r>
  <r>
    <x v="24"/>
    <n v="3.01"/>
    <n v="0.31"/>
    <x v="24"/>
    <n v="257330"/>
    <x v="0"/>
  </r>
  <r>
    <x v="25"/>
    <n v="3.23"/>
    <n v="0.33"/>
    <x v="25"/>
    <n v="2261157"/>
    <x v="0"/>
  </r>
  <r>
    <x v="26"/>
    <n v="6"/>
    <n v="0.61"/>
    <x v="26"/>
    <n v="250643"/>
    <x v="0"/>
  </r>
  <r>
    <x v="27"/>
    <n v="29.88"/>
    <n v="2.98"/>
    <x v="27"/>
    <n v="2309004"/>
    <x v="0"/>
  </r>
  <r>
    <x v="28"/>
    <n v="2.6"/>
    <n v="0.25"/>
    <x v="28"/>
    <n v="527079"/>
    <x v="0"/>
  </r>
  <r>
    <x v="29"/>
    <n v="83.2"/>
    <n v="7.94"/>
    <x v="29"/>
    <n v="38846"/>
    <x v="0"/>
  </r>
  <r>
    <x v="30"/>
    <n v="10.42"/>
    <n v="0.99"/>
    <x v="30"/>
    <n v="2921561"/>
    <x v="0"/>
  </r>
  <r>
    <x v="31"/>
    <n v="36.36"/>
    <n v="3.44"/>
    <x v="31"/>
    <n v="272110"/>
    <x v="0"/>
  </r>
  <r>
    <x v="32"/>
    <n v="3.1"/>
    <n v="0.28999999999999998"/>
    <x v="32"/>
    <n v="456058"/>
    <x v="0"/>
  </r>
  <r>
    <x v="33"/>
    <n v="5.04"/>
    <n v="0.46"/>
    <x v="33"/>
    <n v="567836"/>
    <x v="0"/>
  </r>
  <r>
    <x v="34"/>
    <n v="63.84"/>
    <n v="5.7"/>
    <x v="34"/>
    <n v="421123"/>
    <x v="0"/>
  </r>
  <r>
    <x v="35"/>
    <n v="4.63"/>
    <n v="0.41"/>
    <x v="35"/>
    <n v="6201124"/>
    <x v="0"/>
  </r>
  <r>
    <x v="36"/>
    <n v="4.9000000000000004"/>
    <n v="0.43"/>
    <x v="36"/>
    <n v="53450"/>
    <x v="0"/>
  </r>
  <r>
    <x v="37"/>
    <n v="2.85"/>
    <n v="0.25"/>
    <x v="36"/>
    <n v="16031"/>
    <x v="0"/>
  </r>
  <r>
    <x v="38"/>
    <n v="4.05"/>
    <n v="0.35"/>
    <x v="37"/>
    <n v="638707"/>
    <x v="0"/>
  </r>
  <r>
    <x v="39"/>
    <n v="7.16"/>
    <n v="0.61"/>
    <x v="38"/>
    <n v="891624"/>
    <x v="0"/>
  </r>
  <r>
    <x v="40"/>
    <n v="17.079999999999998"/>
    <n v="1.41"/>
    <x v="39"/>
    <n v="436326"/>
    <x v="0"/>
  </r>
  <r>
    <x v="41"/>
    <n v="15.4"/>
    <n v="1.27"/>
    <x v="40"/>
    <n v="17476"/>
    <x v="0"/>
  </r>
  <r>
    <x v="42"/>
    <n v="8.6"/>
    <n v="0.7"/>
    <x v="41"/>
    <n v="93141"/>
    <x v="0"/>
  </r>
  <r>
    <x v="43"/>
    <n v="3.71"/>
    <n v="0.3"/>
    <x v="42"/>
    <n v="562164"/>
    <x v="0"/>
  </r>
  <r>
    <x v="44"/>
    <n v="59.37"/>
    <n v="4.78"/>
    <x v="43"/>
    <n v="136444540"/>
    <x v="0"/>
  </r>
  <r>
    <x v="45"/>
    <n v="22.96"/>
    <n v="1.84"/>
    <x v="44"/>
    <n v="146340"/>
    <x v="0"/>
  </r>
  <r>
    <x v="46"/>
    <n v="20.05"/>
    <n v="1.6"/>
    <x v="45"/>
    <n v="39522"/>
    <x v="0"/>
  </r>
  <r>
    <x v="47"/>
    <n v="6.84"/>
    <n v="0.55000000000000004"/>
    <x v="46"/>
    <n v="7119"/>
    <x v="0"/>
  </r>
  <r>
    <x v="48"/>
    <n v="2.6"/>
    <n v="0.2"/>
    <x v="47"/>
    <n v="465575"/>
    <x v="0"/>
  </r>
  <r>
    <x v="49"/>
    <n v="8.26"/>
    <n v="0.63"/>
    <x v="48"/>
    <n v="605043"/>
    <x v="0"/>
  </r>
  <r>
    <x v="50"/>
    <n v="30.3"/>
    <n v="2.2999999999999998"/>
    <x v="49"/>
    <n v="31613"/>
    <x v="0"/>
  </r>
  <r>
    <x v="51"/>
    <n v="27.01"/>
    <n v="2.0499999999999998"/>
    <x v="49"/>
    <n v="363384"/>
    <x v="0"/>
  </r>
  <r>
    <x v="52"/>
    <n v="8.15"/>
    <n v="0.62"/>
    <x v="50"/>
    <n v="558535"/>
    <x v="0"/>
  </r>
  <r>
    <x v="53"/>
    <n v="3.35"/>
    <n v="0.25"/>
    <x v="51"/>
    <n v="49703"/>
    <x v="0"/>
  </r>
  <r>
    <x v="54"/>
    <n v="30.46"/>
    <n v="2.25"/>
    <x v="52"/>
    <n v="50227"/>
    <x v="0"/>
  </r>
  <r>
    <x v="55"/>
    <n v="6.37"/>
    <n v="0.47"/>
    <x v="53"/>
    <n v="547228"/>
    <x v="0"/>
  </r>
  <r>
    <x v="56"/>
    <n v="4.22"/>
    <n v="0.31"/>
    <x v="54"/>
    <n v="115919"/>
    <x v="0"/>
  </r>
  <r>
    <x v="57"/>
    <n v="26.19"/>
    <n v="1.91"/>
    <x v="55"/>
    <n v="31917"/>
    <x v="0"/>
  </r>
  <r>
    <x v="58"/>
    <n v="30.95"/>
    <n v="2.25"/>
    <x v="56"/>
    <n v="3287862"/>
    <x v="0"/>
  </r>
  <r>
    <x v="59"/>
    <n v="4.0199999999999996"/>
    <n v="0.28999999999999998"/>
    <x v="57"/>
    <n v="54899"/>
    <x v="0"/>
  </r>
  <r>
    <x v="60"/>
    <n v="2.8"/>
    <n v="0.2"/>
    <x v="58"/>
    <n v="38841"/>
    <x v="0"/>
  </r>
  <r>
    <x v="61"/>
    <n v="8.83"/>
    <n v="0.63"/>
    <x v="59"/>
    <n v="7600220"/>
    <x v="0"/>
  </r>
  <r>
    <x v="62"/>
    <n v="23.84"/>
    <n v="1.69"/>
    <x v="60"/>
    <n v="454502"/>
    <x v="0"/>
  </r>
  <r>
    <x v="63"/>
    <n v="7.71"/>
    <n v="0.54"/>
    <x v="61"/>
    <n v="4046101"/>
    <x v="0"/>
  </r>
  <r>
    <x v="64"/>
    <n v="11.47"/>
    <n v="0.8"/>
    <x v="62"/>
    <n v="2500241"/>
    <x v="0"/>
  </r>
  <r>
    <x v="65"/>
    <n v="3.6"/>
    <n v="0.25"/>
    <x v="63"/>
    <n v="35461"/>
    <x v="0"/>
  </r>
  <r>
    <x v="66"/>
    <n v="15.1"/>
    <n v="1.04"/>
    <x v="64"/>
    <n v="321144"/>
    <x v="0"/>
  </r>
  <r>
    <x v="67"/>
    <n v="20.75"/>
    <n v="1.42"/>
    <x v="65"/>
    <n v="713953"/>
    <x v="0"/>
  </r>
  <r>
    <x v="68"/>
    <n v="6.6"/>
    <n v="0.45"/>
    <x v="66"/>
    <n v="806606"/>
    <x v="0"/>
  </r>
  <r>
    <x v="69"/>
    <n v="3.24"/>
    <n v="0.22"/>
    <x v="67"/>
    <n v="112880"/>
    <x v="0"/>
  </r>
  <r>
    <x v="70"/>
    <n v="43.64"/>
    <n v="2.96"/>
    <x v="67"/>
    <n v="1004727"/>
    <x v="0"/>
  </r>
  <r>
    <x v="71"/>
    <n v="2.82"/>
    <n v="0.19"/>
    <x v="68"/>
    <n v="653755"/>
    <x v="0"/>
  </r>
  <r>
    <x v="72"/>
    <n v="36.4"/>
    <n v="2.4500000000000002"/>
    <x v="68"/>
    <n v="50569"/>
    <x v="0"/>
  </r>
  <r>
    <x v="73"/>
    <n v="12"/>
    <n v="0.8"/>
    <x v="69"/>
    <n v="25410"/>
    <x v="0"/>
  </r>
  <r>
    <x v="74"/>
    <n v="8.43"/>
    <n v="0.56000000000000005"/>
    <x v="70"/>
    <n v="1029511"/>
    <x v="0"/>
  </r>
  <r>
    <x v="75"/>
    <n v="5.52"/>
    <n v="0.36"/>
    <x v="71"/>
    <n v="1493537"/>
    <x v="0"/>
  </r>
  <r>
    <x v="76"/>
    <n v="17.649999999999999"/>
    <n v="1.1499999999999999"/>
    <x v="72"/>
    <n v="169858"/>
    <x v="0"/>
  </r>
  <r>
    <x v="77"/>
    <n v="9.2200000000000006"/>
    <n v="0.6"/>
    <x v="73"/>
    <n v="2394673"/>
    <x v="0"/>
  </r>
  <r>
    <x v="78"/>
    <n v="8.5"/>
    <n v="0.55000000000000004"/>
    <x v="74"/>
    <n v="191950"/>
    <x v="0"/>
  </r>
  <r>
    <x v="79"/>
    <n v="24.12"/>
    <n v="1.55"/>
    <x v="75"/>
    <n v="1287867"/>
    <x v="0"/>
  </r>
  <r>
    <x v="80"/>
    <n v="36.85"/>
    <n v="2.35"/>
    <x v="76"/>
    <n v="659315"/>
    <x v="0"/>
  </r>
  <r>
    <x v="81"/>
    <n v="142.04"/>
    <n v="9.02"/>
    <x v="77"/>
    <n v="1304043"/>
    <x v="0"/>
  </r>
  <r>
    <x v="82"/>
    <n v="5.21"/>
    <n v="0.33"/>
    <x v="78"/>
    <n v="72995"/>
    <x v="0"/>
  </r>
  <r>
    <x v="83"/>
    <n v="15.79"/>
    <n v="1"/>
    <x v="78"/>
    <n v="411549"/>
    <x v="0"/>
  </r>
  <r>
    <x v="84"/>
    <n v="10.59"/>
    <n v="0.67"/>
    <x v="79"/>
    <n v="3965"/>
    <x v="0"/>
  </r>
  <r>
    <x v="85"/>
    <n v="6.85"/>
    <n v="0.43"/>
    <x v="80"/>
    <n v="190661"/>
    <x v="0"/>
  </r>
  <r>
    <x v="86"/>
    <n v="10.06"/>
    <n v="0.63"/>
    <x v="81"/>
    <n v="79845"/>
    <x v="0"/>
  </r>
  <r>
    <x v="87"/>
    <n v="10.6"/>
    <n v="0.66"/>
    <x v="82"/>
    <n v="297693"/>
    <x v="0"/>
  </r>
  <r>
    <x v="88"/>
    <n v="12.23"/>
    <n v="0.76"/>
    <x v="83"/>
    <n v="4513"/>
    <x v="0"/>
  </r>
  <r>
    <x v="89"/>
    <n v="64.09"/>
    <n v="3.96"/>
    <x v="84"/>
    <n v="1556897"/>
    <x v="0"/>
  </r>
  <r>
    <x v="90"/>
    <n v="4.0999999999999996"/>
    <n v="0.25"/>
    <x v="85"/>
    <n v="131565"/>
    <x v="0"/>
  </r>
  <r>
    <x v="91"/>
    <n v="27.3"/>
    <n v="1.65"/>
    <x v="86"/>
    <n v="119954"/>
    <x v="0"/>
  </r>
  <r>
    <x v="92"/>
    <n v="25.65"/>
    <n v="1.55"/>
    <x v="86"/>
    <n v="249304"/>
    <x v="0"/>
  </r>
  <r>
    <x v="93"/>
    <n v="79.099999999999994"/>
    <n v="4.74"/>
    <x v="87"/>
    <n v="2773737"/>
    <x v="0"/>
  </r>
  <r>
    <x v="94"/>
    <n v="6.85"/>
    <n v="0.41"/>
    <x v="87"/>
    <n v="239344"/>
    <x v="0"/>
  </r>
  <r>
    <x v="95"/>
    <n v="80.05"/>
    <n v="4.79"/>
    <x v="88"/>
    <n v="1622768"/>
    <x v="0"/>
  </r>
  <r>
    <x v="96"/>
    <n v="19.11"/>
    <n v="1.1399999999999999"/>
    <x v="89"/>
    <n v="40275"/>
    <x v="0"/>
  </r>
  <r>
    <x v="97"/>
    <n v="19.850000000000001"/>
    <n v="1.18"/>
    <x v="90"/>
    <n v="82112"/>
    <x v="0"/>
  </r>
  <r>
    <x v="98"/>
    <n v="5.39"/>
    <n v="0.32"/>
    <x v="91"/>
    <n v="61113"/>
    <x v="0"/>
  </r>
  <r>
    <x v="99"/>
    <n v="2.19"/>
    <n v="0.13"/>
    <x v="91"/>
    <n v="492010"/>
    <x v="0"/>
  </r>
  <r>
    <x v="100"/>
    <n v="6.38"/>
    <n v="2.2400000000000002"/>
    <x v="92"/>
    <n v="34915278"/>
    <x v="1"/>
  </r>
  <r>
    <x v="101"/>
    <n v="22.75"/>
    <n v="4.5199999999999996"/>
    <x v="93"/>
    <n v="68261"/>
    <x v="1"/>
  </r>
  <r>
    <x v="102"/>
    <n v="14"/>
    <n v="2.65"/>
    <x v="94"/>
    <n v="46025"/>
    <x v="1"/>
  </r>
  <r>
    <x v="61"/>
    <n v="10.82"/>
    <n v="1.99"/>
    <x v="95"/>
    <n v="12217629"/>
    <x v="1"/>
  </r>
  <r>
    <x v="0"/>
    <n v="34.06"/>
    <n v="6.03"/>
    <x v="96"/>
    <n v="4245295"/>
    <x v="1"/>
  </r>
  <r>
    <x v="103"/>
    <n v="2.81"/>
    <n v="0.49"/>
    <x v="97"/>
    <n v="551232"/>
    <x v="1"/>
  </r>
  <r>
    <x v="104"/>
    <n v="11.18"/>
    <n v="1.93"/>
    <x v="98"/>
    <n v="263012"/>
    <x v="1"/>
  </r>
  <r>
    <x v="105"/>
    <n v="7.03"/>
    <n v="1.03"/>
    <x v="99"/>
    <n v="702967"/>
    <x v="1"/>
  </r>
  <r>
    <x v="106"/>
    <n v="4"/>
    <n v="0.56000000000000005"/>
    <x v="100"/>
    <n v="62406"/>
    <x v="1"/>
  </r>
  <r>
    <x v="107"/>
    <n v="7.6"/>
    <n v="0.96"/>
    <x v="16"/>
    <n v="80345"/>
    <x v="1"/>
  </r>
  <r>
    <x v="56"/>
    <n v="4.83"/>
    <n v="0.61"/>
    <x v="101"/>
    <n v="43362"/>
    <x v="1"/>
  </r>
  <r>
    <x v="108"/>
    <n v="23.15"/>
    <n v="2.9"/>
    <x v="102"/>
    <n v="426319"/>
    <x v="1"/>
  </r>
  <r>
    <x v="109"/>
    <n v="19.23"/>
    <n v="2.31"/>
    <x v="103"/>
    <n v="114438"/>
    <x v="1"/>
  </r>
  <r>
    <x v="110"/>
    <n v="6.94"/>
    <n v="0.83"/>
    <x v="104"/>
    <n v="110022"/>
    <x v="1"/>
  </r>
  <r>
    <x v="111"/>
    <n v="12.42"/>
    <n v="1.34"/>
    <x v="105"/>
    <n v="1003140"/>
    <x v="1"/>
  </r>
  <r>
    <x v="112"/>
    <n v="3.7"/>
    <n v="0.38"/>
    <x v="106"/>
    <n v="217059"/>
    <x v="1"/>
  </r>
  <r>
    <x v="113"/>
    <n v="2.56"/>
    <n v="0.25"/>
    <x v="107"/>
    <n v="28865"/>
    <x v="1"/>
  </r>
  <r>
    <x v="114"/>
    <n v="21.7"/>
    <n v="2.1"/>
    <x v="108"/>
    <n v="7919882"/>
    <x v="1"/>
  </r>
  <r>
    <x v="115"/>
    <n v="12.15"/>
    <n v="1.1599999999999999"/>
    <x v="109"/>
    <n v="141561"/>
    <x v="1"/>
  </r>
  <r>
    <x v="78"/>
    <n v="9.35"/>
    <n v="0.85"/>
    <x v="110"/>
    <n v="102954"/>
    <x v="1"/>
  </r>
  <r>
    <x v="116"/>
    <n v="11.41"/>
    <n v="1.03"/>
    <x v="111"/>
    <n v="160347"/>
    <x v="1"/>
  </r>
  <r>
    <x v="117"/>
    <n v="2.19"/>
    <n v="0.19"/>
    <x v="112"/>
    <n v="255066"/>
    <x v="1"/>
  </r>
  <r>
    <x v="118"/>
    <n v="38.729999999999997"/>
    <n v="3.18"/>
    <x v="40"/>
    <n v="394203"/>
    <x v="1"/>
  </r>
  <r>
    <x v="119"/>
    <n v="3.85"/>
    <n v="0.31"/>
    <x v="43"/>
    <n v="885025"/>
    <x v="1"/>
  </r>
  <r>
    <x v="120"/>
    <n v="10.63"/>
    <n v="0.85"/>
    <x v="113"/>
    <n v="316340"/>
    <x v="1"/>
  </r>
  <r>
    <x v="121"/>
    <n v="16.7"/>
    <n v="1.31"/>
    <x v="114"/>
    <n v="2462983"/>
    <x v="1"/>
  </r>
  <r>
    <x v="122"/>
    <n v="6.45"/>
    <n v="0.5"/>
    <x v="115"/>
    <n v="234908"/>
    <x v="1"/>
  </r>
  <r>
    <x v="21"/>
    <n v="42.7"/>
    <n v="3.3"/>
    <x v="116"/>
    <n v="644994"/>
    <x v="1"/>
  </r>
  <r>
    <x v="35"/>
    <n v="5.01"/>
    <n v="0.38"/>
    <x v="49"/>
    <n v="7420337"/>
    <x v="1"/>
  </r>
  <r>
    <x v="123"/>
    <n v="2.75"/>
    <n v="0.2"/>
    <x v="56"/>
    <n v="101246"/>
    <x v="1"/>
  </r>
  <r>
    <x v="124"/>
    <n v="4.3499999999999996"/>
    <n v="0.31"/>
    <x v="117"/>
    <n v="110747"/>
    <x v="1"/>
  </r>
  <r>
    <x v="125"/>
    <n v="12.66"/>
    <n v="0.89"/>
    <x v="118"/>
    <n v="24993"/>
    <x v="1"/>
  </r>
  <r>
    <x v="126"/>
    <n v="17.87"/>
    <n v="1.25"/>
    <x v="119"/>
    <n v="11918"/>
    <x v="1"/>
  </r>
  <r>
    <x v="98"/>
    <n v="5.79"/>
    <n v="0.4"/>
    <x v="120"/>
    <n v="82930"/>
    <x v="1"/>
  </r>
  <r>
    <x v="127"/>
    <n v="2.36"/>
    <n v="0.16"/>
    <x v="121"/>
    <n v="20750"/>
    <x v="1"/>
  </r>
  <r>
    <x v="128"/>
    <n v="8.15"/>
    <n v="0.55000000000000004"/>
    <x v="122"/>
    <n v="156258"/>
    <x v="1"/>
  </r>
  <r>
    <x v="129"/>
    <n v="2.84"/>
    <n v="0.19"/>
    <x v="123"/>
    <n v="910833"/>
    <x v="1"/>
  </r>
  <r>
    <x v="130"/>
    <n v="3.5"/>
    <n v="0.23"/>
    <x v="124"/>
    <n v="28342"/>
    <x v="1"/>
  </r>
  <r>
    <x v="131"/>
    <n v="2.35"/>
    <n v="0.15"/>
    <x v="125"/>
    <n v="5060"/>
    <x v="1"/>
  </r>
  <r>
    <x v="132"/>
    <n v="2.4"/>
    <n v="0.15"/>
    <x v="126"/>
    <n v="27424"/>
    <x v="1"/>
  </r>
  <r>
    <x v="133"/>
    <n v="2.4"/>
    <n v="0.15"/>
    <x v="126"/>
    <n v="241770"/>
    <x v="1"/>
  </r>
  <r>
    <x v="134"/>
    <n v="29.15"/>
    <n v="1.81"/>
    <x v="127"/>
    <n v="64002"/>
    <x v="1"/>
  </r>
  <r>
    <x v="135"/>
    <n v="6.93"/>
    <n v="0.43"/>
    <x v="127"/>
    <n v="14293"/>
    <x v="1"/>
  </r>
  <r>
    <x v="136"/>
    <n v="34.25"/>
    <n v="2.12"/>
    <x v="128"/>
    <n v="41745"/>
    <x v="1"/>
  </r>
  <r>
    <x v="137"/>
    <n v="16.39"/>
    <n v="1.01"/>
    <x v="129"/>
    <n v="183755"/>
    <x v="1"/>
  </r>
  <r>
    <x v="138"/>
    <n v="18.850000000000001"/>
    <n v="1.1599999999999999"/>
    <x v="130"/>
    <n v="52577"/>
    <x v="1"/>
  </r>
  <r>
    <x v="139"/>
    <n v="39.25"/>
    <n v="2.4"/>
    <x v="131"/>
    <n v="177349"/>
    <x v="1"/>
  </r>
  <r>
    <x v="140"/>
    <n v="12.18"/>
    <n v="0.74"/>
    <x v="132"/>
    <n v="65847"/>
    <x v="1"/>
  </r>
  <r>
    <x v="141"/>
    <n v="2.2799999999999998"/>
    <n v="0.14000000000000001"/>
    <x v="133"/>
    <n v="14653"/>
    <x v="1"/>
  </r>
  <r>
    <x v="142"/>
    <n v="5.31"/>
    <n v="0.32"/>
    <x v="134"/>
    <n v="489414"/>
    <x v="1"/>
  </r>
  <r>
    <x v="143"/>
    <n v="5.48"/>
    <n v="0.33"/>
    <x v="134"/>
    <n v="369020"/>
    <x v="1"/>
  </r>
  <r>
    <x v="144"/>
    <n v="4.3600000000000003"/>
    <n v="0.26"/>
    <x v="89"/>
    <n v="22448"/>
    <x v="1"/>
  </r>
  <r>
    <x v="145"/>
    <n v="45.1"/>
    <n v="2.68"/>
    <x v="90"/>
    <n v="12155525"/>
    <x v="1"/>
  </r>
  <r>
    <x v="146"/>
    <n v="6.41"/>
    <n v="0.38"/>
    <x v="135"/>
    <n v="31443"/>
    <x v="1"/>
  </r>
  <r>
    <x v="147"/>
    <n v="3.39"/>
    <n v="0.2"/>
    <x v="136"/>
    <n v="322460"/>
    <x v="1"/>
  </r>
  <r>
    <x v="148"/>
    <n v="5.19"/>
    <n v="0.3"/>
    <x v="137"/>
    <n v="502109"/>
    <x v="1"/>
  </r>
  <r>
    <x v="149"/>
    <n v="13.91"/>
    <n v="0.79"/>
    <x v="138"/>
    <n v="409744"/>
    <x v="1"/>
  </r>
  <r>
    <x v="150"/>
    <n v="2.83"/>
    <n v="0.16"/>
    <x v="139"/>
    <n v="1489800"/>
    <x v="1"/>
  </r>
  <r>
    <x v="151"/>
    <n v="10.58"/>
    <n v="0.57999999999999996"/>
    <x v="140"/>
    <n v="453197"/>
    <x v="1"/>
  </r>
  <r>
    <x v="152"/>
    <n v="14.76"/>
    <n v="0.79"/>
    <x v="141"/>
    <n v="127810"/>
    <x v="1"/>
  </r>
  <r>
    <x v="153"/>
    <n v="31.34"/>
    <n v="1.65"/>
    <x v="142"/>
    <n v="4906274"/>
    <x v="1"/>
  </r>
  <r>
    <x v="154"/>
    <n v="19.149999999999999"/>
    <n v="0.99"/>
    <x v="143"/>
    <n v="29446"/>
    <x v="1"/>
  </r>
  <r>
    <x v="155"/>
    <n v="6.85"/>
    <n v="0.35"/>
    <x v="144"/>
    <n v="72744"/>
    <x v="1"/>
  </r>
  <r>
    <x v="156"/>
    <n v="8.44"/>
    <n v="0.43"/>
    <x v="145"/>
    <n v="2879"/>
    <x v="1"/>
  </r>
  <r>
    <x v="157"/>
    <n v="53.3"/>
    <n v="2.7"/>
    <x v="146"/>
    <n v="306371"/>
    <x v="1"/>
  </r>
  <r>
    <x v="158"/>
    <n v="16.97"/>
    <n v="0.85"/>
    <x v="147"/>
    <n v="69477"/>
    <x v="1"/>
  </r>
  <r>
    <x v="159"/>
    <n v="3.6"/>
    <n v="0.18"/>
    <x v="148"/>
    <n v="270862"/>
    <x v="1"/>
  </r>
  <r>
    <x v="160"/>
    <n v="12.87"/>
    <n v="0.63"/>
    <x v="149"/>
    <n v="31731"/>
    <x v="1"/>
  </r>
  <r>
    <x v="161"/>
    <n v="6.2"/>
    <n v="0.3"/>
    <x v="150"/>
    <n v="23565"/>
    <x v="1"/>
  </r>
  <r>
    <x v="162"/>
    <n v="9.4"/>
    <n v="0.45"/>
    <x v="151"/>
    <n v="65724"/>
    <x v="1"/>
  </r>
  <r>
    <x v="163"/>
    <n v="2.1"/>
    <n v="0.1"/>
    <x v="152"/>
    <n v="137791"/>
    <x v="1"/>
  </r>
  <r>
    <x v="164"/>
    <n v="3.58"/>
    <n v="0.17"/>
    <x v="153"/>
    <n v="239189"/>
    <x v="1"/>
  </r>
  <r>
    <x v="165"/>
    <n v="29.7"/>
    <n v="1.41"/>
    <x v="154"/>
    <n v="1673527"/>
    <x v="1"/>
  </r>
  <r>
    <x v="166"/>
    <n v="9.6999999999999993"/>
    <n v="0.46"/>
    <x v="154"/>
    <n v="3054"/>
    <x v="1"/>
  </r>
  <r>
    <x v="167"/>
    <n v="3.38"/>
    <n v="0.16"/>
    <x v="155"/>
    <n v="140799"/>
    <x v="1"/>
  </r>
  <r>
    <x v="168"/>
    <n v="12.79"/>
    <n v="0.6"/>
    <x v="156"/>
    <n v="813793"/>
    <x v="1"/>
  </r>
  <r>
    <x v="169"/>
    <n v="14.99"/>
    <n v="0.7"/>
    <x v="157"/>
    <n v="12120"/>
    <x v="1"/>
  </r>
  <r>
    <x v="97"/>
    <n v="20.82"/>
    <n v="0.97"/>
    <x v="158"/>
    <n v="112124"/>
    <x v="1"/>
  </r>
  <r>
    <x v="170"/>
    <n v="4.3"/>
    <n v="0.2"/>
    <x v="159"/>
    <n v="470763"/>
    <x v="1"/>
  </r>
  <r>
    <x v="171"/>
    <n v="2.15"/>
    <n v="0.1"/>
    <x v="159"/>
    <n v="11847"/>
    <x v="1"/>
  </r>
  <r>
    <x v="172"/>
    <n v="3.01"/>
    <n v="0.14000000000000001"/>
    <x v="159"/>
    <n v="15414"/>
    <x v="1"/>
  </r>
  <r>
    <x v="173"/>
    <n v="27.59"/>
    <n v="1.27"/>
    <x v="160"/>
    <n v="535886"/>
    <x v="1"/>
  </r>
  <r>
    <x v="174"/>
    <n v="2.61"/>
    <n v="0.12"/>
    <x v="161"/>
    <n v="42553"/>
    <x v="1"/>
  </r>
  <r>
    <x v="175"/>
    <n v="9.14"/>
    <n v="0.42"/>
    <x v="161"/>
    <n v="1320055"/>
    <x v="1"/>
  </r>
  <r>
    <x v="176"/>
    <n v="31.23"/>
    <n v="1.43"/>
    <x v="162"/>
    <n v="8257"/>
    <x v="1"/>
  </r>
  <r>
    <x v="177"/>
    <n v="7.74"/>
    <n v="0.35"/>
    <x v="163"/>
    <n v="4927"/>
    <x v="1"/>
  </r>
  <r>
    <x v="178"/>
    <n v="3.77"/>
    <n v="0.17"/>
    <x v="164"/>
    <n v="8137"/>
    <x v="1"/>
  </r>
  <r>
    <x v="179"/>
    <n v="22.96"/>
    <n v="1.03"/>
    <x v="165"/>
    <n v="325254"/>
    <x v="1"/>
  </r>
  <r>
    <x v="180"/>
    <n v="67.260000000000005"/>
    <n v="3"/>
    <x v="166"/>
    <n v="491423"/>
    <x v="1"/>
  </r>
  <r>
    <x v="42"/>
    <n v="9"/>
    <n v="0.4"/>
    <x v="167"/>
    <n v="74735"/>
    <x v="1"/>
  </r>
  <r>
    <x v="181"/>
    <n v="3.61"/>
    <n v="0.16"/>
    <x v="168"/>
    <n v="489123"/>
    <x v="1"/>
  </r>
  <r>
    <x v="182"/>
    <n v="6.36"/>
    <n v="0.28000000000000003"/>
    <x v="169"/>
    <n v="219040"/>
    <x v="1"/>
  </r>
  <r>
    <x v="183"/>
    <n v="10.25"/>
    <n v="0.45"/>
    <x v="170"/>
    <n v="19018"/>
    <x v="1"/>
  </r>
  <r>
    <x v="184"/>
    <n v="68.790000000000006"/>
    <n v="3.01"/>
    <x v="171"/>
    <n v="3166550"/>
    <x v="1"/>
  </r>
  <r>
    <x v="185"/>
    <n v="3.89"/>
    <n v="0.17"/>
    <x v="172"/>
    <n v="1154245"/>
    <x v="1"/>
  </r>
  <r>
    <x v="186"/>
    <n v="24.05"/>
    <n v="1.05"/>
    <x v="172"/>
    <n v="2485827"/>
    <x v="1"/>
  </r>
  <r>
    <x v="187"/>
    <n v="2.5299999999999998"/>
    <n v="0.11"/>
    <x v="173"/>
    <n v="207085"/>
    <x v="1"/>
  </r>
  <r>
    <x v="188"/>
    <n v="3.23"/>
    <n v="0.14000000000000001"/>
    <x v="174"/>
    <n v="13363"/>
    <x v="1"/>
  </r>
  <r>
    <x v="189"/>
    <n v="10.18"/>
    <n v="0.44"/>
    <x v="175"/>
    <n v="2719029"/>
    <x v="1"/>
  </r>
  <r>
    <x v="190"/>
    <n v="2.5499999999999998"/>
    <n v="0.11"/>
    <x v="176"/>
    <n v="1648583"/>
    <x v="1"/>
  </r>
  <r>
    <x v="8"/>
    <n v="47.99"/>
    <n v="36.32"/>
    <x v="177"/>
    <n v="13778728"/>
    <x v="2"/>
  </r>
  <r>
    <x v="191"/>
    <n v="7.8"/>
    <n v="2.8"/>
    <x v="178"/>
    <n v="2835108"/>
    <x v="2"/>
  </r>
  <r>
    <x v="192"/>
    <n v="4.55"/>
    <n v="1.35"/>
    <x v="179"/>
    <n v="997805"/>
    <x v="2"/>
  </r>
  <r>
    <x v="53"/>
    <n v="4.75"/>
    <n v="1.3"/>
    <x v="180"/>
    <n v="4201701"/>
    <x v="2"/>
  </r>
  <r>
    <x v="151"/>
    <n v="13.58"/>
    <n v="3"/>
    <x v="181"/>
    <n v="2536158"/>
    <x v="2"/>
  </r>
  <r>
    <x v="56"/>
    <n v="6.05"/>
    <n v="1.22"/>
    <x v="182"/>
    <n v="253325"/>
    <x v="2"/>
  </r>
  <r>
    <x v="104"/>
    <n v="13.85"/>
    <n v="2.68"/>
    <x v="183"/>
    <n v="332303"/>
    <x v="2"/>
  </r>
  <r>
    <x v="193"/>
    <n v="8.1999999999999993"/>
    <n v="1.49"/>
    <x v="184"/>
    <n v="417373"/>
    <x v="2"/>
  </r>
  <r>
    <x v="194"/>
    <n v="2.9"/>
    <n v="0.4"/>
    <x v="185"/>
    <n v="409449"/>
    <x v="2"/>
  </r>
  <r>
    <x v="195"/>
    <n v="5.45"/>
    <n v="0.65"/>
    <x v="186"/>
    <n v="100298"/>
    <x v="2"/>
  </r>
  <r>
    <x v="196"/>
    <n v="6.27"/>
    <n v="0.74"/>
    <x v="187"/>
    <n v="5398032"/>
    <x v="2"/>
  </r>
  <r>
    <x v="152"/>
    <n v="16.7"/>
    <n v="1.94"/>
    <x v="188"/>
    <n v="295821"/>
    <x v="2"/>
  </r>
  <r>
    <x v="197"/>
    <n v="25.23"/>
    <n v="2.83"/>
    <x v="189"/>
    <n v="210038"/>
    <x v="2"/>
  </r>
  <r>
    <x v="198"/>
    <n v="21.24"/>
    <n v="2.37"/>
    <x v="190"/>
    <n v="1080415"/>
    <x v="2"/>
  </r>
  <r>
    <x v="199"/>
    <n v="5.12"/>
    <n v="0.56999999999999995"/>
    <x v="191"/>
    <n v="186483"/>
    <x v="2"/>
  </r>
  <r>
    <x v="200"/>
    <n v="35.19"/>
    <n v="3.54"/>
    <x v="192"/>
    <n v="732690"/>
    <x v="2"/>
  </r>
  <r>
    <x v="201"/>
    <n v="7.13"/>
    <n v="0.72"/>
    <x v="193"/>
    <n v="2473"/>
    <x v="2"/>
  </r>
  <r>
    <x v="202"/>
    <n v="5.01"/>
    <n v="0.49"/>
    <x v="194"/>
    <n v="186858"/>
    <x v="2"/>
  </r>
  <r>
    <x v="203"/>
    <n v="2.4"/>
    <n v="0.23"/>
    <x v="195"/>
    <n v="21048"/>
    <x v="2"/>
  </r>
  <r>
    <x v="204"/>
    <n v="32.17"/>
    <n v="3.08"/>
    <x v="196"/>
    <n v="1576450"/>
    <x v="2"/>
  </r>
  <r>
    <x v="205"/>
    <n v="40.369999999999997"/>
    <n v="3.78"/>
    <x v="197"/>
    <n v="3124942"/>
    <x v="2"/>
  </r>
  <r>
    <x v="174"/>
    <n v="2.87"/>
    <n v="0.26"/>
    <x v="198"/>
    <n v="88558"/>
    <x v="2"/>
  </r>
  <r>
    <x v="206"/>
    <n v="2.89"/>
    <n v="0.26"/>
    <x v="199"/>
    <n v="18160"/>
    <x v="2"/>
  </r>
  <r>
    <x v="168"/>
    <n v="14.02"/>
    <n v="1.23"/>
    <x v="36"/>
    <n v="834028"/>
    <x v="2"/>
  </r>
  <r>
    <x v="103"/>
    <n v="3.08"/>
    <n v="0.27"/>
    <x v="200"/>
    <n v="357572"/>
    <x v="2"/>
  </r>
  <r>
    <x v="207"/>
    <n v="25"/>
    <n v="2.19"/>
    <x v="201"/>
    <n v="2316766"/>
    <x v="2"/>
  </r>
  <r>
    <x v="208"/>
    <n v="2.88"/>
    <n v="0.25"/>
    <x v="202"/>
    <n v="297378"/>
    <x v="2"/>
  </r>
  <r>
    <x v="209"/>
    <n v="2.7"/>
    <n v="0.23"/>
    <x v="38"/>
    <n v="1181733"/>
    <x v="2"/>
  </r>
  <r>
    <x v="210"/>
    <n v="21.89"/>
    <n v="1.77"/>
    <x v="42"/>
    <n v="376949"/>
    <x v="2"/>
  </r>
  <r>
    <x v="211"/>
    <n v="3.04"/>
    <n v="0.24"/>
    <x v="203"/>
    <n v="346156"/>
    <x v="2"/>
  </r>
  <r>
    <x v="212"/>
    <n v="16.2"/>
    <n v="1.25"/>
    <x v="204"/>
    <n v="226324"/>
    <x v="2"/>
  </r>
  <r>
    <x v="213"/>
    <n v="14.5"/>
    <n v="1.05"/>
    <x v="205"/>
    <n v="337785"/>
    <x v="2"/>
  </r>
  <r>
    <x v="214"/>
    <n v="2.2200000000000002"/>
    <n v="0.16"/>
    <x v="57"/>
    <n v="1391570"/>
    <x v="2"/>
  </r>
  <r>
    <x v="92"/>
    <n v="28.75"/>
    <n v="2.0499999999999998"/>
    <x v="59"/>
    <n v="454272"/>
    <x v="2"/>
  </r>
  <r>
    <x v="215"/>
    <n v="47.45"/>
    <n v="3.35"/>
    <x v="206"/>
    <n v="1568979"/>
    <x v="2"/>
  </r>
  <r>
    <x v="216"/>
    <n v="13.65"/>
    <n v="0.96"/>
    <x v="207"/>
    <n v="18808"/>
    <x v="2"/>
  </r>
  <r>
    <x v="12"/>
    <n v="14.57"/>
    <n v="1.02"/>
    <x v="61"/>
    <n v="177164"/>
    <x v="2"/>
  </r>
  <r>
    <x v="217"/>
    <n v="2.15"/>
    <n v="0.15"/>
    <x v="62"/>
    <n v="48411"/>
    <x v="2"/>
  </r>
  <r>
    <x v="218"/>
    <n v="7.91"/>
    <n v="0.55000000000000004"/>
    <x v="208"/>
    <n v="639251"/>
    <x v="2"/>
  </r>
  <r>
    <x v="219"/>
    <n v="40.67"/>
    <n v="2.81"/>
    <x v="120"/>
    <n v="1289366"/>
    <x v="2"/>
  </r>
  <r>
    <x v="220"/>
    <n v="4.49"/>
    <n v="0.31"/>
    <x v="120"/>
    <n v="85417"/>
    <x v="2"/>
  </r>
  <r>
    <x v="221"/>
    <n v="12.62"/>
    <n v="0.87"/>
    <x v="64"/>
    <n v="2580659"/>
    <x v="2"/>
  </r>
  <r>
    <x v="222"/>
    <n v="44.8"/>
    <n v="3.05"/>
    <x v="121"/>
    <n v="2065198"/>
    <x v="2"/>
  </r>
  <r>
    <x v="4"/>
    <n v="16.600000000000001"/>
    <n v="1.1299999999999999"/>
    <x v="209"/>
    <n v="89697"/>
    <x v="2"/>
  </r>
  <r>
    <x v="223"/>
    <n v="36.6"/>
    <n v="2.4900000000000002"/>
    <x v="209"/>
    <n v="38902097"/>
    <x v="2"/>
  </r>
  <r>
    <x v="224"/>
    <n v="2.2200000000000002"/>
    <n v="0.15"/>
    <x v="210"/>
    <n v="209245"/>
    <x v="2"/>
  </r>
  <r>
    <x v="225"/>
    <n v="18.32"/>
    <n v="1.21"/>
    <x v="211"/>
    <n v="74274"/>
    <x v="2"/>
  </r>
  <r>
    <x v="226"/>
    <n v="373.35"/>
    <n v="24.55"/>
    <x v="212"/>
    <n v="332477"/>
    <x v="2"/>
  </r>
  <r>
    <x v="227"/>
    <n v="2.94"/>
    <n v="0.19"/>
    <x v="213"/>
    <n v="114207"/>
    <x v="2"/>
  </r>
  <r>
    <x v="228"/>
    <n v="4.8"/>
    <n v="0.31"/>
    <x v="214"/>
    <n v="3296770"/>
    <x v="2"/>
  </r>
  <r>
    <x v="229"/>
    <n v="53.25"/>
    <n v="3.4"/>
    <x v="215"/>
    <n v="787979"/>
    <x v="2"/>
  </r>
  <r>
    <x v="230"/>
    <n v="4.25"/>
    <n v="0.27"/>
    <x v="77"/>
    <n v="2891705"/>
    <x v="2"/>
  </r>
  <r>
    <x v="48"/>
    <n v="2.88"/>
    <n v="0.18"/>
    <x v="126"/>
    <n v="370510"/>
    <x v="2"/>
  </r>
  <r>
    <x v="172"/>
    <n v="3.21"/>
    <n v="0.2"/>
    <x v="82"/>
    <n v="38130"/>
    <x v="2"/>
  </r>
  <r>
    <x v="183"/>
    <n v="10.9"/>
    <n v="0.65"/>
    <x v="89"/>
    <n v="9061"/>
    <x v="2"/>
  </r>
  <r>
    <x v="231"/>
    <n v="7.97"/>
    <n v="0.47"/>
    <x v="136"/>
    <n v="44360"/>
    <x v="2"/>
  </r>
  <r>
    <x v="232"/>
    <n v="3.09"/>
    <n v="0.18"/>
    <x v="216"/>
    <n v="14202"/>
    <x v="2"/>
  </r>
  <r>
    <x v="233"/>
    <n v="2.86"/>
    <n v="0.16"/>
    <x v="217"/>
    <n v="7822"/>
    <x v="2"/>
  </r>
  <r>
    <x v="234"/>
    <n v="4.04"/>
    <n v="0.23"/>
    <x v="218"/>
    <n v="121211"/>
    <x v="2"/>
  </r>
  <r>
    <x v="235"/>
    <n v="9.52"/>
    <n v="0.54"/>
    <x v="219"/>
    <n v="654145"/>
    <x v="2"/>
  </r>
  <r>
    <x v="236"/>
    <n v="8.31"/>
    <n v="0.47"/>
    <x v="139"/>
    <n v="35865"/>
    <x v="2"/>
  </r>
  <r>
    <x v="101"/>
    <n v="24.11"/>
    <n v="1.36"/>
    <x v="220"/>
    <n v="107453"/>
    <x v="2"/>
  </r>
  <r>
    <x v="237"/>
    <n v="7.63"/>
    <n v="0.43"/>
    <x v="221"/>
    <n v="21508"/>
    <x v="2"/>
  </r>
  <r>
    <x v="238"/>
    <n v="60.95"/>
    <n v="3.4"/>
    <x v="222"/>
    <n v="717634"/>
    <x v="2"/>
  </r>
  <r>
    <x v="239"/>
    <n v="9.1999999999999993"/>
    <n v="0.51"/>
    <x v="223"/>
    <n v="2793166"/>
    <x v="2"/>
  </r>
  <r>
    <x v="240"/>
    <n v="48.73"/>
    <n v="2.69"/>
    <x v="224"/>
    <n v="2805269"/>
    <x v="2"/>
  </r>
  <r>
    <x v="241"/>
    <n v="7.35"/>
    <n v="0.4"/>
    <x v="225"/>
    <n v="1356881"/>
    <x v="2"/>
  </r>
  <r>
    <x v="242"/>
    <n v="25.49"/>
    <n v="1.37"/>
    <x v="226"/>
    <n v="885975"/>
    <x v="2"/>
  </r>
  <r>
    <x v="243"/>
    <n v="5.42"/>
    <n v="0.28999999999999998"/>
    <x v="141"/>
    <n v="1458344"/>
    <x v="2"/>
  </r>
  <r>
    <x v="244"/>
    <n v="53.99"/>
    <n v="2.88"/>
    <x v="227"/>
    <n v="496043"/>
    <x v="2"/>
  </r>
  <r>
    <x v="245"/>
    <n v="10.96"/>
    <n v="0.57999999999999996"/>
    <x v="228"/>
    <n v="629922"/>
    <x v="2"/>
  </r>
  <r>
    <x v="246"/>
    <n v="16.95"/>
    <n v="0.87"/>
    <x v="229"/>
    <n v="18614761"/>
    <x v="2"/>
  </r>
  <r>
    <x v="247"/>
    <n v="9.2100000000000009"/>
    <n v="0.47"/>
    <x v="144"/>
    <n v="621619"/>
    <x v="2"/>
  </r>
  <r>
    <x v="248"/>
    <n v="3.14"/>
    <n v="0.16"/>
    <x v="145"/>
    <n v="2906617"/>
    <x v="2"/>
  </r>
  <r>
    <x v="249"/>
    <n v="54.61"/>
    <n v="2.78"/>
    <x v="230"/>
    <n v="21743098"/>
    <x v="2"/>
  </r>
  <r>
    <x v="115"/>
    <n v="12.79"/>
    <n v="0.64"/>
    <x v="147"/>
    <n v="130451"/>
    <x v="2"/>
  </r>
  <r>
    <x v="250"/>
    <n v="17.420000000000002"/>
    <n v="0.87"/>
    <x v="148"/>
    <n v="377603"/>
    <x v="2"/>
  </r>
  <r>
    <x v="251"/>
    <n v="7.65"/>
    <n v="0.38"/>
    <x v="231"/>
    <n v="3055359"/>
    <x v="2"/>
  </r>
  <r>
    <x v="252"/>
    <n v="25.77"/>
    <n v="1.26"/>
    <x v="232"/>
    <n v="1446484"/>
    <x v="2"/>
  </r>
  <r>
    <x v="253"/>
    <n v="34.57"/>
    <n v="1.69"/>
    <x v="232"/>
    <n v="11548626"/>
    <x v="2"/>
  </r>
  <r>
    <x v="254"/>
    <n v="9.25"/>
    <n v="0.45"/>
    <x v="233"/>
    <n v="852364"/>
    <x v="2"/>
  </r>
  <r>
    <x v="255"/>
    <n v="7.25"/>
    <n v="0.35"/>
    <x v="234"/>
    <n v="531387"/>
    <x v="2"/>
  </r>
  <r>
    <x v="256"/>
    <n v="3.54"/>
    <n v="0.17"/>
    <x v="235"/>
    <n v="53201"/>
    <x v="2"/>
  </r>
  <r>
    <x v="257"/>
    <n v="16.77"/>
    <n v="0.8"/>
    <x v="236"/>
    <n v="2103"/>
    <x v="2"/>
  </r>
  <r>
    <x v="258"/>
    <n v="5.25"/>
    <n v="0.25"/>
    <x v="152"/>
    <n v="13577467"/>
    <x v="2"/>
  </r>
  <r>
    <x v="106"/>
    <n v="4.2"/>
    <n v="0.2"/>
    <x v="152"/>
    <n v="119307"/>
    <x v="2"/>
  </r>
  <r>
    <x v="259"/>
    <n v="85"/>
    <n v="4.04"/>
    <x v="153"/>
    <n v="483519"/>
    <x v="2"/>
  </r>
  <r>
    <x v="16"/>
    <n v="4.83"/>
    <n v="0.23"/>
    <x v="155"/>
    <n v="2365"/>
    <x v="2"/>
  </r>
  <r>
    <x v="260"/>
    <n v="14.94"/>
    <n v="0.7"/>
    <x v="156"/>
    <n v="76082"/>
    <x v="2"/>
  </r>
  <r>
    <x v="261"/>
    <n v="7.3"/>
    <n v="0.34"/>
    <x v="158"/>
    <n v="65815"/>
    <x v="2"/>
  </r>
  <r>
    <x v="262"/>
    <n v="27.08"/>
    <n v="1.26"/>
    <x v="159"/>
    <n v="2608343"/>
    <x v="2"/>
  </r>
  <r>
    <x v="263"/>
    <n v="2.15"/>
    <n v="0.1"/>
    <x v="159"/>
    <n v="146225"/>
    <x v="2"/>
  </r>
  <r>
    <x v="264"/>
    <n v="2.15"/>
    <n v="0.1"/>
    <x v="159"/>
    <n v="4477"/>
    <x v="2"/>
  </r>
  <r>
    <x v="265"/>
    <n v="6.12"/>
    <n v="0.28000000000000003"/>
    <x v="237"/>
    <n v="116149"/>
    <x v="2"/>
  </r>
  <r>
    <x v="266"/>
    <n v="7"/>
    <n v="0.32"/>
    <x v="237"/>
    <n v="166973"/>
    <x v="2"/>
  </r>
  <r>
    <x v="187"/>
    <n v="2.65"/>
    <n v="0.12"/>
    <x v="238"/>
    <n v="72964"/>
    <x v="2"/>
  </r>
  <r>
    <x v="267"/>
    <n v="6.65"/>
    <n v="0.3"/>
    <x v="164"/>
    <n v="44203"/>
    <x v="2"/>
  </r>
  <r>
    <x v="268"/>
    <n v="2.67"/>
    <n v="0.12"/>
    <x v="239"/>
    <n v="447062"/>
    <x v="2"/>
  </r>
  <r>
    <x v="269"/>
    <n v="4.2699999999999996"/>
    <n v="0.19"/>
    <x v="240"/>
    <n v="23796"/>
    <x v="2"/>
  </r>
  <r>
    <x v="270"/>
    <n v="137.80000000000001"/>
    <n v="6.05"/>
    <x v="170"/>
    <n v="458077"/>
    <x v="2"/>
  </r>
  <r>
    <x v="191"/>
    <n v="13.35"/>
    <n v="5.55"/>
    <x v="241"/>
    <n v="18548818"/>
    <x v="3"/>
  </r>
  <r>
    <x v="271"/>
    <n v="7.25"/>
    <n v="2.31"/>
    <x v="242"/>
    <n v="4290504"/>
    <x v="3"/>
  </r>
  <r>
    <x v="272"/>
    <n v="4.4000000000000004"/>
    <n v="1.35"/>
    <x v="243"/>
    <n v="636271"/>
    <x v="3"/>
  </r>
  <r>
    <x v="273"/>
    <n v="28.14"/>
    <n v="7.8"/>
    <x v="244"/>
    <n v="2566251"/>
    <x v="3"/>
  </r>
  <r>
    <x v="98"/>
    <n v="7.36"/>
    <n v="1.58"/>
    <x v="245"/>
    <n v="659866"/>
    <x v="3"/>
  </r>
  <r>
    <x v="274"/>
    <n v="3.65"/>
    <n v="0.7"/>
    <x v="246"/>
    <n v="1037877"/>
    <x v="3"/>
  </r>
  <r>
    <x v="275"/>
    <n v="27.2"/>
    <n v="4.7"/>
    <x v="247"/>
    <n v="1090755"/>
    <x v="3"/>
  </r>
  <r>
    <x v="276"/>
    <n v="32.049999999999997"/>
    <n v="5.13"/>
    <x v="248"/>
    <n v="935467"/>
    <x v="3"/>
  </r>
  <r>
    <x v="247"/>
    <n v="10.94"/>
    <n v="1.73"/>
    <x v="249"/>
    <n v="5938162"/>
    <x v="3"/>
  </r>
  <r>
    <x v="277"/>
    <n v="37.64"/>
    <n v="5.71"/>
    <x v="250"/>
    <n v="148822"/>
    <x v="3"/>
  </r>
  <r>
    <x v="187"/>
    <n v="3.1"/>
    <n v="0.45"/>
    <x v="251"/>
    <n v="484161"/>
    <x v="3"/>
  </r>
  <r>
    <x v="23"/>
    <n v="3.84"/>
    <n v="0.55000000000000004"/>
    <x v="252"/>
    <n v="10760"/>
    <x v="3"/>
  </r>
  <r>
    <x v="113"/>
    <n v="3.06"/>
    <n v="0.41"/>
    <x v="253"/>
    <n v="37887"/>
    <x v="3"/>
  </r>
  <r>
    <x v="278"/>
    <n v="6.81"/>
    <n v="0.9"/>
    <x v="254"/>
    <n v="277509"/>
    <x v="3"/>
  </r>
  <r>
    <x v="279"/>
    <n v="17"/>
    <n v="2"/>
    <x v="20"/>
    <n v="5580323"/>
    <x v="3"/>
  </r>
  <r>
    <x v="280"/>
    <n v="2.67"/>
    <n v="0.31"/>
    <x v="188"/>
    <n v="1474813"/>
    <x v="3"/>
  </r>
  <r>
    <x v="281"/>
    <n v="6.9"/>
    <n v="0.75"/>
    <x v="255"/>
    <n v="507625"/>
    <x v="3"/>
  </r>
  <r>
    <x v="282"/>
    <n v="2.58"/>
    <n v="0.28000000000000003"/>
    <x v="256"/>
    <n v="356215"/>
    <x v="3"/>
  </r>
  <r>
    <x v="192"/>
    <n v="5.0999999999999996"/>
    <n v="0.55000000000000004"/>
    <x v="105"/>
    <n v="3962931"/>
    <x v="3"/>
  </r>
  <r>
    <x v="283"/>
    <n v="4.93"/>
    <n v="0.52"/>
    <x v="257"/>
    <n v="65378"/>
    <x v="3"/>
  </r>
  <r>
    <x v="284"/>
    <n v="38.700000000000003"/>
    <n v="3.8"/>
    <x v="258"/>
    <n v="3324695"/>
    <x v="3"/>
  </r>
  <r>
    <x v="248"/>
    <n v="3.48"/>
    <n v="0.34"/>
    <x v="259"/>
    <n v="10383885"/>
    <x v="3"/>
  </r>
  <r>
    <x v="285"/>
    <n v="2.57"/>
    <n v="0.24"/>
    <x v="260"/>
    <n v="344732"/>
    <x v="3"/>
  </r>
  <r>
    <x v="286"/>
    <n v="3.87"/>
    <n v="0.36"/>
    <x v="261"/>
    <n v="25659"/>
    <x v="3"/>
  </r>
  <r>
    <x v="287"/>
    <n v="4.43"/>
    <n v="0.41"/>
    <x v="262"/>
    <n v="259378"/>
    <x v="3"/>
  </r>
  <r>
    <x v="288"/>
    <n v="3.85"/>
    <n v="0.35"/>
    <x v="110"/>
    <n v="910305"/>
    <x v="3"/>
  </r>
  <r>
    <x v="289"/>
    <n v="57.68"/>
    <n v="5.1100000000000003"/>
    <x v="35"/>
    <n v="500102"/>
    <x v="3"/>
  </r>
  <r>
    <x v="11"/>
    <n v="12.5"/>
    <n v="1.1000000000000001"/>
    <x v="263"/>
    <n v="265099"/>
    <x v="3"/>
  </r>
  <r>
    <x v="290"/>
    <n v="13.49"/>
    <n v="1.08"/>
    <x v="264"/>
    <n v="3528"/>
    <x v="3"/>
  </r>
  <r>
    <x v="291"/>
    <n v="2.5"/>
    <n v="0.2"/>
    <x v="265"/>
    <n v="30395"/>
    <x v="3"/>
  </r>
  <r>
    <x v="292"/>
    <n v="4.84"/>
    <n v="0.37"/>
    <x v="266"/>
    <n v="1798124"/>
    <x v="3"/>
  </r>
  <r>
    <x v="293"/>
    <n v="6.25"/>
    <n v="0.47"/>
    <x v="267"/>
    <n v="903055"/>
    <x v="3"/>
  </r>
  <r>
    <x v="100"/>
    <n v="7.08"/>
    <n v="0.53"/>
    <x v="268"/>
    <n v="15573584"/>
    <x v="3"/>
  </r>
  <r>
    <x v="294"/>
    <n v="14.77"/>
    <n v="1.08"/>
    <x v="269"/>
    <n v="60547"/>
    <x v="3"/>
  </r>
  <r>
    <x v="295"/>
    <n v="17.45"/>
    <n v="1.26"/>
    <x v="270"/>
    <n v="2862"/>
    <x v="3"/>
  </r>
  <r>
    <x v="57"/>
    <n v="22"/>
    <n v="1.58"/>
    <x v="271"/>
    <n v="7357"/>
    <x v="3"/>
  </r>
  <r>
    <x v="27"/>
    <n v="33.590000000000003"/>
    <n v="2.39"/>
    <x v="272"/>
    <n v="1506367"/>
    <x v="3"/>
  </r>
  <r>
    <x v="119"/>
    <n v="4.28"/>
    <n v="0.3"/>
    <x v="273"/>
    <n v="3091870"/>
    <x v="3"/>
  </r>
  <r>
    <x v="296"/>
    <n v="8.31"/>
    <n v="0.56999999999999995"/>
    <x v="274"/>
    <n v="415692"/>
    <x v="3"/>
  </r>
  <r>
    <x v="297"/>
    <n v="3.67"/>
    <n v="0.25"/>
    <x v="121"/>
    <n v="446602"/>
    <x v="3"/>
  </r>
  <r>
    <x v="298"/>
    <n v="26.55"/>
    <n v="1.8"/>
    <x v="275"/>
    <n v="13691"/>
    <x v="3"/>
  </r>
  <r>
    <x v="299"/>
    <n v="17"/>
    <n v="1.1499999999999999"/>
    <x v="276"/>
    <n v="21488"/>
    <x v="3"/>
  </r>
  <r>
    <x v="300"/>
    <n v="29.69"/>
    <n v="1.99"/>
    <x v="277"/>
    <n v="20087"/>
    <x v="3"/>
  </r>
  <r>
    <x v="301"/>
    <n v="8.48"/>
    <n v="0.56000000000000005"/>
    <x v="278"/>
    <n v="5052"/>
    <x v="3"/>
  </r>
  <r>
    <x v="59"/>
    <n v="4.07"/>
    <n v="0.27"/>
    <x v="279"/>
    <n v="117303"/>
    <x v="3"/>
  </r>
  <r>
    <x v="302"/>
    <n v="4.08"/>
    <n v="0.27"/>
    <x v="280"/>
    <n v="2499136"/>
    <x v="3"/>
  </r>
  <r>
    <x v="303"/>
    <n v="17.22"/>
    <n v="1.1299999999999999"/>
    <x v="281"/>
    <n v="44345"/>
    <x v="3"/>
  </r>
  <r>
    <x v="304"/>
    <n v="8.4"/>
    <n v="0.55000000000000004"/>
    <x v="282"/>
    <n v="102730"/>
    <x v="3"/>
  </r>
  <r>
    <x v="305"/>
    <n v="4.4400000000000004"/>
    <n v="0.28999999999999998"/>
    <x v="283"/>
    <n v="3903"/>
    <x v="3"/>
  </r>
  <r>
    <x v="306"/>
    <n v="6.62"/>
    <n v="0.43"/>
    <x v="284"/>
    <n v="110277"/>
    <x v="3"/>
  </r>
  <r>
    <x v="307"/>
    <n v="14.8"/>
    <n v="0.95"/>
    <x v="124"/>
    <n v="65735"/>
    <x v="3"/>
  </r>
  <r>
    <x v="199"/>
    <n v="5.47"/>
    <n v="0.35"/>
    <x v="285"/>
    <n v="66552"/>
    <x v="3"/>
  </r>
  <r>
    <x v="308"/>
    <n v="4.87"/>
    <n v="0.31"/>
    <x v="286"/>
    <n v="1096910"/>
    <x v="3"/>
  </r>
  <r>
    <x v="309"/>
    <n v="21"/>
    <n v="1.33"/>
    <x v="78"/>
    <n v="1188712"/>
    <x v="3"/>
  </r>
  <r>
    <x v="310"/>
    <n v="9.0500000000000007"/>
    <n v="0.56999999999999995"/>
    <x v="287"/>
    <n v="126444"/>
    <x v="3"/>
  </r>
  <r>
    <x v="203"/>
    <n v="2.5499999999999998"/>
    <n v="0.15"/>
    <x v="288"/>
    <n v="19344"/>
    <x v="3"/>
  </r>
  <r>
    <x v="311"/>
    <n v="5.0999999999999996"/>
    <n v="0.3"/>
    <x v="288"/>
    <n v="1910906"/>
    <x v="3"/>
  </r>
  <r>
    <x v="312"/>
    <n v="2.1800000000000002"/>
    <n v="0.13"/>
    <x v="289"/>
    <n v="5232"/>
    <x v="3"/>
  </r>
  <r>
    <x v="313"/>
    <n v="23.72"/>
    <n v="1.39"/>
    <x v="290"/>
    <n v="190280"/>
    <x v="3"/>
  </r>
  <r>
    <x v="314"/>
    <n v="56.53"/>
    <n v="3.25"/>
    <x v="291"/>
    <n v="2850482"/>
    <x v="3"/>
  </r>
  <r>
    <x v="315"/>
    <n v="4.03"/>
    <n v="0.23"/>
    <x v="292"/>
    <n v="788286"/>
    <x v="3"/>
  </r>
  <r>
    <x v="316"/>
    <n v="3.34"/>
    <n v="0.19"/>
    <x v="293"/>
    <n v="12463"/>
    <x v="3"/>
  </r>
  <r>
    <x v="10"/>
    <n v="3.35"/>
    <n v="0.19"/>
    <x v="219"/>
    <n v="33584"/>
    <x v="3"/>
  </r>
  <r>
    <x v="104"/>
    <n v="14.68"/>
    <n v="0.83"/>
    <x v="220"/>
    <n v="444039"/>
    <x v="3"/>
  </r>
  <r>
    <x v="141"/>
    <n v="2.3199999999999998"/>
    <n v="0.13"/>
    <x v="294"/>
    <n v="39102"/>
    <x v="3"/>
  </r>
  <r>
    <x v="317"/>
    <n v="5.37"/>
    <n v="0.3"/>
    <x v="295"/>
    <n v="14982"/>
    <x v="3"/>
  </r>
  <r>
    <x v="52"/>
    <n v="7.72"/>
    <n v="0.43"/>
    <x v="296"/>
    <n v="294752"/>
    <x v="3"/>
  </r>
  <r>
    <x v="318"/>
    <n v="42.16"/>
    <n v="2.34"/>
    <x v="297"/>
    <n v="999610"/>
    <x v="3"/>
  </r>
  <r>
    <x v="194"/>
    <n v="3.07"/>
    <n v="0.17"/>
    <x v="298"/>
    <n v="1840221"/>
    <x v="3"/>
  </r>
  <r>
    <x v="319"/>
    <n v="12.86"/>
    <n v="0.71"/>
    <x v="224"/>
    <n v="8091018"/>
    <x v="3"/>
  </r>
  <r>
    <x v="14"/>
    <n v="12.1"/>
    <n v="0.65"/>
    <x v="226"/>
    <n v="551839"/>
    <x v="3"/>
  </r>
  <r>
    <x v="320"/>
    <n v="2.8"/>
    <n v="0.15"/>
    <x v="299"/>
    <n v="71767"/>
    <x v="3"/>
  </r>
  <r>
    <x v="33"/>
    <n v="5.05"/>
    <n v="0.27"/>
    <x v="141"/>
    <n v="355266"/>
    <x v="3"/>
  </r>
  <r>
    <x v="321"/>
    <n v="24.39"/>
    <n v="1.3"/>
    <x v="227"/>
    <n v="23565"/>
    <x v="3"/>
  </r>
  <r>
    <x v="322"/>
    <n v="4.5199999999999996"/>
    <n v="0.24"/>
    <x v="300"/>
    <n v="47221"/>
    <x v="3"/>
  </r>
  <r>
    <x v="323"/>
    <n v="36.25"/>
    <n v="1.91"/>
    <x v="142"/>
    <n v="391187"/>
    <x v="3"/>
  </r>
  <r>
    <x v="324"/>
    <n v="6.28"/>
    <n v="0.33"/>
    <x v="301"/>
    <n v="23064"/>
    <x v="3"/>
  </r>
  <r>
    <x v="325"/>
    <n v="3.43"/>
    <n v="0.18"/>
    <x v="302"/>
    <n v="7762"/>
    <x v="3"/>
  </r>
  <r>
    <x v="326"/>
    <n v="12.7"/>
    <n v="0.66"/>
    <x v="303"/>
    <n v="164999"/>
    <x v="3"/>
  </r>
  <r>
    <x v="101"/>
    <n v="25.43"/>
    <n v="1.32"/>
    <x v="304"/>
    <n v="160410"/>
    <x v="3"/>
  </r>
  <r>
    <x v="262"/>
    <n v="28.56"/>
    <n v="1.48"/>
    <x v="304"/>
    <n v="2639600"/>
    <x v="3"/>
  </r>
  <r>
    <x v="196"/>
    <n v="6.61"/>
    <n v="0.34"/>
    <x v="305"/>
    <n v="5877407"/>
    <x v="3"/>
  </r>
  <r>
    <x v="327"/>
    <n v="4.2"/>
    <n v="0.21"/>
    <x v="148"/>
    <n v="2434694"/>
    <x v="3"/>
  </r>
  <r>
    <x v="161"/>
    <n v="6.11"/>
    <n v="0.3"/>
    <x v="306"/>
    <n v="19957"/>
    <x v="3"/>
  </r>
  <r>
    <x v="137"/>
    <n v="17.149999999999999"/>
    <n v="0.84"/>
    <x v="149"/>
    <n v="143240"/>
    <x v="3"/>
  </r>
  <r>
    <x v="4"/>
    <n v="17.45"/>
    <n v="0.85"/>
    <x v="307"/>
    <n v="102404"/>
    <x v="3"/>
  </r>
  <r>
    <x v="328"/>
    <n v="6.41"/>
    <n v="0.31"/>
    <x v="150"/>
    <n v="82529"/>
    <x v="3"/>
  </r>
  <r>
    <x v="117"/>
    <n v="2.3199999999999998"/>
    <n v="0.11"/>
    <x v="154"/>
    <n v="292391"/>
    <x v="3"/>
  </r>
  <r>
    <x v="329"/>
    <n v="4.46"/>
    <n v="0.21"/>
    <x v="308"/>
    <n v="4838"/>
    <x v="3"/>
  </r>
  <r>
    <x v="330"/>
    <n v="18.98"/>
    <n v="0.89"/>
    <x v="156"/>
    <n v="203948"/>
    <x v="3"/>
  </r>
  <r>
    <x v="331"/>
    <n v="27.44"/>
    <n v="1.27"/>
    <x v="309"/>
    <n v="903491"/>
    <x v="3"/>
  </r>
  <r>
    <x v="332"/>
    <n v="93.44"/>
    <n v="4.24"/>
    <x v="310"/>
    <n v="10182513"/>
    <x v="3"/>
  </r>
  <r>
    <x v="217"/>
    <n v="2.25"/>
    <n v="0.1"/>
    <x v="167"/>
    <n v="49514"/>
    <x v="3"/>
  </r>
  <r>
    <x v="333"/>
    <n v="3.04"/>
    <n v="0.14000000000000001"/>
    <x v="168"/>
    <n v="8254061"/>
    <x v="3"/>
  </r>
  <r>
    <x v="212"/>
    <n v="16.95"/>
    <n v="0.75"/>
    <x v="311"/>
    <n v="190298"/>
    <x v="3"/>
  </r>
  <r>
    <x v="334"/>
    <n v="15.3"/>
    <n v="0.68"/>
    <x v="312"/>
    <n v="18437"/>
    <x v="3"/>
  </r>
  <r>
    <x v="335"/>
    <n v="9.8800000000000008"/>
    <n v="0.43"/>
    <x v="173"/>
    <n v="560452"/>
    <x v="3"/>
  </r>
  <r>
    <x v="336"/>
    <n v="12.7"/>
    <n v="0.55000000000000004"/>
    <x v="174"/>
    <n v="532492"/>
    <x v="3"/>
  </r>
  <r>
    <x v="337"/>
    <n v="7.16"/>
    <n v="0.31"/>
    <x v="174"/>
    <n v="291890"/>
    <x v="3"/>
  </r>
  <r>
    <x v="338"/>
    <n v="36.58"/>
    <n v="1.58"/>
    <x v="176"/>
    <n v="16467"/>
    <x v="3"/>
  </r>
  <r>
    <x v="339"/>
    <n v="33"/>
    <n v="17"/>
    <x v="313"/>
    <n v="16755981"/>
    <x v="4"/>
  </r>
  <r>
    <x v="340"/>
    <n v="5.65"/>
    <n v="1.65"/>
    <x v="314"/>
    <n v="232369"/>
    <x v="4"/>
  </r>
  <r>
    <x v="341"/>
    <n v="11.47"/>
    <n v="2.29"/>
    <x v="315"/>
    <n v="391003"/>
    <x v="4"/>
  </r>
  <r>
    <x v="342"/>
    <n v="4.93"/>
    <n v="0.87"/>
    <x v="316"/>
    <n v="236180"/>
    <x v="4"/>
  </r>
  <r>
    <x v="343"/>
    <n v="3"/>
    <n v="0.52"/>
    <x v="317"/>
    <n v="5018482"/>
    <x v="4"/>
  </r>
  <r>
    <x v="310"/>
    <n v="10.64"/>
    <n v="1.59"/>
    <x v="318"/>
    <n v="175257"/>
    <x v="4"/>
  </r>
  <r>
    <x v="344"/>
    <n v="25.15"/>
    <n v="3.65"/>
    <x v="251"/>
    <n v="669226"/>
    <x v="4"/>
  </r>
  <r>
    <x v="21"/>
    <n v="50.5"/>
    <n v="6.93"/>
    <x v="319"/>
    <n v="3036341"/>
    <x v="4"/>
  </r>
  <r>
    <x v="345"/>
    <n v="7.95"/>
    <n v="1.04"/>
    <x v="320"/>
    <n v="136108"/>
    <x v="4"/>
  </r>
  <r>
    <x v="346"/>
    <n v="6.4"/>
    <n v="0.82"/>
    <x v="321"/>
    <n v="8183289"/>
    <x v="4"/>
  </r>
  <r>
    <x v="320"/>
    <n v="3.2"/>
    <n v="0.4"/>
    <x v="322"/>
    <n v="115061"/>
    <x v="4"/>
  </r>
  <r>
    <x v="171"/>
    <n v="2.4"/>
    <n v="0.3"/>
    <x v="322"/>
    <n v="238500"/>
    <x v="4"/>
  </r>
  <r>
    <x v="132"/>
    <n v="2.4500000000000002"/>
    <n v="0.3"/>
    <x v="323"/>
    <n v="90849"/>
    <x v="4"/>
  </r>
  <r>
    <x v="347"/>
    <n v="26.47"/>
    <n v="3.1"/>
    <x v="324"/>
    <n v="428679"/>
    <x v="4"/>
  </r>
  <r>
    <x v="348"/>
    <n v="5.6"/>
    <n v="0.65"/>
    <x v="325"/>
    <n v="3455551"/>
    <x v="4"/>
  </r>
  <r>
    <x v="349"/>
    <n v="12.1"/>
    <n v="1.4"/>
    <x v="326"/>
    <n v="5225"/>
    <x v="4"/>
  </r>
  <r>
    <x v="5"/>
    <n v="15.9"/>
    <n v="1.8"/>
    <x v="327"/>
    <n v="173207"/>
    <x v="4"/>
  </r>
  <r>
    <x v="350"/>
    <n v="2.77"/>
    <n v="0.31"/>
    <x v="328"/>
    <n v="188277"/>
    <x v="4"/>
  </r>
  <r>
    <x v="121"/>
    <n v="17.440000000000001"/>
    <n v="1.94"/>
    <x v="329"/>
    <n v="4154870"/>
    <x v="4"/>
  </r>
  <r>
    <x v="194"/>
    <n v="3.45"/>
    <n v="0.38"/>
    <x v="330"/>
    <n v="592399"/>
    <x v="4"/>
  </r>
  <r>
    <x v="351"/>
    <n v="8.74"/>
    <n v="0.96"/>
    <x v="331"/>
    <n v="1433232"/>
    <x v="4"/>
  </r>
  <r>
    <x v="352"/>
    <n v="10.84"/>
    <n v="1.19"/>
    <x v="332"/>
    <n v="244914"/>
    <x v="4"/>
  </r>
  <r>
    <x v="353"/>
    <n v="5.6"/>
    <n v="0.6"/>
    <x v="333"/>
    <n v="250667"/>
    <x v="4"/>
  </r>
  <r>
    <x v="52"/>
    <n v="8.64"/>
    <n v="0.92"/>
    <x v="334"/>
    <n v="98157"/>
    <x v="4"/>
  </r>
  <r>
    <x v="354"/>
    <n v="15.65"/>
    <n v="1.6"/>
    <x v="335"/>
    <n v="931258"/>
    <x v="4"/>
  </r>
  <r>
    <x v="113"/>
    <n v="3.4"/>
    <n v="0.34"/>
    <x v="336"/>
    <n v="78667"/>
    <x v="4"/>
  </r>
  <r>
    <x v="273"/>
    <n v="31.21"/>
    <n v="3.07"/>
    <x v="337"/>
    <n v="1276804"/>
    <x v="4"/>
  </r>
  <r>
    <x v="20"/>
    <n v="2.75"/>
    <n v="0.27"/>
    <x v="258"/>
    <n v="1553882"/>
    <x v="4"/>
  </r>
  <r>
    <x v="18"/>
    <n v="6.13"/>
    <n v="0.6"/>
    <x v="338"/>
    <n v="381207"/>
    <x v="4"/>
  </r>
  <r>
    <x v="355"/>
    <n v="25.37"/>
    <n v="2.46"/>
    <x v="339"/>
    <n v="573999"/>
    <x v="4"/>
  </r>
  <r>
    <x v="356"/>
    <n v="4.8499999999999996"/>
    <n v="0.47"/>
    <x v="340"/>
    <n v="8742"/>
    <x v="4"/>
  </r>
  <r>
    <x v="71"/>
    <n v="2.88"/>
    <n v="0.28000000000000003"/>
    <x v="341"/>
    <n v="2564459"/>
    <x v="4"/>
  </r>
  <r>
    <x v="357"/>
    <n v="22.1"/>
    <n v="2.1"/>
    <x v="30"/>
    <n v="2052955"/>
    <x v="4"/>
  </r>
  <r>
    <x v="250"/>
    <n v="15.1"/>
    <n v="1.43"/>
    <x v="342"/>
    <n v="462926"/>
    <x v="4"/>
  </r>
  <r>
    <x v="358"/>
    <n v="2.65"/>
    <n v="0.25"/>
    <x v="343"/>
    <n v="44344"/>
    <x v="4"/>
  </r>
  <r>
    <x v="359"/>
    <n v="8.2899999999999991"/>
    <n v="0.78"/>
    <x v="344"/>
    <n v="1196638"/>
    <x v="4"/>
  </r>
  <r>
    <x v="151"/>
    <n v="13.76"/>
    <n v="1.28"/>
    <x v="261"/>
    <n v="740566"/>
    <x v="4"/>
  </r>
  <r>
    <x v="225"/>
    <n v="19.940000000000001"/>
    <n v="1.85"/>
    <x v="345"/>
    <n v="79604"/>
    <x v="4"/>
  </r>
  <r>
    <x v="360"/>
    <n v="2.59"/>
    <n v="0.24"/>
    <x v="346"/>
    <n v="606187"/>
    <x v="4"/>
  </r>
  <r>
    <x v="107"/>
    <n v="7.67"/>
    <n v="0.71"/>
    <x v="347"/>
    <n v="44694"/>
    <x v="4"/>
  </r>
  <r>
    <x v="281"/>
    <n v="7.6"/>
    <n v="0.7"/>
    <x v="348"/>
    <n v="240287"/>
    <x v="4"/>
  </r>
  <r>
    <x v="361"/>
    <n v="6.95"/>
    <n v="0.64"/>
    <x v="348"/>
    <n v="532268"/>
    <x v="4"/>
  </r>
  <r>
    <x v="362"/>
    <n v="31.37"/>
    <n v="2.88"/>
    <x v="349"/>
    <n v="10277835"/>
    <x v="4"/>
  </r>
  <r>
    <x v="363"/>
    <n v="3.6"/>
    <n v="0.33"/>
    <x v="350"/>
    <n v="9423376"/>
    <x v="4"/>
  </r>
  <r>
    <x v="364"/>
    <n v="12.55"/>
    <n v="1.1499999999999999"/>
    <x v="350"/>
    <n v="62550"/>
    <x v="4"/>
  </r>
  <r>
    <x v="365"/>
    <n v="20.3"/>
    <n v="1.85"/>
    <x v="351"/>
    <n v="76996"/>
    <x v="4"/>
  </r>
  <r>
    <x v="366"/>
    <n v="13.74"/>
    <n v="1.25"/>
    <x v="352"/>
    <n v="1707980"/>
    <x v="4"/>
  </r>
  <r>
    <x v="37"/>
    <n v="2.86"/>
    <n v="0.26"/>
    <x v="110"/>
    <n v="29499"/>
    <x v="4"/>
  </r>
  <r>
    <x v="210"/>
    <n v="21.54"/>
    <n v="1.96"/>
    <x v="353"/>
    <n v="1966719"/>
    <x v="4"/>
  </r>
  <r>
    <x v="55"/>
    <n v="7.08"/>
    <n v="0.64"/>
    <x v="354"/>
    <n v="1770581"/>
    <x v="4"/>
  </r>
  <r>
    <x v="367"/>
    <n v="33.4"/>
    <n v="3"/>
    <x v="355"/>
    <n v="2113193"/>
    <x v="4"/>
  </r>
  <r>
    <x v="150"/>
    <n v="2.79"/>
    <n v="0.25"/>
    <x v="356"/>
    <n v="1289325"/>
    <x v="4"/>
  </r>
  <r>
    <x v="243"/>
    <n v="5.74"/>
    <n v="0.5"/>
    <x v="357"/>
    <n v="4220520"/>
    <x v="4"/>
  </r>
  <r>
    <x v="368"/>
    <n v="2.65"/>
    <n v="0.23"/>
    <x v="112"/>
    <n v="1083959"/>
    <x v="4"/>
  </r>
  <r>
    <x v="369"/>
    <n v="4.05"/>
    <n v="0.35"/>
    <x v="37"/>
    <n v="11231"/>
    <x v="4"/>
  </r>
  <r>
    <x v="188"/>
    <n v="3.38"/>
    <n v="0.28999999999999998"/>
    <x v="358"/>
    <n v="19145"/>
    <x v="4"/>
  </r>
  <r>
    <x v="370"/>
    <n v="16.91"/>
    <n v="1.44"/>
    <x v="38"/>
    <n v="585792"/>
    <x v="4"/>
  </r>
  <r>
    <x v="371"/>
    <n v="10.07"/>
    <n v="0.85"/>
    <x v="359"/>
    <n v="44258"/>
    <x v="4"/>
  </r>
  <r>
    <x v="372"/>
    <n v="11.98"/>
    <n v="1.01"/>
    <x v="360"/>
    <n v="118621"/>
    <x v="4"/>
  </r>
  <r>
    <x v="373"/>
    <n v="40.97"/>
    <n v="3.38"/>
    <x v="361"/>
    <n v="43949"/>
    <x v="4"/>
  </r>
  <r>
    <x v="374"/>
    <n v="28.39"/>
    <n v="2.34"/>
    <x v="362"/>
    <n v="21257"/>
    <x v="4"/>
  </r>
  <r>
    <x v="375"/>
    <n v="4.87"/>
    <n v="0.4"/>
    <x v="40"/>
    <n v="64780"/>
    <x v="4"/>
  </r>
  <r>
    <x v="376"/>
    <n v="7.83"/>
    <n v="0.64"/>
    <x v="363"/>
    <n v="2181993"/>
    <x v="4"/>
  </r>
  <r>
    <x v="143"/>
    <n v="5.78"/>
    <n v="0.46"/>
    <x v="46"/>
    <n v="516003"/>
    <x v="4"/>
  </r>
  <r>
    <x v="377"/>
    <n v="2.92"/>
    <n v="0.23"/>
    <x v="364"/>
    <n v="227034"/>
    <x v="4"/>
  </r>
  <r>
    <x v="378"/>
    <n v="4.4800000000000004"/>
    <n v="0.35"/>
    <x v="365"/>
    <n v="126429"/>
    <x v="4"/>
  </r>
  <r>
    <x v="193"/>
    <n v="8.9600000000000009"/>
    <n v="0.7"/>
    <x v="365"/>
    <n v="84350"/>
    <x v="4"/>
  </r>
  <r>
    <x v="379"/>
    <n v="11.55"/>
    <n v="0.9"/>
    <x v="366"/>
    <n v="797391"/>
    <x v="4"/>
  </r>
  <r>
    <x v="380"/>
    <n v="36.85"/>
    <n v="2.8"/>
    <x v="367"/>
    <n v="954401"/>
    <x v="4"/>
  </r>
  <r>
    <x v="381"/>
    <n v="5.95"/>
    <n v="0.45"/>
    <x v="368"/>
    <n v="161775"/>
    <x v="4"/>
  </r>
  <r>
    <x v="382"/>
    <n v="2.25"/>
    <n v="0.17"/>
    <x v="369"/>
    <n v="2278678"/>
    <x v="4"/>
  </r>
  <r>
    <x v="383"/>
    <n v="18.02"/>
    <n v="1.33"/>
    <x v="53"/>
    <n v="51049"/>
    <x v="4"/>
  </r>
  <r>
    <x v="384"/>
    <n v="9.86"/>
    <n v="0.73"/>
    <x v="370"/>
    <n v="779060"/>
    <x v="4"/>
  </r>
  <r>
    <x v="385"/>
    <n v="3.4"/>
    <n v="0.25"/>
    <x v="370"/>
    <n v="1272271"/>
    <x v="4"/>
  </r>
  <r>
    <x v="386"/>
    <n v="5.09"/>
    <n v="0.37"/>
    <x v="56"/>
    <n v="318177"/>
    <x v="4"/>
  </r>
  <r>
    <x v="387"/>
    <n v="39.35"/>
    <n v="2.86"/>
    <x v="56"/>
    <n v="170762"/>
    <x v="4"/>
  </r>
  <r>
    <x v="388"/>
    <n v="11.1"/>
    <n v="0.81"/>
    <x v="371"/>
    <n v="143593"/>
    <x v="4"/>
  </r>
  <r>
    <x v="389"/>
    <n v="24.33"/>
    <n v="1.76"/>
    <x v="372"/>
    <n v="191727"/>
    <x v="4"/>
  </r>
  <r>
    <x v="390"/>
    <n v="18.100000000000001"/>
    <n v="1.3"/>
    <x v="271"/>
    <n v="725629"/>
    <x v="4"/>
  </r>
  <r>
    <x v="391"/>
    <n v="221.88"/>
    <n v="15.74"/>
    <x v="373"/>
    <n v="5690582"/>
    <x v="4"/>
  </r>
  <r>
    <x v="392"/>
    <n v="12.1"/>
    <n v="0.85"/>
    <x v="118"/>
    <n v="608886"/>
    <x v="4"/>
  </r>
  <r>
    <x v="393"/>
    <n v="7.42"/>
    <n v="0.52"/>
    <x v="273"/>
    <n v="211506"/>
    <x v="4"/>
  </r>
  <r>
    <x v="394"/>
    <n v="30.36"/>
    <n v="2.12"/>
    <x v="374"/>
    <n v="1442548"/>
    <x v="4"/>
  </r>
  <r>
    <x v="395"/>
    <n v="4.46"/>
    <n v="0.31"/>
    <x v="208"/>
    <n v="265488"/>
    <x v="4"/>
  </r>
  <r>
    <x v="396"/>
    <n v="46.15"/>
    <n v="3.2"/>
    <x v="375"/>
    <n v="1146878"/>
    <x v="4"/>
  </r>
  <r>
    <x v="397"/>
    <n v="11.86"/>
    <n v="0.81"/>
    <x v="376"/>
    <n v="26024"/>
    <x v="4"/>
  </r>
  <r>
    <x v="398"/>
    <n v="2.25"/>
    <n v="0.15"/>
    <x v="69"/>
    <n v="217216"/>
    <x v="4"/>
  </r>
  <r>
    <x v="230"/>
    <n v="4.72"/>
    <n v="0.31"/>
    <x v="377"/>
    <n v="2830666"/>
    <x v="4"/>
  </r>
  <r>
    <x v="399"/>
    <n v="2.15"/>
    <n v="0.14000000000000001"/>
    <x v="72"/>
    <n v="63336"/>
    <x v="4"/>
  </r>
  <r>
    <x v="400"/>
    <n v="8.4600000000000009"/>
    <n v="0.55000000000000004"/>
    <x v="284"/>
    <n v="245665"/>
    <x v="4"/>
  </r>
  <r>
    <x v="401"/>
    <n v="3.86"/>
    <n v="0.25"/>
    <x v="378"/>
    <n v="1091602"/>
    <x v="4"/>
  </r>
  <r>
    <x v="402"/>
    <n v="21.95"/>
    <n v="1.42"/>
    <x v="74"/>
    <n v="1649828"/>
    <x v="4"/>
  </r>
  <r>
    <x v="234"/>
    <n v="4.18"/>
    <n v="0.27"/>
    <x v="213"/>
    <n v="185364"/>
    <x v="4"/>
  </r>
  <r>
    <x v="403"/>
    <n v="3.9"/>
    <n v="0.25"/>
    <x v="379"/>
    <n v="510904"/>
    <x v="4"/>
  </r>
  <r>
    <x v="404"/>
    <n v="19.5"/>
    <n v="1.25"/>
    <x v="379"/>
    <n v="1853458"/>
    <x v="4"/>
  </r>
  <r>
    <x v="405"/>
    <n v="31.5"/>
    <n v="2"/>
    <x v="77"/>
    <n v="13214"/>
    <x v="4"/>
  </r>
  <r>
    <x v="406"/>
    <n v="3.15"/>
    <n v="0.2"/>
    <x v="77"/>
    <n v="960284"/>
    <x v="4"/>
  </r>
  <r>
    <x v="183"/>
    <n v="11.74"/>
    <n v="0.74"/>
    <x v="380"/>
    <n v="3087"/>
    <x v="4"/>
  </r>
  <r>
    <x v="407"/>
    <n v="16.7"/>
    <n v="1.05"/>
    <x v="381"/>
    <n v="4307"/>
    <x v="4"/>
  </r>
  <r>
    <x v="408"/>
    <n v="4.1399999999999997"/>
    <n v="0.26"/>
    <x v="80"/>
    <n v="710495"/>
    <x v="4"/>
  </r>
  <r>
    <x v="248"/>
    <n v="4.34"/>
    <n v="0.97"/>
    <x v="382"/>
    <n v="25961412"/>
    <x v="5"/>
  </r>
  <r>
    <x v="409"/>
    <n v="26.34"/>
    <n v="5.69"/>
    <x v="383"/>
    <n v="539989"/>
    <x v="5"/>
  </r>
  <r>
    <x v="186"/>
    <n v="27.3"/>
    <n v="5.8"/>
    <x v="384"/>
    <n v="10407493"/>
    <x v="5"/>
  </r>
  <r>
    <x v="5"/>
    <n v="19.48"/>
    <n v="3.58"/>
    <x v="385"/>
    <n v="247888"/>
    <x v="5"/>
  </r>
  <r>
    <x v="410"/>
    <n v="6.54"/>
    <n v="1.07"/>
    <x v="386"/>
    <n v="537625"/>
    <x v="5"/>
  </r>
  <r>
    <x v="411"/>
    <n v="8.09"/>
    <n v="1.21"/>
    <x v="387"/>
    <n v="70028929"/>
    <x v="5"/>
  </r>
  <r>
    <x v="40"/>
    <n v="16.48"/>
    <n v="2.14"/>
    <x v="388"/>
    <n v="487097"/>
    <x v="5"/>
  </r>
  <r>
    <x v="412"/>
    <n v="16.399999999999999"/>
    <n v="2.04"/>
    <x v="389"/>
    <n v="57978211"/>
    <x v="5"/>
  </r>
  <r>
    <x v="413"/>
    <n v="11.28"/>
    <n v="1.28"/>
    <x v="390"/>
    <n v="15810"/>
    <x v="5"/>
  </r>
  <r>
    <x v="414"/>
    <n v="4.67"/>
    <n v="0.52"/>
    <x v="391"/>
    <n v="244928"/>
    <x v="5"/>
  </r>
  <r>
    <x v="415"/>
    <n v="11.8"/>
    <n v="1.3"/>
    <x v="330"/>
    <n v="350313"/>
    <x v="5"/>
  </r>
  <r>
    <x v="416"/>
    <n v="5.56"/>
    <n v="0.6"/>
    <x v="392"/>
    <n v="2720702"/>
    <x v="5"/>
  </r>
  <r>
    <x v="417"/>
    <n v="9.33"/>
    <n v="1"/>
    <x v="333"/>
    <n v="300991"/>
    <x v="5"/>
  </r>
  <r>
    <x v="418"/>
    <n v="14.36"/>
    <n v="1.53"/>
    <x v="393"/>
    <n v="5569"/>
    <x v="5"/>
  </r>
  <r>
    <x v="419"/>
    <n v="8.75"/>
    <n v="0.93"/>
    <x v="394"/>
    <n v="6622365"/>
    <x v="5"/>
  </r>
  <r>
    <x v="420"/>
    <n v="8.49"/>
    <n v="0.89"/>
    <x v="395"/>
    <n v="300105"/>
    <x v="5"/>
  </r>
  <r>
    <x v="421"/>
    <n v="2.2999999999999998"/>
    <n v="0.21"/>
    <x v="396"/>
    <n v="2996752"/>
    <x v="5"/>
  </r>
  <r>
    <x v="422"/>
    <n v="43.35"/>
    <n v="3.85"/>
    <x v="397"/>
    <n v="56325112"/>
    <x v="5"/>
  </r>
  <r>
    <x v="224"/>
    <n v="2.2000000000000002"/>
    <n v="0.19"/>
    <x v="398"/>
    <n v="339160"/>
    <x v="5"/>
  </r>
  <r>
    <x v="423"/>
    <n v="18.29"/>
    <n v="1.57"/>
    <x v="358"/>
    <n v="258526"/>
    <x v="5"/>
  </r>
  <r>
    <x v="424"/>
    <n v="35.82"/>
    <n v="3.05"/>
    <x v="38"/>
    <n v="3792443"/>
    <x v="5"/>
  </r>
  <r>
    <x v="8"/>
    <n v="45.69"/>
    <n v="3.78"/>
    <x v="399"/>
    <n v="2401215"/>
    <x v="5"/>
  </r>
  <r>
    <x v="425"/>
    <n v="6.05"/>
    <n v="0.5"/>
    <x v="400"/>
    <n v="85194"/>
    <x v="5"/>
  </r>
  <r>
    <x v="23"/>
    <n v="3.7"/>
    <n v="0.3"/>
    <x v="401"/>
    <n v="5115"/>
    <x v="5"/>
  </r>
  <r>
    <x v="193"/>
    <n v="9.75"/>
    <n v="0.79"/>
    <x v="401"/>
    <n v="685298"/>
    <x v="5"/>
  </r>
  <r>
    <x v="136"/>
    <n v="36"/>
    <n v="2.84"/>
    <x v="402"/>
    <n v="49027"/>
    <x v="5"/>
  </r>
  <r>
    <x v="426"/>
    <n v="13.19"/>
    <n v="0.99"/>
    <x v="403"/>
    <n v="3342846"/>
    <x v="5"/>
  </r>
  <r>
    <x v="300"/>
    <n v="30.84"/>
    <n v="2.29"/>
    <x v="404"/>
    <n v="34248"/>
    <x v="5"/>
  </r>
  <r>
    <x v="327"/>
    <n v="4.3899999999999997"/>
    <n v="0.31"/>
    <x v="206"/>
    <n v="5347963"/>
    <x v="5"/>
  </r>
  <r>
    <x v="427"/>
    <n v="14.5"/>
    <n v="1"/>
    <x v="405"/>
    <n v="1551564"/>
    <x v="5"/>
  </r>
  <r>
    <x v="428"/>
    <n v="40.97"/>
    <n v="2.81"/>
    <x v="274"/>
    <n v="22156"/>
    <x v="5"/>
  </r>
  <r>
    <x v="429"/>
    <n v="9.11"/>
    <n v="0.61"/>
    <x v="277"/>
    <n v="81769"/>
    <x v="5"/>
  </r>
  <r>
    <x v="430"/>
    <n v="16.600000000000001"/>
    <n v="1.1100000000000001"/>
    <x v="123"/>
    <n v="2520236"/>
    <x v="5"/>
  </r>
  <r>
    <x v="431"/>
    <n v="35.950000000000003"/>
    <n v="2.35"/>
    <x v="283"/>
    <n v="219372"/>
    <x v="5"/>
  </r>
  <r>
    <x v="432"/>
    <n v="63.99"/>
    <n v="4.09"/>
    <x v="406"/>
    <n v="5979276"/>
    <x v="5"/>
  </r>
  <r>
    <x v="433"/>
    <n v="8.4600000000000009"/>
    <n v="0.54"/>
    <x v="215"/>
    <n v="148687"/>
    <x v="5"/>
  </r>
  <r>
    <x v="434"/>
    <n v="14.43"/>
    <n v="0.91"/>
    <x v="380"/>
    <n v="20569"/>
    <x v="5"/>
  </r>
  <r>
    <x v="435"/>
    <n v="2.25"/>
    <n v="0.14000000000000001"/>
    <x v="82"/>
    <n v="22930"/>
    <x v="5"/>
  </r>
  <r>
    <x v="436"/>
    <n v="10.14"/>
    <n v="0.63"/>
    <x v="127"/>
    <n v="99024"/>
    <x v="5"/>
  </r>
  <r>
    <x v="437"/>
    <n v="121.19"/>
    <n v="7.38"/>
    <x v="407"/>
    <n v="630915"/>
    <x v="5"/>
  </r>
  <r>
    <x v="438"/>
    <n v="20.25"/>
    <n v="1.23"/>
    <x v="132"/>
    <n v="155669"/>
    <x v="5"/>
  </r>
  <r>
    <x v="439"/>
    <n v="2.15"/>
    <n v="0.13"/>
    <x v="408"/>
    <n v="435947"/>
    <x v="5"/>
  </r>
  <r>
    <x v="440"/>
    <n v="16.52"/>
    <n v="0.98"/>
    <x v="91"/>
    <n v="23202308"/>
    <x v="5"/>
  </r>
  <r>
    <x v="441"/>
    <n v="14.55"/>
    <n v="0.85"/>
    <x v="409"/>
    <n v="10107"/>
    <x v="5"/>
  </r>
  <r>
    <x v="442"/>
    <n v="10.83"/>
    <n v="0.62"/>
    <x v="410"/>
    <n v="294985"/>
    <x v="5"/>
  </r>
  <r>
    <x v="443"/>
    <n v="7.22"/>
    <n v="0.41"/>
    <x v="138"/>
    <n v="1049713"/>
    <x v="5"/>
  </r>
  <r>
    <x v="267"/>
    <n v="7.1"/>
    <n v="0.4"/>
    <x v="221"/>
    <n v="40621"/>
    <x v="5"/>
  </r>
  <r>
    <x v="444"/>
    <n v="5.34"/>
    <n v="0.3"/>
    <x v="411"/>
    <n v="1787368"/>
    <x v="5"/>
  </r>
  <r>
    <x v="445"/>
    <n v="23.25"/>
    <n v="1.3"/>
    <x v="295"/>
    <n v="1150790"/>
    <x v="5"/>
  </r>
  <r>
    <x v="357"/>
    <n v="23.4"/>
    <n v="1.3"/>
    <x v="297"/>
    <n v="843801"/>
    <x v="5"/>
  </r>
  <r>
    <x v="189"/>
    <n v="10.82"/>
    <n v="0.59"/>
    <x v="412"/>
    <n v="3315872"/>
    <x v="5"/>
  </r>
  <r>
    <x v="446"/>
    <n v="4.78"/>
    <n v="0.26"/>
    <x v="413"/>
    <n v="615165"/>
    <x v="5"/>
  </r>
  <r>
    <x v="447"/>
    <n v="9.6"/>
    <n v="0.52"/>
    <x v="414"/>
    <n v="96367"/>
    <x v="5"/>
  </r>
  <r>
    <x v="21"/>
    <n v="53.39"/>
    <n v="2.89"/>
    <x v="415"/>
    <n v="1322641"/>
    <x v="5"/>
  </r>
  <r>
    <x v="130"/>
    <n v="3.7"/>
    <n v="0.2"/>
    <x v="416"/>
    <n v="23414"/>
    <x v="5"/>
  </r>
  <r>
    <x v="448"/>
    <n v="8.4"/>
    <n v="0.45"/>
    <x v="299"/>
    <n v="113863"/>
    <x v="5"/>
  </r>
  <r>
    <x v="449"/>
    <n v="11.63"/>
    <n v="0.62"/>
    <x v="227"/>
    <n v="27628"/>
    <x v="5"/>
  </r>
  <r>
    <x v="450"/>
    <n v="21.38"/>
    <n v="1.1299999999999999"/>
    <x v="417"/>
    <n v="6774"/>
    <x v="5"/>
  </r>
  <r>
    <x v="256"/>
    <n v="3.98"/>
    <n v="0.21"/>
    <x v="418"/>
    <n v="387202"/>
    <x v="5"/>
  </r>
  <r>
    <x v="122"/>
    <n v="6.65"/>
    <n v="0.35"/>
    <x v="142"/>
    <n v="200897"/>
    <x v="5"/>
  </r>
  <r>
    <x v="451"/>
    <n v="15.25"/>
    <n v="0.8"/>
    <x v="302"/>
    <n v="9654"/>
    <x v="5"/>
  </r>
  <r>
    <x v="277"/>
    <n v="40.83"/>
    <n v="2.13"/>
    <x v="419"/>
    <n v="119155"/>
    <x v="5"/>
  </r>
  <r>
    <x v="333"/>
    <n v="3.26"/>
    <n v="0.17"/>
    <x v="419"/>
    <n v="12895638"/>
    <x v="5"/>
  </r>
  <r>
    <x v="452"/>
    <n v="62.27"/>
    <n v="3.17"/>
    <x v="230"/>
    <n v="62556"/>
    <x v="5"/>
  </r>
  <r>
    <x v="343"/>
    <n v="3.16"/>
    <n v="0.16"/>
    <x v="420"/>
    <n v="1389417"/>
    <x v="5"/>
  </r>
  <r>
    <x v="346"/>
    <n v="6.74"/>
    <n v="0.34"/>
    <x v="421"/>
    <n v="1227535"/>
    <x v="5"/>
  </r>
  <r>
    <x v="453"/>
    <n v="18.25"/>
    <n v="0.92"/>
    <x v="421"/>
    <n v="1151703"/>
    <x v="5"/>
  </r>
  <r>
    <x v="454"/>
    <n v="92.5"/>
    <n v="4.6500000000000004"/>
    <x v="422"/>
    <n v="51032"/>
    <x v="5"/>
  </r>
  <r>
    <x v="455"/>
    <n v="9.98"/>
    <n v="0.5"/>
    <x v="147"/>
    <n v="575346"/>
    <x v="5"/>
  </r>
  <r>
    <x v="456"/>
    <n v="8.18"/>
    <n v="0.4"/>
    <x v="423"/>
    <n v="9754"/>
    <x v="5"/>
  </r>
  <r>
    <x v="457"/>
    <n v="12.76"/>
    <n v="0.62"/>
    <x v="424"/>
    <n v="9544"/>
    <x v="5"/>
  </r>
  <r>
    <x v="376"/>
    <n v="8.23"/>
    <n v="0.4"/>
    <x v="233"/>
    <n v="1133180"/>
    <x v="5"/>
  </r>
  <r>
    <x v="273"/>
    <n v="32.799999999999997"/>
    <n v="1.59"/>
    <x v="425"/>
    <n v="697279"/>
    <x v="5"/>
  </r>
  <r>
    <x v="458"/>
    <n v="99.87"/>
    <n v="4.82"/>
    <x v="234"/>
    <n v="2593"/>
    <x v="5"/>
  </r>
  <r>
    <x v="459"/>
    <n v="2.91"/>
    <n v="0.14000000000000001"/>
    <x v="426"/>
    <n v="3041591"/>
    <x v="5"/>
  </r>
  <r>
    <x v="299"/>
    <n v="16.75"/>
    <n v="0.8"/>
    <x v="151"/>
    <n v="8896"/>
    <x v="5"/>
  </r>
  <r>
    <x v="340"/>
    <n v="5.93"/>
    <n v="0.28000000000000003"/>
    <x v="427"/>
    <n v="111895"/>
    <x v="5"/>
  </r>
  <r>
    <x v="460"/>
    <n v="5.39"/>
    <n v="0.25"/>
    <x v="428"/>
    <n v="4256"/>
    <x v="5"/>
  </r>
  <r>
    <x v="461"/>
    <n v="15.1"/>
    <n v="0.7"/>
    <x v="428"/>
    <n v="46908"/>
    <x v="5"/>
  </r>
  <r>
    <x v="462"/>
    <n v="12.33"/>
    <n v="0.56999999999999995"/>
    <x v="309"/>
    <n v="5510352"/>
    <x v="5"/>
  </r>
  <r>
    <x v="463"/>
    <n v="24"/>
    <n v="1.1000000000000001"/>
    <x v="162"/>
    <n v="34384"/>
    <x v="5"/>
  </r>
  <r>
    <x v="464"/>
    <n v="22.62"/>
    <n v="1.03"/>
    <x v="429"/>
    <n v="1388825"/>
    <x v="5"/>
  </r>
  <r>
    <x v="138"/>
    <n v="18.5"/>
    <n v="0.83"/>
    <x v="165"/>
    <n v="46513"/>
    <x v="5"/>
  </r>
  <r>
    <x v="465"/>
    <n v="9.14"/>
    <n v="0.41"/>
    <x v="165"/>
    <n v="5446048"/>
    <x v="5"/>
  </r>
  <r>
    <x v="466"/>
    <n v="8.8800000000000008"/>
    <n v="0.4"/>
    <x v="430"/>
    <n v="2488"/>
    <x v="5"/>
  </r>
  <r>
    <x v="467"/>
    <n v="7.85"/>
    <n v="0.35"/>
    <x v="166"/>
    <n v="5167"/>
    <x v="5"/>
  </r>
  <r>
    <x v="468"/>
    <n v="10.8"/>
    <n v="0.48"/>
    <x v="167"/>
    <n v="776012"/>
    <x v="5"/>
  </r>
  <r>
    <x v="469"/>
    <n v="42.61"/>
    <n v="1.89"/>
    <x v="168"/>
    <n v="2894843"/>
    <x v="5"/>
  </r>
  <r>
    <x v="470"/>
    <n v="3.17"/>
    <n v="0.14000000000000001"/>
    <x v="312"/>
    <n v="18087"/>
    <x v="5"/>
  </r>
  <r>
    <x v="471"/>
    <n v="20.239999999999998"/>
    <n v="0.89"/>
    <x v="431"/>
    <n v="1339314"/>
    <x v="5"/>
  </r>
  <r>
    <x v="472"/>
    <n v="47.8"/>
    <n v="2.1"/>
    <x v="431"/>
    <n v="4215486"/>
    <x v="5"/>
  </r>
  <r>
    <x v="137"/>
    <n v="18.21"/>
    <n v="0.8"/>
    <x v="431"/>
    <n v="131977"/>
    <x v="5"/>
  </r>
  <r>
    <x v="262"/>
    <n v="29.52"/>
    <n v="1.29"/>
    <x v="172"/>
    <n v="1682069"/>
    <x v="5"/>
  </r>
  <r>
    <x v="473"/>
    <n v="13.75"/>
    <n v="0.6"/>
    <x v="432"/>
    <n v="13486"/>
    <x v="5"/>
  </r>
  <r>
    <x v="294"/>
    <n v="15.84"/>
    <n v="0.69"/>
    <x v="173"/>
    <n v="83507"/>
    <x v="5"/>
  </r>
  <r>
    <x v="474"/>
    <n v="4.03"/>
    <n v="0.18"/>
    <x v="173"/>
    <n v="21862"/>
    <x v="5"/>
  </r>
  <r>
    <x v="475"/>
    <n v="19.440000000000001"/>
    <n v="0.84"/>
    <x v="175"/>
    <n v="327878"/>
    <x v="5"/>
  </r>
  <r>
    <x v="476"/>
    <n v="17.5"/>
    <n v="0.75"/>
    <x v="433"/>
    <n v="413449"/>
    <x v="5"/>
  </r>
  <r>
    <x v="477"/>
    <n v="4.4800000000000004"/>
    <n v="0.19"/>
    <x v="434"/>
    <n v="319446"/>
    <x v="5"/>
  </r>
  <r>
    <x v="347"/>
    <n v="27.63"/>
    <n v="1.1599999999999999"/>
    <x v="435"/>
    <n v="188516"/>
    <x v="5"/>
  </r>
  <r>
    <x v="478"/>
    <n v="39.75"/>
    <n v="8.86"/>
    <x v="436"/>
    <n v="11587788"/>
    <x v="6"/>
  </r>
  <r>
    <x v="479"/>
    <n v="42"/>
    <n v="8.9700000000000006"/>
    <x v="437"/>
    <n v="14014620"/>
    <x v="6"/>
  </r>
  <r>
    <x v="480"/>
    <n v="3.91"/>
    <n v="0.7"/>
    <x v="438"/>
    <n v="838398"/>
    <x v="6"/>
  </r>
  <r>
    <x v="481"/>
    <n v="28.79"/>
    <n v="4.0199999999999996"/>
    <x v="439"/>
    <n v="1478474"/>
    <x v="6"/>
  </r>
  <r>
    <x v="414"/>
    <n v="5.4"/>
    <n v="0.73"/>
    <x v="440"/>
    <n v="329927"/>
    <x v="6"/>
  </r>
  <r>
    <x v="482"/>
    <n v="3.97"/>
    <n v="0.53"/>
    <x v="441"/>
    <n v="24502"/>
    <x v="6"/>
  </r>
  <r>
    <x v="260"/>
    <n v="13.17"/>
    <n v="1.74"/>
    <x v="442"/>
    <n v="70210"/>
    <x v="6"/>
  </r>
  <r>
    <x v="420"/>
    <n v="9.7100000000000009"/>
    <n v="1.22"/>
    <x v="443"/>
    <n v="483567"/>
    <x v="6"/>
  </r>
  <r>
    <x v="483"/>
    <n v="4.4000000000000004"/>
    <n v="0.5"/>
    <x v="444"/>
    <n v="73059"/>
    <x v="6"/>
  </r>
  <r>
    <x v="484"/>
    <n v="64.540000000000006"/>
    <n v="6.64"/>
    <x v="445"/>
    <n v="2801771"/>
    <x v="6"/>
  </r>
  <r>
    <x v="485"/>
    <n v="16.18"/>
    <n v="1.56"/>
    <x v="108"/>
    <n v="24533"/>
    <x v="6"/>
  </r>
  <r>
    <x v="385"/>
    <n v="3.7"/>
    <n v="0.35"/>
    <x v="31"/>
    <n v="1300500"/>
    <x v="6"/>
  </r>
  <r>
    <x v="486"/>
    <n v="7.6"/>
    <n v="0.7"/>
    <x v="348"/>
    <n v="246849"/>
    <x v="6"/>
  </r>
  <r>
    <x v="487"/>
    <n v="31.94"/>
    <n v="2.92"/>
    <x v="446"/>
    <n v="192974"/>
    <x v="6"/>
  </r>
  <r>
    <x v="101"/>
    <n v="26.03"/>
    <n v="2.23"/>
    <x v="447"/>
    <n v="24232"/>
    <x v="6"/>
  </r>
  <r>
    <x v="488"/>
    <n v="3.53"/>
    <n v="0.3"/>
    <x v="448"/>
    <n v="2500623"/>
    <x v="6"/>
  </r>
  <r>
    <x v="339"/>
    <n v="30.38"/>
    <n v="2.48"/>
    <x v="449"/>
    <n v="3252619"/>
    <x v="6"/>
  </r>
  <r>
    <x v="489"/>
    <n v="38.200000000000003"/>
    <n v="2.82"/>
    <x v="53"/>
    <n v="488692"/>
    <x v="6"/>
  </r>
  <r>
    <x v="490"/>
    <n v="3.45"/>
    <n v="0.25"/>
    <x v="205"/>
    <n v="2981"/>
    <x v="6"/>
  </r>
  <r>
    <x v="208"/>
    <n v="3.04"/>
    <n v="0.22"/>
    <x v="372"/>
    <n v="241623"/>
    <x v="6"/>
  </r>
  <r>
    <x v="347"/>
    <n v="29.76"/>
    <n v="2.13"/>
    <x v="450"/>
    <n v="307860"/>
    <x v="6"/>
  </r>
  <r>
    <x v="491"/>
    <n v="31.85"/>
    <n v="2.27"/>
    <x v="117"/>
    <n v="412336"/>
    <x v="6"/>
  </r>
  <r>
    <x v="492"/>
    <n v="49.7"/>
    <n v="3.53"/>
    <x v="451"/>
    <n v="394536"/>
    <x v="6"/>
  </r>
  <r>
    <x v="493"/>
    <n v="8.0399999999999991"/>
    <n v="0.56999999999999995"/>
    <x v="60"/>
    <n v="3508032"/>
    <x v="6"/>
  </r>
  <r>
    <x v="118"/>
    <n v="40.35"/>
    <n v="2.8"/>
    <x v="63"/>
    <n v="296971"/>
    <x v="6"/>
  </r>
  <r>
    <x v="494"/>
    <n v="127.43"/>
    <n v="8.68"/>
    <x v="121"/>
    <n v="2427625"/>
    <x v="6"/>
  </r>
  <r>
    <x v="495"/>
    <n v="19.239999999999998"/>
    <n v="1.3"/>
    <x v="210"/>
    <n v="50131"/>
    <x v="6"/>
  </r>
  <r>
    <x v="496"/>
    <n v="5.19"/>
    <n v="0.35"/>
    <x v="452"/>
    <n v="1127199"/>
    <x v="6"/>
  </r>
  <r>
    <x v="497"/>
    <n v="14.72"/>
    <n v="0.99"/>
    <x v="453"/>
    <n v="3880"/>
    <x v="6"/>
  </r>
  <r>
    <x v="498"/>
    <n v="32.28"/>
    <n v="2.16"/>
    <x v="123"/>
    <n v="849464"/>
    <x v="6"/>
  </r>
  <r>
    <x v="499"/>
    <n v="2.31"/>
    <n v="0.15"/>
    <x v="454"/>
    <n v="37878"/>
    <x v="6"/>
  </r>
  <r>
    <x v="500"/>
    <n v="51.3"/>
    <n v="3.28"/>
    <x v="406"/>
    <n v="3554462"/>
    <x v="6"/>
  </r>
  <r>
    <x v="47"/>
    <n v="5.95"/>
    <n v="0.38"/>
    <x v="286"/>
    <n v="10800"/>
    <x v="6"/>
  </r>
  <r>
    <x v="501"/>
    <n v="8.33"/>
    <n v="0.53"/>
    <x v="455"/>
    <n v="110767"/>
    <x v="6"/>
  </r>
  <r>
    <x v="502"/>
    <n v="27.6"/>
    <n v="1.76"/>
    <x v="455"/>
    <n v="16558"/>
    <x v="6"/>
  </r>
  <r>
    <x v="503"/>
    <n v="22.16"/>
    <n v="1.38"/>
    <x v="82"/>
    <n v="434918"/>
    <x v="6"/>
  </r>
  <r>
    <x v="504"/>
    <n v="8.0500000000000007"/>
    <n v="0.5"/>
    <x v="127"/>
    <n v="3040361"/>
    <x v="6"/>
  </r>
  <r>
    <x v="505"/>
    <n v="9.2200000000000006"/>
    <n v="0.56999999999999995"/>
    <x v="84"/>
    <n v="44074"/>
    <x v="6"/>
  </r>
  <r>
    <x v="506"/>
    <n v="48.65"/>
    <n v="3"/>
    <x v="129"/>
    <n v="2136780"/>
    <x v="6"/>
  </r>
  <r>
    <x v="507"/>
    <n v="3.1"/>
    <n v="0.19"/>
    <x v="456"/>
    <n v="15052"/>
    <x v="6"/>
  </r>
  <r>
    <x v="231"/>
    <n v="8.58"/>
    <n v="0.52"/>
    <x v="457"/>
    <n v="4473"/>
    <x v="6"/>
  </r>
  <r>
    <x v="508"/>
    <n v="115.97"/>
    <n v="6.97"/>
    <x v="458"/>
    <n v="2554849"/>
    <x v="6"/>
  </r>
  <r>
    <x v="48"/>
    <n v="2.84"/>
    <n v="0.17"/>
    <x v="87"/>
    <n v="116085"/>
    <x v="6"/>
  </r>
  <r>
    <x v="509"/>
    <n v="7.55"/>
    <n v="0.45"/>
    <x v="89"/>
    <n v="177295"/>
    <x v="6"/>
  </r>
  <r>
    <x v="510"/>
    <n v="3.54"/>
    <n v="0.21"/>
    <x v="91"/>
    <n v="39264"/>
    <x v="6"/>
  </r>
  <r>
    <x v="511"/>
    <n v="30.51"/>
    <n v="1.8"/>
    <x v="136"/>
    <n v="432716"/>
    <x v="6"/>
  </r>
  <r>
    <x v="512"/>
    <n v="2.5499999999999998"/>
    <n v="0.15"/>
    <x v="288"/>
    <n v="4316"/>
    <x v="6"/>
  </r>
  <r>
    <x v="318"/>
    <n v="44.92"/>
    <n v="2.63"/>
    <x v="290"/>
    <n v="787232"/>
    <x v="6"/>
  </r>
  <r>
    <x v="442"/>
    <n v="11.5"/>
    <n v="0.67"/>
    <x v="216"/>
    <n v="217501"/>
    <x v="6"/>
  </r>
  <r>
    <x v="513"/>
    <n v="3.09"/>
    <n v="0.18"/>
    <x v="216"/>
    <n v="731330"/>
    <x v="6"/>
  </r>
  <r>
    <x v="514"/>
    <n v="29.21"/>
    <n v="1.7"/>
    <x v="459"/>
    <n v="209059"/>
    <x v="6"/>
  </r>
  <r>
    <x v="515"/>
    <n v="2.2599999999999998"/>
    <n v="0.13"/>
    <x v="291"/>
    <n v="14718"/>
    <x v="6"/>
  </r>
  <r>
    <x v="155"/>
    <n v="7"/>
    <n v="0.4"/>
    <x v="460"/>
    <n v="143241"/>
    <x v="6"/>
  </r>
  <r>
    <x v="305"/>
    <n v="4.38"/>
    <n v="0.25"/>
    <x v="460"/>
    <n v="7353"/>
    <x v="6"/>
  </r>
  <r>
    <x v="516"/>
    <n v="43.52"/>
    <n v="2.48"/>
    <x v="218"/>
    <n v="248609"/>
    <x v="6"/>
  </r>
  <r>
    <x v="517"/>
    <n v="28.47"/>
    <n v="1.62"/>
    <x v="293"/>
    <n v="2538238"/>
    <x v="6"/>
  </r>
  <r>
    <x v="518"/>
    <n v="2.14"/>
    <n v="0.12"/>
    <x v="294"/>
    <n v="2577271"/>
    <x v="6"/>
  </r>
  <r>
    <x v="519"/>
    <n v="4.3600000000000003"/>
    <n v="0.24"/>
    <x v="461"/>
    <n v="1625490"/>
    <x v="6"/>
  </r>
  <r>
    <x v="520"/>
    <n v="41.23"/>
    <n v="2.2599999999999998"/>
    <x v="140"/>
    <n v="6346438"/>
    <x v="6"/>
  </r>
  <r>
    <x v="521"/>
    <n v="5.04"/>
    <n v="0.27"/>
    <x v="462"/>
    <n v="2525"/>
    <x v="6"/>
  </r>
  <r>
    <x v="20"/>
    <n v="2.77"/>
    <n v="0.15"/>
    <x v="414"/>
    <n v="688601"/>
    <x v="6"/>
  </r>
  <r>
    <x v="330"/>
    <n v="19.239999999999998"/>
    <n v="1.04"/>
    <x v="416"/>
    <n v="43556"/>
    <x v="6"/>
  </r>
  <r>
    <x v="249"/>
    <n v="57.69"/>
    <n v="3.11"/>
    <x v="463"/>
    <n v="17070439"/>
    <x v="6"/>
  </r>
  <r>
    <x v="522"/>
    <n v="4.6500000000000004"/>
    <n v="0.25"/>
    <x v="226"/>
    <n v="257218"/>
    <x v="6"/>
  </r>
  <r>
    <x v="271"/>
    <n v="6.53"/>
    <n v="0.35"/>
    <x v="464"/>
    <n v="73459"/>
    <x v="6"/>
  </r>
  <r>
    <x v="124"/>
    <n v="4.3"/>
    <n v="0.23"/>
    <x v="141"/>
    <n v="16974"/>
    <x v="6"/>
  </r>
  <r>
    <x v="523"/>
    <n v="85.16"/>
    <n v="4.55"/>
    <x v="465"/>
    <n v="1494488"/>
    <x v="6"/>
  </r>
  <r>
    <x v="331"/>
    <n v="28.35"/>
    <n v="1.51"/>
    <x v="227"/>
    <n v="336094"/>
    <x v="6"/>
  </r>
  <r>
    <x v="524"/>
    <n v="49.39"/>
    <n v="2.62"/>
    <x v="466"/>
    <n v="545035"/>
    <x v="6"/>
  </r>
  <r>
    <x v="525"/>
    <n v="16.87"/>
    <n v="0.89"/>
    <x v="418"/>
    <n v="575209"/>
    <x v="6"/>
  </r>
  <r>
    <x v="251"/>
    <n v="8.0500000000000007"/>
    <n v="0.42"/>
    <x v="419"/>
    <n v="2715042"/>
    <x v="6"/>
  </r>
  <r>
    <x v="526"/>
    <n v="40.799999999999997"/>
    <n v="2.13"/>
    <x v="467"/>
    <n v="585122"/>
    <x v="6"/>
  </r>
  <r>
    <x v="527"/>
    <n v="2.69"/>
    <n v="0.14000000000000001"/>
    <x v="467"/>
    <n v="87609"/>
    <x v="6"/>
  </r>
  <r>
    <x v="528"/>
    <n v="14.61"/>
    <n v="0.76"/>
    <x v="467"/>
    <n v="4657"/>
    <x v="6"/>
  </r>
  <r>
    <x v="21"/>
    <n v="56.3"/>
    <n v="2.91"/>
    <x v="143"/>
    <n v="795699"/>
    <x v="6"/>
  </r>
  <r>
    <x v="137"/>
    <n v="19.2"/>
    <n v="0.99"/>
    <x v="468"/>
    <n v="206006"/>
    <x v="6"/>
  </r>
  <r>
    <x v="32"/>
    <n v="2.73"/>
    <n v="0.14000000000000001"/>
    <x v="229"/>
    <n v="125934"/>
    <x v="6"/>
  </r>
  <r>
    <x v="529"/>
    <n v="49.7"/>
    <n v="2.5"/>
    <x v="469"/>
    <n v="1405713"/>
    <x v="6"/>
  </r>
  <r>
    <x v="213"/>
    <n v="15"/>
    <n v="0.75"/>
    <x v="148"/>
    <n v="74291"/>
    <x v="6"/>
  </r>
  <r>
    <x v="530"/>
    <n v="3"/>
    <n v="0.15"/>
    <x v="148"/>
    <n v="38028"/>
    <x v="6"/>
  </r>
  <r>
    <x v="531"/>
    <n v="15.24"/>
    <n v="0.76"/>
    <x v="470"/>
    <n v="12478"/>
    <x v="6"/>
  </r>
  <r>
    <x v="532"/>
    <n v="172.17"/>
    <n v="8.56"/>
    <x v="231"/>
    <n v="641476"/>
    <x v="6"/>
  </r>
  <r>
    <x v="533"/>
    <n v="153.11000000000001"/>
    <n v="7.49"/>
    <x v="232"/>
    <n v="1898221"/>
    <x v="6"/>
  </r>
  <r>
    <x v="534"/>
    <n v="23.75"/>
    <n v="1.1499999999999999"/>
    <x v="425"/>
    <n v="190241"/>
    <x v="6"/>
  </r>
  <r>
    <x v="287"/>
    <n v="4.3499999999999996"/>
    <n v="0.21"/>
    <x v="234"/>
    <n v="6507"/>
    <x v="6"/>
  </r>
  <r>
    <x v="535"/>
    <n v="7.25"/>
    <n v="0.35"/>
    <x v="234"/>
    <n v="41184"/>
    <x v="6"/>
  </r>
  <r>
    <x v="536"/>
    <n v="2.1"/>
    <n v="0.1"/>
    <x v="152"/>
    <n v="300771"/>
    <x v="6"/>
  </r>
  <r>
    <x v="537"/>
    <n v="24.31"/>
    <n v="1.1499999999999999"/>
    <x v="155"/>
    <n v="135725"/>
    <x v="6"/>
  </r>
  <r>
    <x v="538"/>
    <n v="11.65"/>
    <n v="0.55000000000000004"/>
    <x v="471"/>
    <n v="9385"/>
    <x v="6"/>
  </r>
  <r>
    <x v="282"/>
    <n v="2.78"/>
    <n v="0.13"/>
    <x v="472"/>
    <n v="70469"/>
    <x v="6"/>
  </r>
  <r>
    <x v="539"/>
    <n v="27.85"/>
    <n v="1.3"/>
    <x v="157"/>
    <n v="19148"/>
    <x v="6"/>
  </r>
  <r>
    <x v="152"/>
    <n v="18.22"/>
    <n v="0.84"/>
    <x v="160"/>
    <n v="246877"/>
    <x v="6"/>
  </r>
  <r>
    <x v="540"/>
    <n v="33.04"/>
    <n v="1.52"/>
    <x v="161"/>
    <n v="2473815"/>
    <x v="6"/>
  </r>
  <r>
    <x v="541"/>
    <n v="38.76"/>
    <n v="1.78"/>
    <x v="473"/>
    <n v="6461059"/>
    <x v="6"/>
  </r>
  <r>
    <x v="542"/>
    <n v="20.260000000000002"/>
    <n v="0.93"/>
    <x v="473"/>
    <n v="1457716"/>
    <x v="6"/>
  </r>
  <r>
    <x v="543"/>
    <n v="21.9"/>
    <n v="1"/>
    <x v="474"/>
    <n v="937681"/>
    <x v="6"/>
  </r>
  <r>
    <x v="544"/>
    <n v="17.57"/>
    <n v="0.8"/>
    <x v="429"/>
    <n v="1078707"/>
    <x v="6"/>
  </r>
  <r>
    <x v="545"/>
    <n v="26.19"/>
    <n v="1.19"/>
    <x v="163"/>
    <n v="188511"/>
    <x v="6"/>
  </r>
  <r>
    <x v="382"/>
    <n v="2.4300000000000002"/>
    <n v="0.11"/>
    <x v="238"/>
    <n v="1030472"/>
    <x v="6"/>
  </r>
  <r>
    <x v="546"/>
    <n v="21.87"/>
    <n v="0.99"/>
    <x v="238"/>
    <n v="1221919"/>
    <x v="6"/>
  </r>
  <r>
    <x v="482"/>
    <n v="5.32"/>
    <n v="1.35"/>
    <x v="475"/>
    <n v="6132079"/>
    <x v="7"/>
  </r>
  <r>
    <x v="547"/>
    <n v="39.92"/>
    <n v="7.16"/>
    <x v="476"/>
    <n v="1025593"/>
    <x v="7"/>
  </r>
  <r>
    <x v="512"/>
    <n v="3.1"/>
    <n v="0.55000000000000004"/>
    <x v="477"/>
    <n v="12013"/>
    <x v="7"/>
  </r>
  <r>
    <x v="548"/>
    <n v="3.85"/>
    <n v="0.65"/>
    <x v="478"/>
    <n v="160803"/>
    <x v="7"/>
  </r>
  <r>
    <x v="248"/>
    <n v="4.99"/>
    <n v="0.8"/>
    <x v="479"/>
    <n v="18126049"/>
    <x v="7"/>
  </r>
  <r>
    <x v="549"/>
    <n v="2.92"/>
    <n v="0.45"/>
    <x v="480"/>
    <n v="270682"/>
    <x v="7"/>
  </r>
  <r>
    <x v="382"/>
    <n v="2.87"/>
    <n v="0.44"/>
    <x v="481"/>
    <n v="2450110"/>
    <x v="7"/>
  </r>
  <r>
    <x v="550"/>
    <n v="3.35"/>
    <n v="0.5"/>
    <x v="482"/>
    <n v="10842214"/>
    <x v="7"/>
  </r>
  <r>
    <x v="551"/>
    <n v="3.52"/>
    <n v="0.49"/>
    <x v="483"/>
    <n v="267309"/>
    <x v="7"/>
  </r>
  <r>
    <x v="552"/>
    <n v="8.7200000000000006"/>
    <n v="1.1399999999999999"/>
    <x v="484"/>
    <n v="1154379"/>
    <x v="7"/>
  </r>
  <r>
    <x v="553"/>
    <n v="38.72"/>
    <n v="4.87"/>
    <x v="485"/>
    <n v="3248511"/>
    <x v="7"/>
  </r>
  <r>
    <x v="155"/>
    <n v="8"/>
    <n v="1"/>
    <x v="322"/>
    <n v="677167"/>
    <x v="7"/>
  </r>
  <r>
    <x v="554"/>
    <n v="6.05"/>
    <n v="0.75"/>
    <x v="486"/>
    <n v="81902"/>
    <x v="7"/>
  </r>
  <r>
    <x v="555"/>
    <n v="3.32"/>
    <n v="0.41"/>
    <x v="487"/>
    <n v="4779136"/>
    <x v="7"/>
  </r>
  <r>
    <x v="556"/>
    <n v="12.48"/>
    <n v="1.48"/>
    <x v="488"/>
    <n v="1984506"/>
    <x v="7"/>
  </r>
  <r>
    <x v="557"/>
    <n v="16.7"/>
    <n v="1.92"/>
    <x v="489"/>
    <n v="2424030"/>
    <x v="7"/>
  </r>
  <r>
    <x v="558"/>
    <n v="18.809999999999999"/>
    <n v="2.12"/>
    <x v="490"/>
    <n v="704924"/>
    <x v="7"/>
  </r>
  <r>
    <x v="546"/>
    <n v="24.59"/>
    <n v="2.72"/>
    <x v="491"/>
    <n v="2183063"/>
    <x v="7"/>
  </r>
  <r>
    <x v="102"/>
    <n v="12.47"/>
    <n v="1.37"/>
    <x v="492"/>
    <n v="7031"/>
    <x v="7"/>
  </r>
  <r>
    <x v="559"/>
    <n v="4.4800000000000004"/>
    <n v="0.48"/>
    <x v="493"/>
    <n v="91235"/>
    <x v="7"/>
  </r>
  <r>
    <x v="560"/>
    <n v="2.2799999999999998"/>
    <n v="0.24"/>
    <x v="494"/>
    <n v="1466855"/>
    <x v="7"/>
  </r>
  <r>
    <x v="561"/>
    <n v="3.45"/>
    <n v="0.35"/>
    <x v="495"/>
    <n v="24615"/>
    <x v="7"/>
  </r>
  <r>
    <x v="562"/>
    <n v="4.8"/>
    <n v="0.47"/>
    <x v="338"/>
    <n v="182444"/>
    <x v="7"/>
  </r>
  <r>
    <x v="478"/>
    <n v="44"/>
    <n v="4.25"/>
    <x v="496"/>
    <n v="6810888"/>
    <x v="7"/>
  </r>
  <r>
    <x v="146"/>
    <n v="6.97"/>
    <n v="0.67"/>
    <x v="497"/>
    <n v="40734"/>
    <x v="7"/>
  </r>
  <r>
    <x v="563"/>
    <n v="4.13"/>
    <n v="0.39"/>
    <x v="498"/>
    <n v="45927"/>
    <x v="7"/>
  </r>
  <r>
    <x v="564"/>
    <n v="14.14"/>
    <n v="1.33"/>
    <x v="499"/>
    <n v="24240963"/>
    <x v="7"/>
  </r>
  <r>
    <x v="565"/>
    <n v="4.8"/>
    <n v="0.45"/>
    <x v="500"/>
    <n v="243596"/>
    <x v="7"/>
  </r>
  <r>
    <x v="566"/>
    <n v="3"/>
    <n v="0.28000000000000003"/>
    <x v="501"/>
    <n v="1637418"/>
    <x v="7"/>
  </r>
  <r>
    <x v="247"/>
    <n v="11.4"/>
    <n v="1.04"/>
    <x v="33"/>
    <n v="832248"/>
    <x v="7"/>
  </r>
  <r>
    <x v="567"/>
    <n v="2.71"/>
    <n v="0.24"/>
    <x v="35"/>
    <n v="14621137"/>
    <x v="7"/>
  </r>
  <r>
    <x v="568"/>
    <n v="5.99"/>
    <n v="0.53"/>
    <x v="502"/>
    <n v="3221096"/>
    <x v="7"/>
  </r>
  <r>
    <x v="530"/>
    <n v="3.29"/>
    <n v="0.28999999999999998"/>
    <x v="503"/>
    <n v="45999"/>
    <x v="7"/>
  </r>
  <r>
    <x v="502"/>
    <n v="30.27"/>
    <n v="2.67"/>
    <x v="504"/>
    <n v="10625"/>
    <x v="7"/>
  </r>
  <r>
    <x v="531"/>
    <n v="16.71"/>
    <n v="1.47"/>
    <x v="263"/>
    <n v="27922"/>
    <x v="7"/>
  </r>
  <r>
    <x v="569"/>
    <n v="33.61"/>
    <n v="2.95"/>
    <x v="36"/>
    <n v="10332096"/>
    <x v="7"/>
  </r>
  <r>
    <x v="570"/>
    <n v="18.63"/>
    <n v="1.62"/>
    <x v="505"/>
    <n v="1124887"/>
    <x v="7"/>
  </r>
  <r>
    <x v="340"/>
    <n v="5.65"/>
    <n v="0.49"/>
    <x v="112"/>
    <n v="87319"/>
    <x v="7"/>
  </r>
  <r>
    <x v="571"/>
    <n v="5.2"/>
    <n v="0.45"/>
    <x v="506"/>
    <n v="311521"/>
    <x v="7"/>
  </r>
  <r>
    <x v="572"/>
    <n v="3.02"/>
    <n v="0.26"/>
    <x v="507"/>
    <n v="3155561"/>
    <x v="7"/>
  </r>
  <r>
    <x v="573"/>
    <n v="50.22"/>
    <n v="4.22"/>
    <x v="508"/>
    <n v="586857"/>
    <x v="7"/>
  </r>
  <r>
    <x v="516"/>
    <n v="47.42"/>
    <n v="3.9"/>
    <x v="509"/>
    <n v="318932"/>
    <x v="7"/>
  </r>
  <r>
    <x v="517"/>
    <n v="31.01"/>
    <n v="2.54"/>
    <x v="510"/>
    <n v="3291830"/>
    <x v="7"/>
  </r>
  <r>
    <x v="574"/>
    <n v="4.41"/>
    <n v="0.36"/>
    <x v="449"/>
    <n v="559736"/>
    <x v="7"/>
  </r>
  <r>
    <x v="575"/>
    <n v="3.56"/>
    <n v="0.28999999999999998"/>
    <x v="511"/>
    <n v="8868486"/>
    <x v="7"/>
  </r>
  <r>
    <x v="576"/>
    <n v="12.17"/>
    <n v="0.99"/>
    <x v="41"/>
    <n v="15560972"/>
    <x v="7"/>
  </r>
  <r>
    <x v="194"/>
    <n v="3.72"/>
    <n v="0.3"/>
    <x v="512"/>
    <n v="453253"/>
    <x v="7"/>
  </r>
  <r>
    <x v="577"/>
    <n v="18.91"/>
    <n v="1.5"/>
    <x v="513"/>
    <n v="4224265"/>
    <x v="7"/>
  </r>
  <r>
    <x v="578"/>
    <n v="12.65"/>
    <n v="1"/>
    <x v="402"/>
    <n v="2744313"/>
    <x v="7"/>
  </r>
  <r>
    <x v="579"/>
    <n v="24.71"/>
    <n v="1.95"/>
    <x v="514"/>
    <n v="384470"/>
    <x v="7"/>
  </r>
  <r>
    <x v="580"/>
    <n v="26.85"/>
    <n v="2.1"/>
    <x v="515"/>
    <n v="351827"/>
    <x v="7"/>
  </r>
  <r>
    <x v="581"/>
    <n v="16.13"/>
    <n v="1.26"/>
    <x v="365"/>
    <n v="2358701"/>
    <x v="7"/>
  </r>
  <r>
    <x v="582"/>
    <n v="15.75"/>
    <n v="1.23"/>
    <x v="516"/>
    <n v="1000015"/>
    <x v="7"/>
  </r>
  <r>
    <x v="61"/>
    <n v="10.68"/>
    <n v="0.83"/>
    <x v="516"/>
    <n v="3111687"/>
    <x v="7"/>
  </r>
  <r>
    <x v="406"/>
    <n v="3.25"/>
    <n v="0.25"/>
    <x v="47"/>
    <n v="785594"/>
    <x v="7"/>
  </r>
  <r>
    <x v="583"/>
    <n v="24.12"/>
    <n v="1.84"/>
    <x v="48"/>
    <n v="11580974"/>
    <x v="7"/>
  </r>
  <r>
    <x v="104"/>
    <n v="11.8"/>
    <n v="0.9"/>
    <x v="48"/>
    <n v="73524"/>
    <x v="7"/>
  </r>
  <r>
    <x v="584"/>
    <n v="9.6"/>
    <n v="0.73"/>
    <x v="517"/>
    <n v="5068510"/>
    <x v="7"/>
  </r>
  <r>
    <x v="202"/>
    <n v="5.57"/>
    <n v="0.42"/>
    <x v="518"/>
    <n v="248322"/>
    <x v="7"/>
  </r>
  <r>
    <x v="132"/>
    <n v="2.7"/>
    <n v="0.2"/>
    <x v="519"/>
    <n v="124444"/>
    <x v="7"/>
  </r>
  <r>
    <x v="33"/>
    <n v="4.47"/>
    <n v="0.33"/>
    <x v="53"/>
    <n v="316871"/>
    <x v="7"/>
  </r>
  <r>
    <x v="585"/>
    <n v="3.8"/>
    <n v="0.28000000000000003"/>
    <x v="520"/>
    <n v="30710"/>
    <x v="7"/>
  </r>
  <r>
    <x v="586"/>
    <n v="27.55"/>
    <n v="2.02"/>
    <x v="521"/>
    <n v="15863"/>
    <x v="7"/>
  </r>
  <r>
    <x v="587"/>
    <n v="4.5199999999999996"/>
    <n v="0.33"/>
    <x v="522"/>
    <n v="2435759"/>
    <x v="7"/>
  </r>
  <r>
    <x v="588"/>
    <n v="37.24"/>
    <n v="2.68"/>
    <x v="523"/>
    <n v="190126"/>
    <x v="7"/>
  </r>
  <r>
    <x v="442"/>
    <n v="12.39"/>
    <n v="0.89"/>
    <x v="271"/>
    <n v="378411"/>
    <x v="7"/>
  </r>
  <r>
    <x v="589"/>
    <n v="29.12"/>
    <n v="2.09"/>
    <x v="524"/>
    <n v="3023597"/>
    <x v="7"/>
  </r>
  <r>
    <x v="590"/>
    <n v="15.4"/>
    <n v="1.0900000000000001"/>
    <x v="525"/>
    <n v="8718280"/>
    <x v="7"/>
  </r>
  <r>
    <x v="591"/>
    <n v="32.25"/>
    <n v="2.27"/>
    <x v="526"/>
    <n v="1453100"/>
    <x v="7"/>
  </r>
  <r>
    <x v="592"/>
    <n v="2.7"/>
    <n v="0.19"/>
    <x v="207"/>
    <n v="49320"/>
    <x v="7"/>
  </r>
  <r>
    <x v="593"/>
    <n v="71"/>
    <n v="4.95"/>
    <x v="527"/>
    <n v="29954"/>
    <x v="7"/>
  </r>
  <r>
    <x v="594"/>
    <n v="2.74"/>
    <n v="0.19"/>
    <x v="375"/>
    <n v="7750905"/>
    <x v="7"/>
  </r>
  <r>
    <x v="595"/>
    <n v="10.41"/>
    <n v="0.72"/>
    <x v="528"/>
    <n v="22989323"/>
    <x v="7"/>
  </r>
  <r>
    <x v="596"/>
    <n v="7.55"/>
    <n v="0.52"/>
    <x v="64"/>
    <n v="9252807"/>
    <x v="7"/>
  </r>
  <r>
    <x v="597"/>
    <n v="8.58"/>
    <n v="0.59"/>
    <x v="529"/>
    <n v="10915083"/>
    <x v="7"/>
  </r>
  <r>
    <x v="598"/>
    <n v="8.06"/>
    <n v="0.55000000000000004"/>
    <x v="65"/>
    <n v="24157"/>
    <x v="7"/>
  </r>
  <r>
    <x v="167"/>
    <n v="3.07"/>
    <n v="0.21"/>
    <x v="530"/>
    <n v="187741"/>
    <x v="7"/>
  </r>
  <r>
    <x v="251"/>
    <n v="8.64"/>
    <n v="0.59"/>
    <x v="376"/>
    <n v="5091524"/>
    <x v="7"/>
  </r>
  <r>
    <x v="599"/>
    <n v="4.41"/>
    <n v="0.3"/>
    <x v="209"/>
    <n v="92640"/>
    <x v="7"/>
  </r>
  <r>
    <x v="600"/>
    <n v="62.63"/>
    <n v="4.25"/>
    <x v="67"/>
    <n v="124006"/>
    <x v="7"/>
  </r>
  <r>
    <x v="601"/>
    <n v="14"/>
    <n v="0.95"/>
    <x v="67"/>
    <n v="22215"/>
    <x v="7"/>
  </r>
  <r>
    <x v="602"/>
    <n v="2.66"/>
    <n v="0.18"/>
    <x v="276"/>
    <n v="5014243"/>
    <x v="7"/>
  </r>
  <r>
    <x v="603"/>
    <n v="26.23"/>
    <n v="1.76"/>
    <x v="531"/>
    <n v="97593"/>
    <x v="7"/>
  </r>
  <r>
    <x v="66"/>
    <n v="16.72"/>
    <n v="1.1200000000000001"/>
    <x v="277"/>
    <n v="296867"/>
    <x v="7"/>
  </r>
  <r>
    <x v="263"/>
    <n v="2.25"/>
    <n v="0.15"/>
    <x v="69"/>
    <n v="382510"/>
    <x v="7"/>
  </r>
  <r>
    <x v="604"/>
    <n v="31.49"/>
    <n v="2.09"/>
    <x v="532"/>
    <n v="332374"/>
    <x v="7"/>
  </r>
  <r>
    <x v="605"/>
    <n v="57.71"/>
    <n v="3.83"/>
    <x v="532"/>
    <n v="5094302"/>
    <x v="7"/>
  </r>
  <r>
    <x v="606"/>
    <n v="12.85"/>
    <n v="0.85"/>
    <x v="533"/>
    <n v="72014"/>
    <x v="7"/>
  </r>
  <r>
    <x v="607"/>
    <n v="31.9"/>
    <n v="2.1"/>
    <x v="534"/>
    <n v="73849"/>
    <x v="7"/>
  </r>
  <r>
    <x v="608"/>
    <n v="6.1"/>
    <n v="0.4"/>
    <x v="281"/>
    <n v="831757"/>
    <x v="7"/>
  </r>
  <r>
    <x v="609"/>
    <n v="3.06"/>
    <n v="0.2"/>
    <x v="283"/>
    <n v="5098229"/>
    <x v="7"/>
  </r>
  <r>
    <x v="610"/>
    <n v="2.76"/>
    <n v="0.18"/>
    <x v="71"/>
    <n v="952205"/>
    <x v="7"/>
  </r>
  <r>
    <x v="611"/>
    <n v="17.989999999999998"/>
    <n v="1.17"/>
    <x v="73"/>
    <n v="696700"/>
    <x v="7"/>
  </r>
  <r>
    <x v="545"/>
    <n v="28.01"/>
    <n v="1.82"/>
    <x v="284"/>
    <n v="230517"/>
    <x v="7"/>
  </r>
  <r>
    <x v="612"/>
    <n v="16.32"/>
    <n v="1.06"/>
    <x v="284"/>
    <n v="16166047"/>
    <x v="7"/>
  </r>
  <r>
    <x v="613"/>
    <n v="4.93"/>
    <n v="0.32"/>
    <x v="454"/>
    <n v="14718932"/>
    <x v="7"/>
  </r>
  <r>
    <x v="614"/>
    <n v="4.1900000000000004"/>
    <n v="0.27"/>
    <x v="535"/>
    <n v="7236319"/>
    <x v="7"/>
  </r>
  <r>
    <x v="615"/>
    <n v="2.4900000000000002"/>
    <n v="0.16"/>
    <x v="75"/>
    <n v="3498510"/>
    <x v="7"/>
  </r>
  <r>
    <x v="225"/>
    <n v="19.760000000000002"/>
    <n v="1.25"/>
    <x v="79"/>
    <n v="43793"/>
    <x v="7"/>
  </r>
  <r>
    <x v="616"/>
    <n v="26.73"/>
    <n v="1.69"/>
    <x v="79"/>
    <n v="955804"/>
    <x v="7"/>
  </r>
  <r>
    <x v="585"/>
    <n v="8.3000000000000007"/>
    <n v="4.5"/>
    <x v="536"/>
    <n v="3302693"/>
    <x v="8"/>
  </r>
  <r>
    <x v="617"/>
    <n v="15.75"/>
    <n v="4.1100000000000003"/>
    <x v="537"/>
    <n v="15402980"/>
    <x v="8"/>
  </r>
  <r>
    <x v="618"/>
    <n v="19.91"/>
    <n v="4.3899999999999997"/>
    <x v="538"/>
    <n v="14734891"/>
    <x v="8"/>
  </r>
  <r>
    <x v="353"/>
    <n v="7.6"/>
    <n v="1.58"/>
    <x v="539"/>
    <n v="129563"/>
    <x v="8"/>
  </r>
  <r>
    <x v="619"/>
    <n v="21.25"/>
    <n v="4.4000000000000004"/>
    <x v="540"/>
    <n v="1334237"/>
    <x v="8"/>
  </r>
  <r>
    <x v="411"/>
    <n v="9.52"/>
    <n v="1.9"/>
    <x v="541"/>
    <n v="84991890"/>
    <x v="8"/>
  </r>
  <r>
    <x v="412"/>
    <n v="18.68"/>
    <n v="3.09"/>
    <x v="542"/>
    <n v="75841269"/>
    <x v="8"/>
  </r>
  <r>
    <x v="5"/>
    <n v="21.34"/>
    <n v="3.28"/>
    <x v="543"/>
    <n v="392533"/>
    <x v="8"/>
  </r>
  <r>
    <x v="620"/>
    <n v="2.36"/>
    <n v="0.35"/>
    <x v="544"/>
    <n v="7026"/>
    <x v="8"/>
  </r>
  <r>
    <x v="413"/>
    <n v="12.2"/>
    <n v="1.75"/>
    <x v="545"/>
    <n v="13410"/>
    <x v="8"/>
  </r>
  <r>
    <x v="497"/>
    <n v="17.940000000000001"/>
    <n v="2.41"/>
    <x v="546"/>
    <n v="2238"/>
    <x v="8"/>
  </r>
  <r>
    <x v="621"/>
    <n v="3.11"/>
    <n v="0.4"/>
    <x v="547"/>
    <n v="828800"/>
    <x v="8"/>
  </r>
  <r>
    <x v="622"/>
    <n v="3.97"/>
    <n v="0.51"/>
    <x v="548"/>
    <n v="7278"/>
    <x v="8"/>
  </r>
  <r>
    <x v="623"/>
    <n v="7.88"/>
    <n v="0.92"/>
    <x v="549"/>
    <n v="9467"/>
    <x v="8"/>
  </r>
  <r>
    <x v="422"/>
    <n v="47.47"/>
    <n v="5.52"/>
    <x v="550"/>
    <n v="64135206"/>
    <x v="8"/>
  </r>
  <r>
    <x v="423"/>
    <n v="19.98"/>
    <n v="2.31"/>
    <x v="551"/>
    <n v="478818"/>
    <x v="8"/>
  </r>
  <r>
    <x v="424"/>
    <n v="39.19"/>
    <n v="4.5199999999999996"/>
    <x v="551"/>
    <n v="4531166"/>
    <x v="8"/>
  </r>
  <r>
    <x v="21"/>
    <n v="64.5"/>
    <n v="7.03"/>
    <x v="552"/>
    <n v="906812"/>
    <x v="8"/>
  </r>
  <r>
    <x v="624"/>
    <n v="5.03"/>
    <n v="0.53"/>
    <x v="553"/>
    <n v="3674154"/>
    <x v="8"/>
  </r>
  <r>
    <x v="52"/>
    <n v="9.27"/>
    <n v="0.89"/>
    <x v="554"/>
    <n v="77683"/>
    <x v="8"/>
  </r>
  <r>
    <x v="368"/>
    <n v="2.85"/>
    <n v="0.27"/>
    <x v="555"/>
    <n v="1256953"/>
    <x v="8"/>
  </r>
  <r>
    <x v="625"/>
    <n v="3.97"/>
    <n v="0.36"/>
    <x v="556"/>
    <n v="309317"/>
    <x v="8"/>
  </r>
  <r>
    <x v="343"/>
    <n v="3.53"/>
    <n v="0.32"/>
    <x v="556"/>
    <n v="1849243"/>
    <x v="8"/>
  </r>
  <r>
    <x v="626"/>
    <n v="8.07"/>
    <n v="0.73"/>
    <x v="557"/>
    <n v="2171012"/>
    <x v="8"/>
  </r>
  <r>
    <x v="136"/>
    <n v="40.200000000000003"/>
    <n v="3.55"/>
    <x v="558"/>
    <n v="29786"/>
    <x v="8"/>
  </r>
  <r>
    <x v="449"/>
    <n v="12.38"/>
    <n v="1.03"/>
    <x v="559"/>
    <n v="14782"/>
    <x v="8"/>
  </r>
  <r>
    <x v="627"/>
    <n v="11.4"/>
    <n v="0.94"/>
    <x v="361"/>
    <n v="4396414"/>
    <x v="8"/>
  </r>
  <r>
    <x v="333"/>
    <n v="3.4"/>
    <n v="0.28000000000000003"/>
    <x v="560"/>
    <n v="8560039"/>
    <x v="8"/>
  </r>
  <r>
    <x v="628"/>
    <n v="20.21"/>
    <n v="1.64"/>
    <x v="561"/>
    <n v="7892544"/>
    <x v="8"/>
  </r>
  <r>
    <x v="629"/>
    <n v="6.45"/>
    <n v="0.5"/>
    <x v="115"/>
    <n v="998079"/>
    <x v="8"/>
  </r>
  <r>
    <x v="189"/>
    <n v="11.33"/>
    <n v="0.86"/>
    <x v="49"/>
    <n v="2497805"/>
    <x v="8"/>
  </r>
  <r>
    <x v="158"/>
    <n v="17.46"/>
    <n v="1.32"/>
    <x v="368"/>
    <n v="143932"/>
    <x v="8"/>
  </r>
  <r>
    <x v="630"/>
    <n v="4.75"/>
    <n v="0.35"/>
    <x v="520"/>
    <n v="273273"/>
    <x v="8"/>
  </r>
  <r>
    <x v="444"/>
    <n v="5.86"/>
    <n v="0.43"/>
    <x v="562"/>
    <n v="1336531"/>
    <x v="8"/>
  </r>
  <r>
    <x v="631"/>
    <n v="2.9"/>
    <n v="0.21"/>
    <x v="205"/>
    <n v="561930"/>
    <x v="8"/>
  </r>
  <r>
    <x v="258"/>
    <n v="5.28"/>
    <n v="0.38"/>
    <x v="563"/>
    <n v="19006596"/>
    <x v="8"/>
  </r>
  <r>
    <x v="632"/>
    <n v="11.26"/>
    <n v="0.81"/>
    <x v="523"/>
    <n v="19856070"/>
    <x v="8"/>
  </r>
  <r>
    <x v="633"/>
    <n v="15.52"/>
    <n v="1.1000000000000001"/>
    <x v="60"/>
    <n v="161935"/>
    <x v="8"/>
  </r>
  <r>
    <x v="634"/>
    <n v="14.32"/>
    <n v="1"/>
    <x v="374"/>
    <n v="12778"/>
    <x v="8"/>
  </r>
  <r>
    <x v="635"/>
    <n v="29.68"/>
    <n v="2.0699999999999998"/>
    <x v="62"/>
    <n v="8492632"/>
    <x v="8"/>
  </r>
  <r>
    <x v="636"/>
    <n v="10.26"/>
    <n v="0.71"/>
    <x v="375"/>
    <n v="7836"/>
    <x v="8"/>
  </r>
  <r>
    <x v="378"/>
    <n v="5.21"/>
    <n v="0.36"/>
    <x v="120"/>
    <n v="407992"/>
    <x v="8"/>
  </r>
  <r>
    <x v="607"/>
    <n v="34.26"/>
    <n v="2.36"/>
    <x v="64"/>
    <n v="110751"/>
    <x v="8"/>
  </r>
  <r>
    <x v="440"/>
    <n v="17.8"/>
    <n v="1.22"/>
    <x v="274"/>
    <n v="27007383"/>
    <x v="8"/>
  </r>
  <r>
    <x v="637"/>
    <n v="18.95"/>
    <n v="1.28"/>
    <x v="276"/>
    <n v="2634"/>
    <x v="8"/>
  </r>
  <r>
    <x v="447"/>
    <n v="10.23"/>
    <n v="0.69"/>
    <x v="277"/>
    <n v="16729"/>
    <x v="8"/>
  </r>
  <r>
    <x v="545"/>
    <n v="30"/>
    <n v="1.99"/>
    <x v="279"/>
    <n v="305101"/>
    <x v="8"/>
  </r>
  <r>
    <x v="638"/>
    <n v="13.49"/>
    <n v="0.88"/>
    <x v="71"/>
    <n v="22871"/>
    <x v="8"/>
  </r>
  <r>
    <x v="639"/>
    <n v="2.98"/>
    <n v="0.19"/>
    <x v="76"/>
    <n v="62404"/>
    <x v="8"/>
  </r>
  <r>
    <x v="418"/>
    <n v="14.65"/>
    <n v="0.93"/>
    <x v="455"/>
    <n v="3448"/>
    <x v="8"/>
  </r>
  <r>
    <x v="640"/>
    <n v="7.82"/>
    <n v="0.48"/>
    <x v="564"/>
    <n v="582493"/>
    <x v="8"/>
  </r>
  <r>
    <x v="641"/>
    <n v="30.52"/>
    <n v="1.85"/>
    <x v="457"/>
    <n v="641041"/>
    <x v="8"/>
  </r>
  <r>
    <x v="642"/>
    <n v="11.59"/>
    <n v="0.7"/>
    <x v="86"/>
    <n v="11701417"/>
    <x v="8"/>
  </r>
  <r>
    <x v="468"/>
    <n v="10.29"/>
    <n v="0.61"/>
    <x v="135"/>
    <n v="1295790"/>
    <x v="8"/>
  </r>
  <r>
    <x v="643"/>
    <n v="21"/>
    <n v="1.23"/>
    <x v="290"/>
    <n v="37066"/>
    <x v="8"/>
  </r>
  <r>
    <x v="644"/>
    <n v="85.32"/>
    <n v="4.96"/>
    <x v="565"/>
    <n v="853436"/>
    <x v="8"/>
  </r>
  <r>
    <x v="473"/>
    <n v="14.65"/>
    <n v="0.85"/>
    <x v="566"/>
    <n v="14456"/>
    <x v="8"/>
  </r>
  <r>
    <x v="645"/>
    <n v="2.25"/>
    <n v="0.13"/>
    <x v="137"/>
    <n v="427861"/>
    <x v="8"/>
  </r>
  <r>
    <x v="646"/>
    <n v="8.98"/>
    <n v="0.51"/>
    <x v="138"/>
    <n v="3384855"/>
    <x v="8"/>
  </r>
  <r>
    <x v="340"/>
    <n v="5.99"/>
    <n v="0.34"/>
    <x v="567"/>
    <n v="84085"/>
    <x v="8"/>
  </r>
  <r>
    <x v="647"/>
    <n v="11.41"/>
    <n v="0.64"/>
    <x v="294"/>
    <n v="13369"/>
    <x v="8"/>
  </r>
  <r>
    <x v="648"/>
    <n v="12.87"/>
    <n v="0.71"/>
    <x v="298"/>
    <n v="23801"/>
    <x v="8"/>
  </r>
  <r>
    <x v="427"/>
    <n v="12.86"/>
    <n v="0.71"/>
    <x v="224"/>
    <n v="2271658"/>
    <x v="8"/>
  </r>
  <r>
    <x v="407"/>
    <n v="16.7"/>
    <n v="0.9"/>
    <x v="463"/>
    <n v="3544"/>
    <x v="8"/>
  </r>
  <r>
    <x v="649"/>
    <n v="34"/>
    <n v="1.8"/>
    <x v="228"/>
    <n v="25875"/>
    <x v="8"/>
  </r>
  <r>
    <x v="650"/>
    <n v="18.899999999999999"/>
    <n v="1"/>
    <x v="228"/>
    <n v="2673"/>
    <x v="8"/>
  </r>
  <r>
    <x v="651"/>
    <n v="29.07"/>
    <n v="1.53"/>
    <x v="142"/>
    <n v="235406"/>
    <x v="8"/>
  </r>
  <r>
    <x v="652"/>
    <n v="10.61"/>
    <n v="0.55000000000000004"/>
    <x v="304"/>
    <n v="5066716"/>
    <x v="8"/>
  </r>
  <r>
    <x v="653"/>
    <n v="32.04"/>
    <n v="1.66"/>
    <x v="568"/>
    <n v="534562"/>
    <x v="8"/>
  </r>
  <r>
    <x v="556"/>
    <n v="13.16"/>
    <n v="0.68"/>
    <x v="143"/>
    <n v="2236702"/>
    <x v="8"/>
  </r>
  <r>
    <x v="654"/>
    <n v="8.65"/>
    <n v="0.45"/>
    <x v="305"/>
    <n v="108425"/>
    <x v="8"/>
  </r>
  <r>
    <x v="248"/>
    <n v="5.26"/>
    <n v="0.27"/>
    <x v="229"/>
    <n v="61906169"/>
    <x v="8"/>
  </r>
  <r>
    <x v="162"/>
    <n v="10"/>
    <n v="0.5"/>
    <x v="148"/>
    <n v="173271"/>
    <x v="8"/>
  </r>
  <r>
    <x v="655"/>
    <n v="13.15"/>
    <n v="0.65"/>
    <x v="423"/>
    <n v="4557"/>
    <x v="8"/>
  </r>
  <r>
    <x v="656"/>
    <n v="11.94"/>
    <n v="0.59"/>
    <x v="423"/>
    <n v="11046176"/>
    <x v="8"/>
  </r>
  <r>
    <x v="120"/>
    <n v="10.75"/>
    <n v="0.52"/>
    <x v="150"/>
    <n v="160695"/>
    <x v="8"/>
  </r>
  <r>
    <x v="657"/>
    <n v="9.27"/>
    <n v="0.45"/>
    <x v="235"/>
    <n v="33678"/>
    <x v="8"/>
  </r>
  <r>
    <x v="658"/>
    <n v="2.1"/>
    <n v="0.1"/>
    <x v="152"/>
    <n v="79043"/>
    <x v="8"/>
  </r>
  <r>
    <x v="659"/>
    <n v="7.4"/>
    <n v="0.35"/>
    <x v="427"/>
    <n v="2396706"/>
    <x v="8"/>
  </r>
  <r>
    <x v="660"/>
    <n v="41.04"/>
    <n v="1.94"/>
    <x v="427"/>
    <n v="10568828"/>
    <x v="8"/>
  </r>
  <r>
    <x v="661"/>
    <n v="15.3"/>
    <n v="0.72"/>
    <x v="308"/>
    <n v="9351063"/>
    <x v="8"/>
  </r>
  <r>
    <x v="300"/>
    <n v="27.9"/>
    <n v="1.29"/>
    <x v="309"/>
    <n v="18661"/>
    <x v="8"/>
  </r>
  <r>
    <x v="662"/>
    <n v="2.2000000000000002"/>
    <n v="0.1"/>
    <x v="163"/>
    <n v="733300"/>
    <x v="8"/>
  </r>
  <r>
    <x v="399"/>
    <n v="2.25"/>
    <n v="0.1"/>
    <x v="569"/>
    <n v="174862"/>
    <x v="8"/>
  </r>
  <r>
    <x v="663"/>
    <n v="9.77"/>
    <n v="0.44"/>
    <x v="164"/>
    <n v="79946"/>
    <x v="8"/>
  </r>
  <r>
    <x v="664"/>
    <n v="8.2200000000000006"/>
    <n v="0.37"/>
    <x v="239"/>
    <n v="32190"/>
    <x v="8"/>
  </r>
  <r>
    <x v="665"/>
    <n v="20.79"/>
    <n v="0.93"/>
    <x v="430"/>
    <n v="67216"/>
    <x v="8"/>
  </r>
  <r>
    <x v="666"/>
    <n v="2.4700000000000002"/>
    <n v="0.11"/>
    <x v="240"/>
    <n v="322949"/>
    <x v="8"/>
  </r>
  <r>
    <x v="377"/>
    <n v="2.94"/>
    <n v="0.13"/>
    <x v="311"/>
    <n v="97866"/>
    <x v="8"/>
  </r>
  <r>
    <x v="12"/>
    <n v="14.12"/>
    <n v="0.62"/>
    <x v="170"/>
    <n v="215953"/>
    <x v="8"/>
  </r>
  <r>
    <x v="667"/>
    <n v="8.4700000000000006"/>
    <n v="0.37"/>
    <x v="171"/>
    <n v="3009"/>
    <x v="8"/>
  </r>
  <r>
    <x v="668"/>
    <n v="27.7"/>
    <n v="1.21"/>
    <x v="172"/>
    <n v="2428225"/>
    <x v="8"/>
  </r>
  <r>
    <x v="669"/>
    <n v="12.32"/>
    <n v="0.53"/>
    <x v="570"/>
    <n v="366913"/>
    <x v="8"/>
  </r>
  <r>
    <x v="670"/>
    <n v="24.47"/>
    <n v="1.05"/>
    <x v="433"/>
    <n v="27514"/>
    <x v="8"/>
  </r>
  <r>
    <x v="337"/>
    <n v="7.37"/>
    <n v="0.31"/>
    <x v="571"/>
    <n v="87574"/>
    <x v="8"/>
  </r>
  <r>
    <x v="671"/>
    <n v="5.96"/>
    <n v="0.25"/>
    <x v="435"/>
    <n v="41042"/>
    <x v="8"/>
  </r>
  <r>
    <x v="672"/>
    <n v="16.89"/>
    <n v="0.69"/>
    <x v="572"/>
    <n v="1862439"/>
    <x v="8"/>
  </r>
  <r>
    <x v="673"/>
    <n v="69.959999999999994"/>
    <n v="2.82"/>
    <x v="573"/>
    <n v="4591609"/>
    <x v="8"/>
  </r>
  <r>
    <x v="325"/>
    <n v="3.75"/>
    <n v="0.15"/>
    <x v="574"/>
    <n v="7095"/>
    <x v="8"/>
  </r>
  <r>
    <x v="674"/>
    <n v="38.44"/>
    <n v="1.54"/>
    <x v="575"/>
    <n v="20225"/>
    <x v="8"/>
  </r>
  <r>
    <x v="675"/>
    <n v="28.48"/>
    <n v="7.48"/>
    <x v="576"/>
    <n v="55737937"/>
    <x v="9"/>
  </r>
  <r>
    <x v="676"/>
    <n v="3.5"/>
    <n v="0.72"/>
    <x v="577"/>
    <n v="1309253"/>
    <x v="9"/>
  </r>
  <r>
    <x v="677"/>
    <n v="7.52"/>
    <n v="1.54"/>
    <x v="578"/>
    <n v="4088971"/>
    <x v="9"/>
  </r>
  <r>
    <x v="353"/>
    <n v="9.2200000000000006"/>
    <n v="1.62"/>
    <x v="579"/>
    <n v="191776"/>
    <x v="9"/>
  </r>
  <r>
    <x v="5"/>
    <n v="25.65"/>
    <n v="4.3099999999999996"/>
    <x v="580"/>
    <n v="553687"/>
    <x v="9"/>
  </r>
  <r>
    <x v="678"/>
    <n v="31.55"/>
    <n v="5.09"/>
    <x v="581"/>
    <n v="3241741"/>
    <x v="9"/>
  </r>
  <r>
    <x v="482"/>
    <n v="5.2"/>
    <n v="0.79"/>
    <x v="582"/>
    <n v="2770856"/>
    <x v="9"/>
  </r>
  <r>
    <x v="679"/>
    <n v="2.84"/>
    <n v="0.42"/>
    <x v="11"/>
    <n v="127086"/>
    <x v="9"/>
  </r>
  <r>
    <x v="680"/>
    <n v="7.85"/>
    <n v="1.06"/>
    <x v="583"/>
    <n v="8230"/>
    <x v="9"/>
  </r>
  <r>
    <x v="681"/>
    <n v="24.01"/>
    <n v="2.85"/>
    <x v="584"/>
    <n v="109925"/>
    <x v="9"/>
  </r>
  <r>
    <x v="682"/>
    <n v="17.55"/>
    <n v="1.81"/>
    <x v="585"/>
    <n v="9229"/>
    <x v="9"/>
  </r>
  <r>
    <x v="411"/>
    <n v="10.57"/>
    <n v="1.05"/>
    <x v="586"/>
    <n v="97860569"/>
    <x v="9"/>
  </r>
  <r>
    <x v="318"/>
    <n v="48.92"/>
    <n v="4.8499999999999996"/>
    <x v="587"/>
    <n v="2381062"/>
    <x v="9"/>
  </r>
  <r>
    <x v="418"/>
    <n v="16.25"/>
    <n v="1.6"/>
    <x v="337"/>
    <n v="4352"/>
    <x v="9"/>
  </r>
  <r>
    <x v="585"/>
    <n v="9.1999999999999993"/>
    <n v="0.9"/>
    <x v="194"/>
    <n v="543547"/>
    <x v="9"/>
  </r>
  <r>
    <x v="623"/>
    <n v="8.6999999999999993"/>
    <n v="0.82"/>
    <x v="588"/>
    <n v="19930"/>
    <x v="9"/>
  </r>
  <r>
    <x v="21"/>
    <n v="71.099999999999994"/>
    <n v="6.6"/>
    <x v="345"/>
    <n v="1469062"/>
    <x v="9"/>
  </r>
  <r>
    <x v="189"/>
    <n v="12.46"/>
    <n v="1.1299999999999999"/>
    <x v="556"/>
    <n v="3471021"/>
    <x v="9"/>
  </r>
  <r>
    <x v="683"/>
    <n v="7.84"/>
    <n v="0.71"/>
    <x v="198"/>
    <n v="960452"/>
    <x v="9"/>
  </r>
  <r>
    <x v="684"/>
    <n v="2.85"/>
    <n v="0.25"/>
    <x v="36"/>
    <n v="3603"/>
    <x v="9"/>
  </r>
  <r>
    <x v="685"/>
    <n v="2.75"/>
    <n v="0.24"/>
    <x v="589"/>
    <n v="1187207"/>
    <x v="9"/>
  </r>
  <r>
    <x v="630"/>
    <n v="5.2"/>
    <n v="0.45"/>
    <x v="506"/>
    <n v="502356"/>
    <x v="9"/>
  </r>
  <r>
    <x v="586"/>
    <n v="29.5"/>
    <n v="2.52"/>
    <x v="590"/>
    <n v="17833"/>
    <x v="9"/>
  </r>
  <r>
    <x v="686"/>
    <n v="15.78"/>
    <n v="1.32"/>
    <x v="591"/>
    <n v="22975"/>
    <x v="9"/>
  </r>
  <r>
    <x v="687"/>
    <n v="2.92"/>
    <n v="0.24"/>
    <x v="509"/>
    <n v="26465"/>
    <x v="9"/>
  </r>
  <r>
    <x v="202"/>
    <n v="6.1"/>
    <n v="0.5"/>
    <x v="592"/>
    <n v="279639"/>
    <x v="9"/>
  </r>
  <r>
    <x v="654"/>
    <n v="9.4"/>
    <n v="0.75"/>
    <x v="45"/>
    <n v="71061"/>
    <x v="9"/>
  </r>
  <r>
    <x v="688"/>
    <n v="8.9600000000000009"/>
    <n v="0.7"/>
    <x v="365"/>
    <n v="326568"/>
    <x v="9"/>
  </r>
  <r>
    <x v="689"/>
    <n v="5.29"/>
    <n v="0.41"/>
    <x v="115"/>
    <n v="110875"/>
    <x v="9"/>
  </r>
  <r>
    <x v="412"/>
    <n v="20.239999999999998"/>
    <n v="1.56"/>
    <x v="593"/>
    <n v="73652700"/>
    <x v="9"/>
  </r>
  <r>
    <x v="583"/>
    <n v="24.99"/>
    <n v="1.92"/>
    <x v="594"/>
    <n v="10749609"/>
    <x v="9"/>
  </r>
  <r>
    <x v="502"/>
    <n v="30.72"/>
    <n v="2.3199999999999998"/>
    <x v="369"/>
    <n v="4740"/>
    <x v="9"/>
  </r>
  <r>
    <x v="690"/>
    <n v="11.55"/>
    <n v="0.86"/>
    <x v="595"/>
    <n v="154087"/>
    <x v="9"/>
  </r>
  <r>
    <x v="517"/>
    <n v="31.68"/>
    <n v="2.35"/>
    <x v="268"/>
    <n v="2749983"/>
    <x v="9"/>
  </r>
  <r>
    <x v="440"/>
    <n v="19.21"/>
    <n v="1.41"/>
    <x v="562"/>
    <n v="25597791"/>
    <x v="9"/>
  </r>
  <r>
    <x v="627"/>
    <n v="12.3"/>
    <n v="0.9"/>
    <x v="269"/>
    <n v="5761420"/>
    <x v="9"/>
  </r>
  <r>
    <x v="256"/>
    <n v="3.73"/>
    <n v="0.27"/>
    <x v="372"/>
    <n v="119042"/>
    <x v="9"/>
  </r>
  <r>
    <x v="516"/>
    <n v="48.43"/>
    <n v="3.5"/>
    <x v="270"/>
    <n v="251177"/>
    <x v="9"/>
  </r>
  <r>
    <x v="557"/>
    <n v="17.239999999999998"/>
    <n v="1.24"/>
    <x v="523"/>
    <n v="2443542"/>
    <x v="9"/>
  </r>
  <r>
    <x v="444"/>
    <n v="6.31"/>
    <n v="0.45"/>
    <x v="59"/>
    <n v="1680541"/>
    <x v="9"/>
  </r>
  <r>
    <x v="691"/>
    <n v="3.98"/>
    <n v="0.28000000000000003"/>
    <x v="207"/>
    <n v="362097"/>
    <x v="9"/>
  </r>
  <r>
    <x v="692"/>
    <n v="2.9"/>
    <n v="0.2"/>
    <x v="405"/>
    <n v="11832"/>
    <x v="9"/>
  </r>
  <r>
    <x v="693"/>
    <n v="3.65"/>
    <n v="0.25"/>
    <x v="65"/>
    <n v="299789"/>
    <x v="9"/>
  </r>
  <r>
    <x v="694"/>
    <n v="2.5099999999999998"/>
    <n v="0.17"/>
    <x v="276"/>
    <n v="54940"/>
    <x v="9"/>
  </r>
  <r>
    <x v="447"/>
    <n v="10.97"/>
    <n v="0.74"/>
    <x v="452"/>
    <n v="12745"/>
    <x v="9"/>
  </r>
  <r>
    <x v="248"/>
    <n v="5.64"/>
    <n v="0.38"/>
    <x v="68"/>
    <n v="27352949"/>
    <x v="9"/>
  </r>
  <r>
    <x v="624"/>
    <n v="5.39"/>
    <n v="0.36"/>
    <x v="596"/>
    <n v="3579499"/>
    <x v="9"/>
  </r>
  <r>
    <x v="658"/>
    <n v="2.25"/>
    <n v="0.15"/>
    <x v="69"/>
    <n v="50502"/>
    <x v="9"/>
  </r>
  <r>
    <x v="695"/>
    <n v="5.89"/>
    <n v="0.39"/>
    <x v="280"/>
    <n v="5611"/>
    <x v="9"/>
  </r>
  <r>
    <x v="456"/>
    <n v="8.84"/>
    <n v="0.57999999999999996"/>
    <x v="280"/>
    <n v="22550"/>
    <x v="9"/>
  </r>
  <r>
    <x v="136"/>
    <n v="43"/>
    <n v="2.8"/>
    <x v="72"/>
    <n v="27584"/>
    <x v="9"/>
  </r>
  <r>
    <x v="696"/>
    <n v="15.55"/>
    <n v="1"/>
    <x v="75"/>
    <n v="161364"/>
    <x v="9"/>
  </r>
  <r>
    <x v="79"/>
    <n v="22.22"/>
    <n v="1.42"/>
    <x v="406"/>
    <n v="1747353"/>
    <x v="9"/>
  </r>
  <r>
    <x v="642"/>
    <n v="12.36"/>
    <n v="0.77"/>
    <x v="82"/>
    <n v="13241618"/>
    <x v="9"/>
  </r>
  <r>
    <x v="697"/>
    <n v="2.9"/>
    <n v="0.18"/>
    <x v="127"/>
    <n v="127431"/>
    <x v="9"/>
  </r>
  <r>
    <x v="698"/>
    <n v="15.83"/>
    <n v="0.98"/>
    <x v="128"/>
    <n v="2648"/>
    <x v="9"/>
  </r>
  <r>
    <x v="699"/>
    <n v="10.55"/>
    <n v="0.65"/>
    <x v="129"/>
    <n v="1003184"/>
    <x v="9"/>
  </r>
  <r>
    <x v="631"/>
    <n v="3.09"/>
    <n v="0.19"/>
    <x v="597"/>
    <n v="536227"/>
    <x v="9"/>
  </r>
  <r>
    <x v="641"/>
    <n v="32.5"/>
    <n v="1.98"/>
    <x v="85"/>
    <n v="581033"/>
    <x v="9"/>
  </r>
  <r>
    <x v="635"/>
    <n v="31.59"/>
    <n v="1.91"/>
    <x v="408"/>
    <n v="8487095"/>
    <x v="9"/>
  </r>
  <r>
    <x v="555"/>
    <n v="3.31"/>
    <n v="0.2"/>
    <x v="86"/>
    <n v="3126380"/>
    <x v="9"/>
  </r>
  <r>
    <x v="632"/>
    <n v="11.98"/>
    <n v="0.72"/>
    <x v="598"/>
    <n v="21482225"/>
    <x v="9"/>
  </r>
  <r>
    <x v="564"/>
    <n v="14.45"/>
    <n v="0.86"/>
    <x v="599"/>
    <n v="16048940"/>
    <x v="9"/>
  </r>
  <r>
    <x v="700"/>
    <n v="30.16"/>
    <n v="1.79"/>
    <x v="91"/>
    <n v="2039"/>
    <x v="9"/>
  </r>
  <r>
    <x v="701"/>
    <n v="3.08"/>
    <n v="0.18"/>
    <x v="600"/>
    <n v="631673"/>
    <x v="9"/>
  </r>
  <r>
    <x v="626"/>
    <n v="8.56"/>
    <n v="0.49"/>
    <x v="410"/>
    <n v="2758660"/>
    <x v="9"/>
  </r>
  <r>
    <x v="702"/>
    <n v="37.4"/>
    <n v="2.14"/>
    <x v="410"/>
    <n v="18451"/>
    <x v="9"/>
  </r>
  <r>
    <x v="703"/>
    <n v="5"/>
    <n v="0.28000000000000003"/>
    <x v="139"/>
    <n v="28657"/>
    <x v="9"/>
  </r>
  <r>
    <x v="704"/>
    <n v="2.2799999999999998"/>
    <n v="0.13"/>
    <x v="220"/>
    <n v="72079"/>
    <x v="9"/>
  </r>
  <r>
    <x v="423"/>
    <n v="21.16"/>
    <n v="1.19"/>
    <x v="601"/>
    <n v="296506"/>
    <x v="9"/>
  </r>
  <r>
    <x v="705"/>
    <n v="9.65"/>
    <n v="0.54"/>
    <x v="601"/>
    <n v="5322968"/>
    <x v="9"/>
  </r>
  <r>
    <x v="435"/>
    <n v="2.34"/>
    <n v="0.13"/>
    <x v="297"/>
    <n v="37844"/>
    <x v="9"/>
  </r>
  <r>
    <x v="638"/>
    <n v="14.28"/>
    <n v="0.79"/>
    <x v="223"/>
    <n v="23824"/>
    <x v="9"/>
  </r>
  <r>
    <x v="706"/>
    <n v="3.84"/>
    <n v="0.21"/>
    <x v="602"/>
    <n v="12917965"/>
    <x v="9"/>
  </r>
  <r>
    <x v="424"/>
    <n v="41.4"/>
    <n v="2.21"/>
    <x v="465"/>
    <n v="4950230"/>
    <x v="9"/>
  </r>
  <r>
    <x v="333"/>
    <n v="3.59"/>
    <n v="0.19"/>
    <x v="228"/>
    <n v="8427935"/>
    <x v="9"/>
  </r>
  <r>
    <x v="707"/>
    <n v="34.840000000000003"/>
    <n v="1.83"/>
    <x v="302"/>
    <n v="1532133"/>
    <x v="9"/>
  </r>
  <r>
    <x v="708"/>
    <n v="2.4900000000000002"/>
    <n v="0.13"/>
    <x v="603"/>
    <n v="11857"/>
    <x v="9"/>
  </r>
  <r>
    <x v="628"/>
    <n v="21.31"/>
    <n v="1.1000000000000001"/>
    <x v="468"/>
    <n v="9542425"/>
    <x v="9"/>
  </r>
  <r>
    <x v="709"/>
    <n v="3.9"/>
    <n v="0.2"/>
    <x v="229"/>
    <n v="10693"/>
    <x v="9"/>
  </r>
  <r>
    <x v="137"/>
    <n v="19.12"/>
    <n v="0.98"/>
    <x v="604"/>
    <n v="244858"/>
    <x v="9"/>
  </r>
  <r>
    <x v="473"/>
    <n v="15.44"/>
    <n v="0.79"/>
    <x v="605"/>
    <n v="26006"/>
    <x v="9"/>
  </r>
  <r>
    <x v="12"/>
    <n v="14.88"/>
    <n v="0.76"/>
    <x v="144"/>
    <n v="172926"/>
    <x v="9"/>
  </r>
  <r>
    <x v="710"/>
    <n v="14.74"/>
    <n v="0.75"/>
    <x v="230"/>
    <n v="99291"/>
    <x v="9"/>
  </r>
  <r>
    <x v="449"/>
    <n v="13.04"/>
    <n v="0.66"/>
    <x v="420"/>
    <n v="19817"/>
    <x v="9"/>
  </r>
  <r>
    <x v="711"/>
    <n v="8.9499999999999993"/>
    <n v="0.45"/>
    <x v="422"/>
    <n v="5788"/>
    <x v="9"/>
  </r>
  <r>
    <x v="712"/>
    <n v="3.99"/>
    <n v="0.2"/>
    <x v="606"/>
    <n v="2736930"/>
    <x v="9"/>
  </r>
  <r>
    <x v="643"/>
    <n v="22.1"/>
    <n v="1.1000000000000001"/>
    <x v="607"/>
    <n v="69240"/>
    <x v="9"/>
  </r>
  <r>
    <x v="713"/>
    <n v="12.1"/>
    <n v="0.6"/>
    <x v="608"/>
    <n v="2563"/>
    <x v="9"/>
  </r>
  <r>
    <x v="714"/>
    <n v="28.29"/>
    <n v="1.4"/>
    <x v="609"/>
    <n v="3256198"/>
    <x v="9"/>
  </r>
  <r>
    <x v="656"/>
    <n v="12.56"/>
    <n v="0.62"/>
    <x v="610"/>
    <n v="11639494"/>
    <x v="9"/>
  </r>
  <r>
    <x v="665"/>
    <n v="21.85"/>
    <n v="1.06"/>
    <x v="611"/>
    <n v="132043"/>
    <x v="9"/>
  </r>
  <r>
    <x v="715"/>
    <n v="5.4"/>
    <n v="0.26"/>
    <x v="612"/>
    <n v="2476659"/>
    <x v="9"/>
  </r>
  <r>
    <x v="636"/>
    <n v="10.77"/>
    <n v="0.5"/>
    <x v="472"/>
    <n v="4215"/>
    <x v="9"/>
  </r>
  <r>
    <x v="716"/>
    <n v="28.85"/>
    <n v="1.35"/>
    <x v="472"/>
    <n v="26808"/>
    <x v="9"/>
  </r>
  <r>
    <x v="437"/>
    <n v="115.07"/>
    <n v="5.37"/>
    <x v="157"/>
    <n v="354669"/>
    <x v="9"/>
  </r>
  <r>
    <x v="633"/>
    <n v="16.27"/>
    <n v="0.75"/>
    <x v="309"/>
    <n v="185872"/>
    <x v="9"/>
  </r>
  <r>
    <x v="422"/>
    <n v="49.76"/>
    <n v="2.29"/>
    <x v="161"/>
    <n v="53891188"/>
    <x v="9"/>
  </r>
  <r>
    <x v="413"/>
    <n v="12.78"/>
    <n v="0.57999999999999996"/>
    <x v="310"/>
    <n v="2450"/>
    <x v="9"/>
  </r>
  <r>
    <x v="717"/>
    <n v="13.9"/>
    <n v="0.63"/>
    <x v="310"/>
    <n v="9747449"/>
    <x v="9"/>
  </r>
  <r>
    <x v="699"/>
    <n v="13.83"/>
    <n v="3.28"/>
    <x v="613"/>
    <n v="16951574"/>
    <x v="10"/>
  </r>
  <r>
    <x v="299"/>
    <n v="20.97"/>
    <n v="4.97"/>
    <x v="614"/>
    <n v="185372"/>
    <x v="10"/>
  </r>
  <r>
    <x v="718"/>
    <n v="40.03"/>
    <n v="6.52"/>
    <x v="615"/>
    <n v="13520744"/>
    <x v="10"/>
  </r>
  <r>
    <x v="382"/>
    <n v="3.17"/>
    <n v="0.49"/>
    <x v="616"/>
    <n v="2002737"/>
    <x v="10"/>
  </r>
  <r>
    <x v="719"/>
    <n v="16.8"/>
    <n v="2.4500000000000002"/>
    <x v="617"/>
    <n v="8272127"/>
    <x v="10"/>
  </r>
  <r>
    <x v="219"/>
    <n v="44.8"/>
    <n v="6.08"/>
    <x v="618"/>
    <n v="1126502"/>
    <x v="10"/>
  </r>
  <r>
    <x v="720"/>
    <n v="2.3199999999999998"/>
    <n v="0.3"/>
    <x v="619"/>
    <n v="408983"/>
    <x v="10"/>
  </r>
  <r>
    <x v="721"/>
    <n v="9.23"/>
    <n v="1.1200000000000001"/>
    <x v="620"/>
    <n v="59979"/>
    <x v="10"/>
  </r>
  <r>
    <x v="722"/>
    <n v="3.32"/>
    <n v="0.4"/>
    <x v="621"/>
    <n v="273497"/>
    <x v="10"/>
  </r>
  <r>
    <x v="723"/>
    <n v="2.35"/>
    <n v="0.28000000000000003"/>
    <x v="622"/>
    <n v="2018112"/>
    <x v="10"/>
  </r>
  <r>
    <x v="724"/>
    <n v="172.49"/>
    <n v="19.27"/>
    <x v="623"/>
    <n v="1252512"/>
    <x v="10"/>
  </r>
  <r>
    <x v="725"/>
    <n v="17.09"/>
    <n v="1.84"/>
    <x v="624"/>
    <n v="1059693"/>
    <x v="10"/>
  </r>
  <r>
    <x v="509"/>
    <n v="8.25"/>
    <n v="0.85"/>
    <x v="625"/>
    <n v="838815"/>
    <x v="10"/>
  </r>
  <r>
    <x v="726"/>
    <n v="122.28"/>
    <n v="12.54"/>
    <x v="626"/>
    <n v="490045"/>
    <x v="10"/>
  </r>
  <r>
    <x v="727"/>
    <n v="156.22"/>
    <n v="15.8"/>
    <x v="627"/>
    <n v="7571117"/>
    <x v="10"/>
  </r>
  <r>
    <x v="381"/>
    <n v="6.45"/>
    <n v="0.65"/>
    <x v="628"/>
    <n v="256164"/>
    <x v="10"/>
  </r>
  <r>
    <x v="728"/>
    <n v="35.08"/>
    <n v="3.52"/>
    <x v="629"/>
    <n v="1509661"/>
    <x v="10"/>
  </r>
  <r>
    <x v="497"/>
    <n v="20.54"/>
    <n v="2.04"/>
    <x v="630"/>
    <n v="6606"/>
    <x v="10"/>
  </r>
  <r>
    <x v="729"/>
    <n v="56.46"/>
    <n v="5.49"/>
    <x v="631"/>
    <n v="29534"/>
    <x v="10"/>
  </r>
  <r>
    <x v="574"/>
    <n v="4.9400000000000004"/>
    <n v="0.47"/>
    <x v="632"/>
    <n v="1699593"/>
    <x v="10"/>
  </r>
  <r>
    <x v="318"/>
    <n v="54"/>
    <n v="5.08"/>
    <x v="499"/>
    <n v="2551607"/>
    <x v="10"/>
  </r>
  <r>
    <x v="730"/>
    <n v="56.5"/>
    <n v="5.29"/>
    <x v="197"/>
    <n v="127145"/>
    <x v="10"/>
  </r>
  <r>
    <x v="234"/>
    <n v="4.2"/>
    <n v="0.39"/>
    <x v="633"/>
    <n v="164190"/>
    <x v="10"/>
  </r>
  <r>
    <x v="120"/>
    <n v="11.21"/>
    <n v="1.01"/>
    <x v="634"/>
    <n v="111418"/>
    <x v="10"/>
  </r>
  <r>
    <x v="693"/>
    <n v="4.01"/>
    <n v="0.36"/>
    <x v="635"/>
    <n v="368747"/>
    <x v="10"/>
  </r>
  <r>
    <x v="731"/>
    <n v="2.34"/>
    <n v="0.21"/>
    <x v="635"/>
    <n v="541841"/>
    <x v="10"/>
  </r>
  <r>
    <x v="732"/>
    <n v="128.94"/>
    <n v="11.38"/>
    <x v="636"/>
    <n v="240021"/>
    <x v="10"/>
  </r>
  <r>
    <x v="733"/>
    <n v="76.94"/>
    <n v="6.73"/>
    <x v="637"/>
    <n v="67490"/>
    <x v="10"/>
  </r>
  <r>
    <x v="734"/>
    <n v="98.57"/>
    <n v="8.43"/>
    <x v="638"/>
    <n v="52482"/>
    <x v="10"/>
  </r>
  <r>
    <x v="735"/>
    <n v="144.46"/>
    <n v="12.32"/>
    <x v="639"/>
    <n v="19562"/>
    <x v="10"/>
  </r>
  <r>
    <x v="736"/>
    <n v="81.5"/>
    <n v="6.94"/>
    <x v="38"/>
    <n v="93990"/>
    <x v="10"/>
  </r>
  <r>
    <x v="313"/>
    <n v="26.14"/>
    <n v="2.2200000000000002"/>
    <x v="640"/>
    <n v="238594"/>
    <x v="10"/>
  </r>
  <r>
    <x v="737"/>
    <n v="2.2400000000000002"/>
    <n v="0.19"/>
    <x v="641"/>
    <n v="438032"/>
    <x v="10"/>
  </r>
  <r>
    <x v="738"/>
    <n v="32.69"/>
    <n v="2.73"/>
    <x v="642"/>
    <n v="12102"/>
    <x v="10"/>
  </r>
  <r>
    <x v="739"/>
    <n v="6.28"/>
    <n v="0.52"/>
    <x v="643"/>
    <n v="593342"/>
    <x v="10"/>
  </r>
  <r>
    <x v="97"/>
    <n v="17.63"/>
    <n v="1.45"/>
    <x v="509"/>
    <n v="125389"/>
    <x v="10"/>
  </r>
  <r>
    <x v="740"/>
    <n v="6.1"/>
    <n v="0.5"/>
    <x v="592"/>
    <n v="995008"/>
    <x v="10"/>
  </r>
  <r>
    <x v="0"/>
    <n v="33.44"/>
    <n v="2.74"/>
    <x v="592"/>
    <n v="354156"/>
    <x v="10"/>
  </r>
  <r>
    <x v="741"/>
    <n v="9.1999999999999993"/>
    <n v="0.75"/>
    <x v="644"/>
    <n v="123592"/>
    <x v="10"/>
  </r>
  <r>
    <x v="742"/>
    <n v="3.62"/>
    <n v="0.28999999999999998"/>
    <x v="44"/>
    <n v="226459"/>
    <x v="10"/>
  </r>
  <r>
    <x v="743"/>
    <n v="85.45"/>
    <n v="6.74"/>
    <x v="645"/>
    <n v="1704993"/>
    <x v="10"/>
  </r>
  <r>
    <x v="744"/>
    <n v="35.5"/>
    <n v="2.8"/>
    <x v="645"/>
    <n v="150976"/>
    <x v="10"/>
  </r>
  <r>
    <x v="745"/>
    <n v="89.48"/>
    <n v="6.98"/>
    <x v="646"/>
    <n v="1977858"/>
    <x v="10"/>
  </r>
  <r>
    <x v="746"/>
    <n v="64.709999999999994"/>
    <n v="5.03"/>
    <x v="516"/>
    <n v="2647642"/>
    <x v="10"/>
  </r>
  <r>
    <x v="747"/>
    <n v="42.19"/>
    <n v="3.26"/>
    <x v="647"/>
    <n v="8949744"/>
    <x v="10"/>
  </r>
  <r>
    <x v="748"/>
    <n v="7.25"/>
    <n v="0.56000000000000005"/>
    <x v="647"/>
    <n v="2878219"/>
    <x v="10"/>
  </r>
  <r>
    <x v="749"/>
    <n v="3.25"/>
    <n v="0.25"/>
    <x v="47"/>
    <n v="60050"/>
    <x v="10"/>
  </r>
  <r>
    <x v="750"/>
    <n v="133.5"/>
    <n v="10.210000000000001"/>
    <x v="266"/>
    <n v="2762801"/>
    <x v="10"/>
  </r>
  <r>
    <x v="751"/>
    <n v="97.21"/>
    <n v="7.32"/>
    <x v="648"/>
    <n v="133262"/>
    <x v="10"/>
  </r>
  <r>
    <x v="752"/>
    <n v="33.24"/>
    <n v="2.4900000000000002"/>
    <x v="649"/>
    <n v="243189"/>
    <x v="10"/>
  </r>
  <r>
    <x v="753"/>
    <n v="68.11"/>
    <n v="5.03"/>
    <x v="53"/>
    <n v="4775"/>
    <x v="10"/>
  </r>
  <r>
    <x v="754"/>
    <n v="34.590000000000003"/>
    <n v="2.5299999999999998"/>
    <x v="269"/>
    <n v="5415550"/>
    <x v="10"/>
  </r>
  <r>
    <x v="12"/>
    <n v="16.05"/>
    <n v="1.17"/>
    <x v="650"/>
    <n v="197526"/>
    <x v="10"/>
  </r>
  <r>
    <x v="128"/>
    <n v="7.55"/>
    <n v="0.55000000000000004"/>
    <x v="650"/>
    <n v="117864"/>
    <x v="10"/>
  </r>
  <r>
    <x v="5"/>
    <n v="27.65"/>
    <n v="2"/>
    <x v="372"/>
    <n v="479065"/>
    <x v="10"/>
  </r>
  <r>
    <x v="755"/>
    <n v="69.58"/>
    <n v="5.03"/>
    <x v="651"/>
    <n v="2244792"/>
    <x v="10"/>
  </r>
  <r>
    <x v="756"/>
    <n v="19.95"/>
    <n v="1.43"/>
    <x v="652"/>
    <n v="3813176"/>
    <x v="10"/>
  </r>
  <r>
    <x v="757"/>
    <n v="54.55"/>
    <n v="3.9"/>
    <x v="653"/>
    <n v="154840"/>
    <x v="10"/>
  </r>
  <r>
    <x v="758"/>
    <n v="86.9"/>
    <n v="6.21"/>
    <x v="653"/>
    <n v="224174"/>
    <x v="10"/>
  </r>
  <r>
    <x v="759"/>
    <n v="51.27"/>
    <n v="3.64"/>
    <x v="373"/>
    <n v="184591"/>
    <x v="10"/>
  </r>
  <r>
    <x v="760"/>
    <n v="93.78"/>
    <n v="6.6"/>
    <x v="207"/>
    <n v="54238357"/>
    <x v="10"/>
  </r>
  <r>
    <x v="761"/>
    <n v="2.7"/>
    <n v="0.19"/>
    <x v="207"/>
    <n v="293689"/>
    <x v="10"/>
  </r>
  <r>
    <x v="762"/>
    <n v="80.45"/>
    <n v="5.63"/>
    <x v="119"/>
    <n v="3023821"/>
    <x v="10"/>
  </r>
  <r>
    <x v="763"/>
    <n v="2.15"/>
    <n v="0.15"/>
    <x v="62"/>
    <n v="19997"/>
    <x v="10"/>
  </r>
  <r>
    <x v="500"/>
    <n v="48.08"/>
    <n v="3.31"/>
    <x v="654"/>
    <n v="3326973"/>
    <x v="10"/>
  </r>
  <r>
    <x v="764"/>
    <n v="86.92"/>
    <n v="5.97"/>
    <x v="655"/>
    <n v="8795"/>
    <x v="10"/>
  </r>
  <r>
    <x v="765"/>
    <n v="2.5"/>
    <n v="0.17"/>
    <x v="209"/>
    <n v="9091530"/>
    <x v="10"/>
  </r>
  <r>
    <x v="766"/>
    <n v="20.45"/>
    <n v="1.38"/>
    <x v="122"/>
    <n v="774915"/>
    <x v="10"/>
  </r>
  <r>
    <x v="767"/>
    <n v="6.68"/>
    <n v="0.45"/>
    <x v="68"/>
    <n v="346090"/>
    <x v="10"/>
  </r>
  <r>
    <x v="768"/>
    <n v="66.55"/>
    <n v="4.45"/>
    <x v="123"/>
    <n v="32611"/>
    <x v="10"/>
  </r>
  <r>
    <x v="365"/>
    <n v="20.2"/>
    <n v="1.35"/>
    <x v="596"/>
    <n v="79136"/>
    <x v="10"/>
  </r>
  <r>
    <x v="350"/>
    <n v="2.5499999999999998"/>
    <n v="0.17"/>
    <x v="69"/>
    <n v="38937"/>
    <x v="10"/>
  </r>
  <r>
    <x v="582"/>
    <n v="15.05"/>
    <n v="1"/>
    <x v="70"/>
    <n v="890855"/>
    <x v="10"/>
  </r>
  <r>
    <x v="769"/>
    <n v="12.95"/>
    <n v="0.85"/>
    <x v="281"/>
    <n v="7318438"/>
    <x v="10"/>
  </r>
  <r>
    <x v="675"/>
    <n v="30.45"/>
    <n v="1.97"/>
    <x v="74"/>
    <n v="16871422"/>
    <x v="10"/>
  </r>
  <r>
    <x v="27"/>
    <n v="31.75"/>
    <n v="2.0499999999999998"/>
    <x v="214"/>
    <n v="584187"/>
    <x v="10"/>
  </r>
  <r>
    <x v="254"/>
    <n v="9.3000000000000007"/>
    <n v="0.6"/>
    <x v="214"/>
    <n v="750963"/>
    <x v="10"/>
  </r>
  <r>
    <x v="190"/>
    <n v="2.33"/>
    <n v="0.15"/>
    <x v="656"/>
    <n v="1314067"/>
    <x v="10"/>
  </r>
  <r>
    <x v="770"/>
    <n v="18.05"/>
    <n v="1.1599999999999999"/>
    <x v="75"/>
    <n v="310826"/>
    <x v="10"/>
  </r>
  <r>
    <x v="544"/>
    <n v="17.239999999999998"/>
    <n v="1.1000000000000001"/>
    <x v="215"/>
    <n v="1038037"/>
    <x v="10"/>
  </r>
  <r>
    <x v="464"/>
    <n v="24.46"/>
    <n v="1.56"/>
    <x v="76"/>
    <n v="2020855"/>
    <x v="10"/>
  </r>
  <r>
    <x v="771"/>
    <n v="3.45"/>
    <n v="0.22"/>
    <x v="76"/>
    <n v="670161"/>
    <x v="10"/>
  </r>
  <r>
    <x v="772"/>
    <n v="2.2000000000000002"/>
    <n v="0.14000000000000001"/>
    <x v="455"/>
    <n v="2000"/>
    <x v="10"/>
  </r>
  <r>
    <x v="694"/>
    <n v="2.68"/>
    <n v="0.17"/>
    <x v="125"/>
    <n v="80343"/>
    <x v="10"/>
  </r>
  <r>
    <x v="773"/>
    <n v="15.82"/>
    <n v="0.99"/>
    <x v="81"/>
    <n v="283759"/>
    <x v="10"/>
  </r>
  <r>
    <x v="774"/>
    <n v="113.86"/>
    <n v="7.07"/>
    <x v="127"/>
    <n v="1003721"/>
    <x v="10"/>
  </r>
  <r>
    <x v="151"/>
    <n v="14.82"/>
    <n v="0.92"/>
    <x v="127"/>
    <n v="232226"/>
    <x v="10"/>
  </r>
  <r>
    <x v="775"/>
    <n v="33.9"/>
    <n v="2.1"/>
    <x v="564"/>
    <n v="8352"/>
    <x v="10"/>
  </r>
  <r>
    <x v="776"/>
    <n v="89.3"/>
    <n v="5.53"/>
    <x v="128"/>
    <n v="13574550"/>
    <x v="10"/>
  </r>
  <r>
    <x v="777"/>
    <n v="43.77"/>
    <n v="2.7"/>
    <x v="129"/>
    <n v="31631"/>
    <x v="10"/>
  </r>
  <r>
    <x v="778"/>
    <n v="69.569999999999993"/>
    <n v="4.29"/>
    <x v="129"/>
    <n v="3556351"/>
    <x v="10"/>
  </r>
  <r>
    <x v="779"/>
    <n v="15.9"/>
    <n v="0.98"/>
    <x v="129"/>
    <n v="2113588"/>
    <x v="10"/>
  </r>
  <r>
    <x v="780"/>
    <n v="15.11"/>
    <n v="0.93"/>
    <x v="130"/>
    <n v="452773"/>
    <x v="10"/>
  </r>
  <r>
    <x v="198"/>
    <n v="22.33"/>
    <n v="1.37"/>
    <x v="657"/>
    <n v="352457"/>
    <x v="10"/>
  </r>
  <r>
    <x v="702"/>
    <n v="39.840000000000003"/>
    <n v="2.44"/>
    <x v="658"/>
    <n v="23570"/>
    <x v="10"/>
  </r>
  <r>
    <x v="781"/>
    <n v="32.9"/>
    <n v="2"/>
    <x v="132"/>
    <n v="323622"/>
    <x v="10"/>
  </r>
  <r>
    <x v="493"/>
    <n v="8.24"/>
    <n v="0.5"/>
    <x v="133"/>
    <n v="2139174"/>
    <x v="10"/>
  </r>
  <r>
    <x v="782"/>
    <n v="228.91"/>
    <n v="13.89"/>
    <x v="133"/>
    <n v="4404057"/>
    <x v="10"/>
  </r>
  <r>
    <x v="783"/>
    <n v="81.75"/>
    <n v="4.96"/>
    <x v="133"/>
    <n v="157656"/>
    <x v="10"/>
  </r>
  <r>
    <x v="784"/>
    <n v="320.35000000000002"/>
    <n v="19.41"/>
    <x v="457"/>
    <n v="11698861"/>
    <x v="10"/>
  </r>
  <r>
    <x v="658"/>
    <n v="2.75"/>
    <n v="0.65"/>
    <x v="659"/>
    <n v="230080"/>
    <x v="11"/>
  </r>
  <r>
    <x v="206"/>
    <n v="2.63"/>
    <n v="0.61"/>
    <x v="660"/>
    <n v="4271890"/>
    <x v="11"/>
  </r>
  <r>
    <x v="785"/>
    <n v="6.33"/>
    <n v="1.2"/>
    <x v="661"/>
    <n v="59035"/>
    <x v="11"/>
  </r>
  <r>
    <x v="786"/>
    <n v="2.91"/>
    <n v="0.46"/>
    <x v="249"/>
    <n v="64561"/>
    <x v="11"/>
  </r>
  <r>
    <x v="268"/>
    <n v="2.4"/>
    <n v="0.36"/>
    <x v="662"/>
    <n v="9651107"/>
    <x v="11"/>
  </r>
  <r>
    <x v="136"/>
    <n v="45"/>
    <n v="6.31"/>
    <x v="663"/>
    <n v="42858"/>
    <x v="11"/>
  </r>
  <r>
    <x v="415"/>
    <n v="12.98"/>
    <n v="1.8"/>
    <x v="664"/>
    <n v="383266"/>
    <x v="11"/>
  </r>
  <r>
    <x v="787"/>
    <n v="2.3199999999999998"/>
    <n v="0.32"/>
    <x v="185"/>
    <n v="784364"/>
    <x v="11"/>
  </r>
  <r>
    <x v="411"/>
    <n v="10.46"/>
    <n v="1.37"/>
    <x v="665"/>
    <n v="66531940"/>
    <x v="11"/>
  </r>
  <r>
    <x v="788"/>
    <n v="2.52"/>
    <n v="0.32"/>
    <x v="666"/>
    <n v="12197936"/>
    <x v="11"/>
  </r>
  <r>
    <x v="333"/>
    <n v="3.72"/>
    <n v="0.43"/>
    <x v="667"/>
    <n v="10843918"/>
    <x v="11"/>
  </r>
  <r>
    <x v="789"/>
    <n v="17.3"/>
    <n v="1.99"/>
    <x v="668"/>
    <n v="744677"/>
    <x v="11"/>
  </r>
  <r>
    <x v="109"/>
    <n v="21.32"/>
    <n v="2.36"/>
    <x v="669"/>
    <n v="137679"/>
    <x v="11"/>
  </r>
  <r>
    <x v="315"/>
    <n v="4.3499999999999996"/>
    <n v="0.48"/>
    <x v="670"/>
    <n v="1860619"/>
    <x v="11"/>
  </r>
  <r>
    <x v="412"/>
    <n v="20.100000000000001"/>
    <n v="2.13"/>
    <x v="671"/>
    <n v="39580021"/>
    <x v="11"/>
  </r>
  <r>
    <x v="790"/>
    <n v="65.25"/>
    <n v="6.65"/>
    <x v="672"/>
    <n v="6830"/>
    <x v="11"/>
  </r>
  <r>
    <x v="189"/>
    <n v="12.14"/>
    <n v="1.23"/>
    <x v="673"/>
    <n v="2859193"/>
    <x v="11"/>
  </r>
  <r>
    <x v="791"/>
    <n v="75.89"/>
    <n v="7.23"/>
    <x v="674"/>
    <n v="154356"/>
    <x v="11"/>
  </r>
  <r>
    <x v="447"/>
    <n v="11.14"/>
    <n v="1.01"/>
    <x v="556"/>
    <n v="20740"/>
    <x v="11"/>
  </r>
  <r>
    <x v="792"/>
    <n v="4.42"/>
    <n v="0.4"/>
    <x v="557"/>
    <n v="400333"/>
    <x v="11"/>
  </r>
  <r>
    <x v="440"/>
    <n v="18.73"/>
    <n v="1.66"/>
    <x v="35"/>
    <n v="25851441"/>
    <x v="11"/>
  </r>
  <r>
    <x v="444"/>
    <n v="6.14"/>
    <n v="0.54"/>
    <x v="675"/>
    <n v="2112967"/>
    <x v="11"/>
  </r>
  <r>
    <x v="449"/>
    <n v="13.39"/>
    <n v="1.1499999999999999"/>
    <x v="676"/>
    <n v="6416"/>
    <x v="11"/>
  </r>
  <r>
    <x v="712"/>
    <n v="4.51"/>
    <n v="0.38"/>
    <x v="677"/>
    <n v="3559296"/>
    <x v="11"/>
  </r>
  <r>
    <x v="378"/>
    <n v="5.21"/>
    <n v="0.41"/>
    <x v="678"/>
    <n v="161126"/>
    <x v="11"/>
  </r>
  <r>
    <x v="793"/>
    <n v="21.13"/>
    <n v="1.66"/>
    <x v="203"/>
    <n v="2030172"/>
    <x v="11"/>
  </r>
  <r>
    <x v="709"/>
    <n v="2.96"/>
    <n v="0.23"/>
    <x v="679"/>
    <n v="68318"/>
    <x v="11"/>
  </r>
  <r>
    <x v="794"/>
    <n v="7.9"/>
    <n v="0.61"/>
    <x v="647"/>
    <n v="29639"/>
    <x v="11"/>
  </r>
  <r>
    <x v="795"/>
    <n v="2.21"/>
    <n v="0.17"/>
    <x v="47"/>
    <n v="5960"/>
    <x v="11"/>
  </r>
  <r>
    <x v="423"/>
    <n v="21.09"/>
    <n v="1.59"/>
    <x v="680"/>
    <n v="135206"/>
    <x v="11"/>
  </r>
  <r>
    <x v="456"/>
    <n v="8.7200000000000006"/>
    <n v="0.66"/>
    <x v="267"/>
    <n v="26588"/>
    <x v="11"/>
  </r>
  <r>
    <x v="422"/>
    <n v="49.86"/>
    <n v="3.73"/>
    <x v="681"/>
    <n v="37211799"/>
    <x v="11"/>
  </r>
  <r>
    <x v="424"/>
    <n v="41.25"/>
    <n v="3.06"/>
    <x v="268"/>
    <n v="3521935"/>
    <x v="11"/>
  </r>
  <r>
    <x v="313"/>
    <n v="28.22"/>
    <n v="2.08"/>
    <x v="682"/>
    <n v="258446"/>
    <x v="11"/>
  </r>
  <r>
    <x v="796"/>
    <n v="7.12"/>
    <n v="0.52"/>
    <x v="522"/>
    <n v="72714"/>
    <x v="11"/>
  </r>
  <r>
    <x v="694"/>
    <n v="2.89"/>
    <n v="0.21"/>
    <x v="56"/>
    <n v="173787"/>
    <x v="11"/>
  </r>
  <r>
    <x v="390"/>
    <n v="15.88"/>
    <n v="1.1499999999999999"/>
    <x v="57"/>
    <n v="223485"/>
    <x v="11"/>
  </r>
  <r>
    <x v="683"/>
    <n v="8.33"/>
    <n v="0.6"/>
    <x v="563"/>
    <n v="692981"/>
    <x v="11"/>
  </r>
  <r>
    <x v="107"/>
    <n v="9.9600000000000009"/>
    <n v="0.71"/>
    <x v="59"/>
    <n v="79426"/>
    <x v="11"/>
  </r>
  <r>
    <x v="797"/>
    <n v="6.93"/>
    <n v="0.49"/>
    <x v="683"/>
    <n v="443509"/>
    <x v="11"/>
  </r>
  <r>
    <x v="300"/>
    <n v="29.34"/>
    <n v="2.0699999999999998"/>
    <x v="526"/>
    <n v="17566"/>
    <x v="11"/>
  </r>
  <r>
    <x v="473"/>
    <n v="15.24"/>
    <n v="1.07"/>
    <x v="61"/>
    <n v="14030"/>
    <x v="11"/>
  </r>
  <r>
    <x v="798"/>
    <n v="4.3499999999999996"/>
    <n v="0.3"/>
    <x v="405"/>
    <n v="580852"/>
    <x v="11"/>
  </r>
  <r>
    <x v="799"/>
    <n v="3.05"/>
    <n v="0.21"/>
    <x v="654"/>
    <n v="38024"/>
    <x v="11"/>
  </r>
  <r>
    <x v="426"/>
    <n v="12.25"/>
    <n v="0.84"/>
    <x v="274"/>
    <n v="3222339"/>
    <x v="11"/>
  </r>
  <r>
    <x v="127"/>
    <n v="2.58"/>
    <n v="0.18"/>
    <x v="376"/>
    <n v="55737"/>
    <x v="11"/>
  </r>
  <r>
    <x v="191"/>
    <n v="9.5500000000000007"/>
    <n v="0.65"/>
    <x v="209"/>
    <n v="326976"/>
    <x v="11"/>
  </r>
  <r>
    <x v="190"/>
    <n v="2.5"/>
    <n v="0.17"/>
    <x v="209"/>
    <n v="2861782"/>
    <x v="11"/>
  </r>
  <r>
    <x v="731"/>
    <n v="2.5099999999999998"/>
    <n v="0.17"/>
    <x v="276"/>
    <n v="1485393"/>
    <x v="11"/>
  </r>
  <r>
    <x v="800"/>
    <n v="16.899999999999999"/>
    <n v="1.1000000000000001"/>
    <x v="73"/>
    <n v="880505"/>
    <x v="11"/>
  </r>
  <r>
    <x v="427"/>
    <n v="13.07"/>
    <n v="0.85"/>
    <x v="73"/>
    <n v="1736803"/>
    <x v="11"/>
  </r>
  <r>
    <x v="232"/>
    <n v="2.78"/>
    <n v="0.18"/>
    <x v="74"/>
    <n v="4943"/>
    <x v="11"/>
  </r>
  <r>
    <x v="801"/>
    <n v="37.6"/>
    <n v="2.4"/>
    <x v="215"/>
    <n v="1912200"/>
    <x v="11"/>
  </r>
  <r>
    <x v="286"/>
    <n v="4.0999999999999996"/>
    <n v="0.26"/>
    <x v="125"/>
    <n v="19251"/>
    <x v="11"/>
  </r>
  <r>
    <x v="623"/>
    <n v="8.2899999999999991"/>
    <n v="0.52"/>
    <x v="78"/>
    <n v="6434"/>
    <x v="11"/>
  </r>
  <r>
    <x v="330"/>
    <n v="18.68"/>
    <n v="1.18"/>
    <x v="684"/>
    <n v="184526"/>
    <x v="11"/>
  </r>
  <r>
    <x v="656"/>
    <n v="12.38"/>
    <n v="0.76"/>
    <x v="657"/>
    <n v="11024268"/>
    <x v="11"/>
  </r>
  <r>
    <x v="802"/>
    <n v="6.83"/>
    <n v="0.41"/>
    <x v="598"/>
    <n v="322170"/>
    <x v="11"/>
  </r>
  <r>
    <x v="803"/>
    <n v="10.95"/>
    <n v="0.65"/>
    <x v="91"/>
    <n v="18893"/>
    <x v="11"/>
  </r>
  <r>
    <x v="132"/>
    <n v="2.5499999999999998"/>
    <n v="0.15"/>
    <x v="288"/>
    <n v="19551"/>
    <x v="11"/>
  </r>
  <r>
    <x v="531"/>
    <n v="18.23"/>
    <n v="1.07"/>
    <x v="289"/>
    <n v="54606"/>
    <x v="11"/>
  </r>
  <r>
    <x v="804"/>
    <n v="9.69"/>
    <n v="0.56000000000000005"/>
    <x v="685"/>
    <n v="5349"/>
    <x v="11"/>
  </r>
  <r>
    <x v="805"/>
    <n v="2.98"/>
    <n v="0.17"/>
    <x v="292"/>
    <n v="1430429"/>
    <x v="11"/>
  </r>
  <r>
    <x v="806"/>
    <n v="2.99"/>
    <n v="0.17"/>
    <x v="293"/>
    <n v="7195"/>
    <x v="11"/>
  </r>
  <r>
    <x v="2"/>
    <n v="5.87"/>
    <n v="0.33"/>
    <x v="686"/>
    <n v="14080"/>
    <x v="11"/>
  </r>
  <r>
    <x v="807"/>
    <n v="96.49"/>
    <n v="5.42"/>
    <x v="411"/>
    <n v="5406"/>
    <x v="11"/>
  </r>
  <r>
    <x v="808"/>
    <n v="8.02"/>
    <n v="0.44"/>
    <x v="140"/>
    <n v="476898"/>
    <x v="11"/>
  </r>
  <r>
    <x v="668"/>
    <n v="25.72"/>
    <n v="1.41"/>
    <x v="140"/>
    <n v="5625593"/>
    <x v="11"/>
  </r>
  <r>
    <x v="641"/>
    <n v="32.14"/>
    <n v="1.76"/>
    <x v="602"/>
    <n v="607561"/>
    <x v="11"/>
  </r>
  <r>
    <x v="642"/>
    <n v="12.21"/>
    <n v="0.66"/>
    <x v="416"/>
    <n v="11723440"/>
    <x v="11"/>
  </r>
  <r>
    <x v="665"/>
    <n v="21.84"/>
    <n v="1.1499999999999999"/>
    <x v="142"/>
    <n v="64184"/>
    <x v="11"/>
  </r>
  <r>
    <x v="809"/>
    <n v="6.46"/>
    <n v="0.34"/>
    <x v="142"/>
    <n v="21211"/>
    <x v="11"/>
  </r>
  <r>
    <x v="626"/>
    <n v="8.15"/>
    <n v="0.42"/>
    <x v="687"/>
    <n v="2155134"/>
    <x v="11"/>
  </r>
  <r>
    <x v="711"/>
    <n v="9.1999999999999993"/>
    <n v="0.47"/>
    <x v="605"/>
    <n v="12319"/>
    <x v="11"/>
  </r>
  <r>
    <x v="681"/>
    <n v="23.49"/>
    <n v="1.2"/>
    <x v="144"/>
    <n v="63509"/>
    <x v="11"/>
  </r>
  <r>
    <x v="632"/>
    <n v="11.57"/>
    <n v="0.59"/>
    <x v="145"/>
    <n v="24116642"/>
    <x v="11"/>
  </r>
  <r>
    <x v="635"/>
    <n v="30.5"/>
    <n v="1.54"/>
    <x v="688"/>
    <n v="8406946"/>
    <x v="11"/>
  </r>
  <r>
    <x v="810"/>
    <n v="23.58"/>
    <n v="1.18"/>
    <x v="147"/>
    <n v="13837"/>
    <x v="11"/>
  </r>
  <r>
    <x v="337"/>
    <n v="7.55"/>
    <n v="0.36"/>
    <x v="236"/>
    <n v="101003"/>
    <x v="11"/>
  </r>
  <r>
    <x v="811"/>
    <n v="53.48"/>
    <n v="2.5299999999999998"/>
    <x v="155"/>
    <n v="1456477"/>
    <x v="11"/>
  </r>
  <r>
    <x v="812"/>
    <n v="3.21"/>
    <n v="0.15"/>
    <x v="157"/>
    <n v="13358522"/>
    <x v="11"/>
  </r>
  <r>
    <x v="163"/>
    <n v="2.15"/>
    <n v="0.1"/>
    <x v="159"/>
    <n v="223655"/>
    <x v="11"/>
  </r>
  <r>
    <x v="813"/>
    <n v="8.6"/>
    <n v="0.4"/>
    <x v="159"/>
    <n v="406209"/>
    <x v="11"/>
  </r>
  <r>
    <x v="627"/>
    <n v="11.83"/>
    <n v="0.55000000000000004"/>
    <x v="159"/>
    <n v="4653908"/>
    <x v="11"/>
  </r>
  <r>
    <x v="562"/>
    <n v="4.76"/>
    <n v="0.22"/>
    <x v="309"/>
    <n v="4455"/>
    <x v="11"/>
  </r>
  <r>
    <x v="814"/>
    <n v="35.75"/>
    <n v="1.65"/>
    <x v="689"/>
    <n v="3211"/>
    <x v="11"/>
  </r>
  <r>
    <x v="815"/>
    <n v="21.45"/>
    <n v="0.99"/>
    <x v="689"/>
    <n v="97228"/>
    <x v="11"/>
  </r>
  <r>
    <x v="47"/>
    <n v="5.97"/>
    <n v="0.27"/>
    <x v="161"/>
    <n v="18773"/>
    <x v="11"/>
  </r>
  <r>
    <x v="816"/>
    <n v="10.69"/>
    <n v="0.49"/>
    <x v="162"/>
    <n v="2517505"/>
    <x v="11"/>
  </r>
  <r>
    <x v="619"/>
    <n v="22.95"/>
    <n v="1.05"/>
    <x v="237"/>
    <n v="605664"/>
    <x v="11"/>
  </r>
  <r>
    <x v="356"/>
    <n v="4.4000000000000004"/>
    <n v="0.2"/>
    <x v="163"/>
    <n v="33166"/>
    <x v="11"/>
  </r>
  <r>
    <x v="817"/>
    <n v="2.2000000000000002"/>
    <n v="0.1"/>
    <x v="163"/>
    <n v="466503"/>
    <x v="11"/>
  </r>
  <r>
    <x v="818"/>
    <n v="4.4400000000000004"/>
    <n v="0.2"/>
    <x v="164"/>
    <n v="3671"/>
    <x v="11"/>
  </r>
  <r>
    <x v="819"/>
    <n v="11.07"/>
    <n v="0.48"/>
    <x v="174"/>
    <n v="2771"/>
    <x v="11"/>
  </r>
  <r>
    <x v="5"/>
    <n v="28.9"/>
    <n v="1.25"/>
    <x v="175"/>
    <n v="815642"/>
    <x v="11"/>
  </r>
  <r>
    <x v="820"/>
    <n v="22.2"/>
    <n v="0.96"/>
    <x v="175"/>
    <n v="390235"/>
    <x v="11"/>
  </r>
  <r>
    <x v="821"/>
    <n v="26.83"/>
    <n v="1.1599999999999999"/>
    <x v="175"/>
    <n v="29971"/>
    <x v="11"/>
  </r>
  <r>
    <x v="822"/>
    <n v="14"/>
    <n v="0.6"/>
    <x v="433"/>
    <n v="669013"/>
    <x v="11"/>
  </r>
  <r>
    <x v="823"/>
    <n v="12.9"/>
    <n v="0.55000000000000004"/>
    <x v="690"/>
    <n v="318189"/>
    <x v="11"/>
  </r>
  <r>
    <x v="638"/>
    <n v="13.96"/>
    <n v="0.59"/>
    <x v="690"/>
    <n v="19661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2">
  <location ref="E4:F11" firstHeaderRow="1" firstDataRow="1" firstDataCol="1"/>
  <pivotFields count="2">
    <pivotField showAll="0"/>
    <pivotField axis="axisRow" dataField="1" showAll="0" sortType="ascending">
      <items count="7">
        <item x="0"/>
        <item x="2"/>
        <item x="3"/>
        <item x="1"/>
        <item x="5"/>
        <item x="4"/>
        <item t="default"/>
      </items>
    </pivotField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Count of Symbol" fld="1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3">
  <location ref="A3:B828" firstHeaderRow="1" firstDataRow="1" firstDataCol="1"/>
  <pivotFields count="6">
    <pivotField axis="axisRow" dataField="1" showAll="0" sortType="descending">
      <items count="1788">
        <item m="1" x="1282"/>
        <item m="1" x="1626"/>
        <item m="1" x="1369"/>
        <item m="1" x="1773"/>
        <item m="1" x="1533"/>
        <item m="1" x="1427"/>
        <item m="1" x="1217"/>
        <item m="1" x="1630"/>
        <item m="1" x="1353"/>
        <item m="1" x="901"/>
        <item m="1" x="882"/>
        <item m="1" x="1507"/>
        <item m="1" x="1477"/>
        <item m="1" x="1294"/>
        <item m="1" x="1755"/>
        <item m="1" x="1523"/>
        <item m="1" x="1598"/>
        <item m="1" x="1332"/>
        <item m="1" x="1576"/>
        <item m="1" x="1588"/>
        <item m="1" x="1280"/>
        <item m="1" x="1469"/>
        <item m="1" x="1663"/>
        <item m="1" x="1468"/>
        <item m="1" x="1377"/>
        <item m="1" x="1675"/>
        <item m="1" x="1112"/>
        <item m="1" x="1150"/>
        <item m="1" x="1645"/>
        <item m="1" x="1463"/>
        <item m="1" x="1048"/>
        <item m="1" x="1399"/>
        <item m="1" x="1618"/>
        <item m="1" x="1622"/>
        <item m="1" x="1642"/>
        <item m="1" x="884"/>
        <item m="1" x="1761"/>
        <item m="1" x="962"/>
        <item m="1" x="1649"/>
        <item m="1" x="1288"/>
        <item m="1" x="1128"/>
        <item m="1" x="1138"/>
        <item m="1" x="1402"/>
        <item m="1" x="992"/>
        <item m="1" x="829"/>
        <item m="1" x="1673"/>
        <item m="1" x="1370"/>
        <item m="1" x="1068"/>
        <item m="1" x="1221"/>
        <item m="1" x="984"/>
        <item m="1" x="1184"/>
        <item m="1" x="1688"/>
        <item m="1" x="996"/>
        <item m="1" x="991"/>
        <item m="1" x="1493"/>
        <item m="1" x="1225"/>
        <item m="1" x="1117"/>
        <item m="1" x="961"/>
        <item m="1" x="1461"/>
        <item m="1" x="1084"/>
        <item m="1" x="1262"/>
        <item m="1" x="1393"/>
        <item m="1" x="1253"/>
        <item m="1" x="1543"/>
        <item m="1" x="1473"/>
        <item m="1" x="1653"/>
        <item m="1" x="1385"/>
        <item m="1" x="914"/>
        <item m="1" x="1756"/>
        <item m="1" x="915"/>
        <item m="1" x="1740"/>
        <item m="1" x="1071"/>
        <item m="1" x="1518"/>
        <item m="1" x="1284"/>
        <item m="1" x="1572"/>
        <item m="1" x="1451"/>
        <item m="1" x="1090"/>
        <item m="1" x="1666"/>
        <item m="1" x="1374"/>
        <item m="1" x="1735"/>
        <item m="1" x="1187"/>
        <item m="1" x="1153"/>
        <item m="1" x="1041"/>
        <item m="1" x="1417"/>
        <item m="1" x="925"/>
        <item m="1" x="1037"/>
        <item m="1" x="894"/>
        <item m="1" x="903"/>
        <item m="1" x="1165"/>
        <item m="1" x="1258"/>
        <item m="1" x="1604"/>
        <item m="1" x="938"/>
        <item m="1" x="1347"/>
        <item m="1" x="957"/>
        <item m="1" x="1728"/>
        <item m="1" x="1043"/>
        <item m="1" x="923"/>
        <item m="1" x="937"/>
        <item m="1" x="1672"/>
        <item m="1" x="1244"/>
        <item m="1" x="1654"/>
        <item m="1" x="851"/>
        <item m="1" x="1323"/>
        <item m="1" x="1534"/>
        <item m="1" x="911"/>
        <item m="1" x="1286"/>
        <item m="1" x="1036"/>
        <item m="1" x="1115"/>
        <item m="1" x="1487"/>
        <item m="1" x="1718"/>
        <item m="1" x="1170"/>
        <item m="1" x="1094"/>
        <item m="1" x="1751"/>
        <item m="1" x="1067"/>
        <item m="1" x="1547"/>
        <item m="1" x="1076"/>
        <item m="1" x="1640"/>
        <item m="1" x="1373"/>
        <item m="1" x="1462"/>
        <item m="1" x="1336"/>
        <item m="1" x="1505"/>
        <item m="1" x="1342"/>
        <item m="1" x="1394"/>
        <item m="1" x="1779"/>
        <item m="1" x="933"/>
        <item m="1" x="998"/>
        <item m="1" x="1028"/>
        <item m="1" x="1412"/>
        <item m="1" x="1701"/>
        <item m="1" x="1081"/>
        <item m="1" x="1501"/>
        <item m="1" x="1420"/>
        <item m="1" x="1362"/>
        <item m="1" x="1441"/>
        <item m="1" x="1250"/>
        <item m="1" x="1459"/>
        <item m="1" x="952"/>
        <item m="1" x="1339"/>
        <item m="1" x="863"/>
        <item m="1" x="1781"/>
        <item m="1" x="1326"/>
        <item m="1" x="987"/>
        <item m="1" x="1395"/>
        <item m="1" x="1596"/>
        <item m="1" x="966"/>
        <item m="1" x="1697"/>
        <item m="1" x="1191"/>
        <item m="1" x="1681"/>
        <item m="1" x="886"/>
        <item m="1" x="1724"/>
        <item m="1" x="1321"/>
        <item m="1" x="1628"/>
        <item m="1" x="1492"/>
        <item m="1" x="1698"/>
        <item m="1" x="1163"/>
        <item m="1" x="1567"/>
        <item m="1" x="1049"/>
        <item m="1" x="1445"/>
        <item m="1" x="1607"/>
        <item m="1" x="1154"/>
        <item m="1" x="1208"/>
        <item m="1" x="1134"/>
        <item m="1" x="1712"/>
        <item m="1" x="1489"/>
        <item m="1" x="905"/>
        <item m="1" x="1044"/>
        <item m="1" x="844"/>
        <item m="1" x="1671"/>
        <item m="1" x="1396"/>
        <item m="1" x="1725"/>
        <item m="1" x="932"/>
        <item m="1" x="888"/>
        <item m="1" x="1100"/>
        <item m="1" x="1483"/>
        <item m="1" x="1029"/>
        <item m="1" x="1097"/>
        <item m="1" x="831"/>
        <item m="1" x="1514"/>
        <item m="1" x="917"/>
        <item m="1" x="1046"/>
        <item m="1" x="1147"/>
        <item m="1" x="948"/>
        <item m="1" x="1172"/>
        <item m="1" x="1140"/>
        <item m="1" x="1156"/>
        <item m="1" x="1744"/>
        <item m="1" x="985"/>
        <item m="1" x="1176"/>
        <item m="1" x="1003"/>
        <item m="1" x="1524"/>
        <item m="1" x="1424"/>
        <item m="1" x="1619"/>
        <item m="1" x="960"/>
        <item m="1" x="1009"/>
        <item m="1" x="1366"/>
        <item m="1" x="1665"/>
        <item m="1" x="1314"/>
        <item m="1" x="1142"/>
        <item m="1" x="1363"/>
        <item m="1" x="1391"/>
        <item m="1" x="1749"/>
        <item m="1" x="1190"/>
        <item m="1" x="861"/>
        <item m="1" x="1716"/>
        <item m="1" x="1453"/>
        <item m="1" x="845"/>
        <item m="1" x="1099"/>
        <item m="1" x="1327"/>
        <item m="1" x="1783"/>
        <item m="1" x="1446"/>
        <item m="1" x="1344"/>
        <item m="1" x="1379"/>
        <item m="1" x="1213"/>
        <item m="1" x="1080"/>
        <item m="1" x="967"/>
        <item m="1" x="1611"/>
        <item m="1" x="869"/>
        <item m="1" x="1569"/>
        <item m="1" x="1683"/>
        <item m="1" x="1583"/>
        <item m="1" x="1337"/>
        <item m="1" x="1017"/>
        <item m="1" x="1114"/>
        <item m="1" x="1273"/>
        <item m="1" x="1750"/>
        <item m="1" x="1467"/>
        <item m="1" x="1458"/>
        <item m="1" x="1544"/>
        <item m="1" x="842"/>
        <item m="1" x="981"/>
        <item m="1" x="1022"/>
        <item m="1" x="1231"/>
        <item m="1" x="1539"/>
        <item m="1" x="1410"/>
        <item m="1" x="1431"/>
        <item m="1" x="1077"/>
        <item m="1" x="1013"/>
        <item m="1" x="1422"/>
        <item m="1" x="916"/>
        <item m="1" x="1638"/>
        <item m="1" x="889"/>
        <item m="1" x="1265"/>
        <item m="1" x="1144"/>
        <item m="1" x="1243"/>
        <item m="1" x="1089"/>
        <item m="1" x="1571"/>
        <item m="1" x="900"/>
        <item m="1" x="1682"/>
        <item m="1" x="1106"/>
        <item m="1" x="1525"/>
        <item m="1" x="1686"/>
        <item m="1" x="1767"/>
        <item m="1" x="1263"/>
        <item m="1" x="855"/>
        <item m="1" x="1509"/>
        <item m="1" x="1575"/>
        <item m="1" x="1188"/>
        <item m="1" x="1739"/>
        <item m="1" x="1364"/>
        <item m="1" x="1772"/>
        <item m="1" x="1624"/>
        <item m="1" x="1578"/>
        <item m="1" x="1615"/>
        <item m="1" x="986"/>
        <item m="1" x="1205"/>
        <item m="1" x="927"/>
        <item m="1" x="1776"/>
        <item m="1" x="1753"/>
        <item m="1" x="880"/>
        <item m="1" x="1254"/>
        <item m="1" x="1365"/>
        <item m="1" x="1130"/>
        <item m="1" x="897"/>
        <item m="1" x="1333"/>
        <item m="1" x="877"/>
        <item m="1" x="1639"/>
        <item m="1" x="1209"/>
        <item m="1" x="1378"/>
        <item m="1" x="1098"/>
        <item m="1" x="1197"/>
        <item m="1" x="1073"/>
        <item m="1" x="1568"/>
        <item m="1" x="1276"/>
        <item m="1" x="887"/>
        <item m="1" x="1527"/>
        <item m="1" x="922"/>
        <item m="1" x="1737"/>
        <item m="1" x="1546"/>
        <item m="1" x="950"/>
        <item m="1" x="1668"/>
        <item m="1" x="1605"/>
        <item m="1" x="1151"/>
        <item m="1" x="857"/>
        <item m="1" x="1580"/>
        <item m="1" x="859"/>
        <item m="1" x="941"/>
        <item m="1" x="1506"/>
        <item m="1" x="1157"/>
        <item m="1" x="1784"/>
        <item m="1" x="1758"/>
        <item m="1" x="1447"/>
        <item m="1" x="838"/>
        <item m="1" x="1275"/>
        <item m="1" x="1570"/>
        <item m="1" x="921"/>
        <item m="1" x="1743"/>
        <item m="1" x="1066"/>
        <item m="1" x="1717"/>
        <item m="1" x="1299"/>
        <item m="1" x="1204"/>
        <item m="1" x="854"/>
        <item m="1" x="1301"/>
        <item m="1" x="1647"/>
        <item m="1" x="1614"/>
        <item m="1" x="856"/>
        <item m="1" x="931"/>
        <item m="1" x="1711"/>
        <item m="1" x="865"/>
        <item m="1" x="1298"/>
        <item m="1" x="1401"/>
        <item m="1" x="1283"/>
        <item m="1" x="1360"/>
        <item m="1" x="955"/>
        <item m="1" x="1404"/>
        <item m="1" x="1736"/>
        <item m="1" x="1207"/>
        <item m="1" x="989"/>
        <item m="1" x="833"/>
        <item m="1" x="1371"/>
        <item m="1" x="1042"/>
        <item m="1" x="1095"/>
        <item m="1" x="1768"/>
        <item m="1" x="1107"/>
        <item m="1" x="1766"/>
        <item m="1" x="1302"/>
        <item m="1" x="1387"/>
        <item m="1" x="835"/>
        <item m="1" x="1386"/>
        <item m="1" x="1702"/>
        <item m="1" x="1375"/>
        <item m="1" x="968"/>
        <item m="1" x="1552"/>
        <item m="1" x="841"/>
        <item m="1" x="926"/>
        <item m="1" x="1734"/>
        <item m="1" x="1678"/>
        <item m="1" x="1310"/>
        <item m="1" x="1001"/>
        <item m="1" x="1555"/>
        <item m="1" x="1691"/>
        <item m="1" x="1449"/>
        <item m="1" x="1007"/>
        <item m="1" x="1103"/>
        <item m="1" x="1439"/>
        <item m="1" x="1120"/>
        <item m="1" x="1491"/>
        <item m="1" x="1517"/>
        <item m="1" x="1591"/>
        <item m="1" x="1108"/>
        <item m="1" x="1146"/>
        <item m="1" x="1222"/>
        <item m="1" x="1249"/>
        <item m="1" x="1699"/>
        <item m="1" x="1680"/>
        <item m="1" x="1159"/>
        <item m="1" x="1322"/>
        <item m="1" x="1065"/>
        <item m="1" x="1610"/>
        <item m="1" x="1777"/>
        <item m="1" x="994"/>
        <item m="1" x="1312"/>
        <item m="1" x="1035"/>
        <item m="1" x="1328"/>
        <item m="1" x="1174"/>
        <item m="1" x="885"/>
        <item m="1" x="1234"/>
        <item m="1" x="1485"/>
        <item m="1" x="944"/>
        <item m="1" x="983"/>
        <item m="1" x="1183"/>
        <item m="1" x="1259"/>
        <item m="1" x="834"/>
        <item m="1" x="1754"/>
        <item m="1" x="1479"/>
        <item m="1" x="1520"/>
        <item m="1" x="958"/>
        <item m="1" x="1232"/>
        <item m="1" x="1656"/>
        <item m="1" x="947"/>
        <item m="1" x="1574"/>
        <item m="1" x="1538"/>
        <item m="1" x="1346"/>
        <item m="1" x="862"/>
        <item m="1" x="1330"/>
        <item m="1" x="1233"/>
        <item m="1" x="1406"/>
        <item m="1" x="1609"/>
        <item m="1" x="993"/>
        <item m="1" x="1516"/>
        <item m="1" x="868"/>
        <item m="1" x="1285"/>
        <item m="1" x="1785"/>
        <item m="1" x="980"/>
        <item m="1" x="1160"/>
        <item m="1" x="1745"/>
        <item m="1" x="1024"/>
        <item m="1" x="1392"/>
        <item m="1" x="1175"/>
        <item m="1" x="1072"/>
        <item m="1" x="1474"/>
        <item m="1" x="929"/>
        <item m="1" x="1245"/>
        <item m="1" x="1320"/>
        <item m="1" x="1161"/>
        <item m="1" x="1434"/>
        <item m="1" x="1513"/>
        <item m="1" x="1573"/>
        <item m="1" x="1541"/>
        <item m="1" x="1139"/>
        <item m="1" x="976"/>
        <item m="1" x="1519"/>
        <item m="1" x="1038"/>
        <item m="1" x="908"/>
        <item m="1" x="1540"/>
        <item m="1" x="1349"/>
        <item m="1" x="1118"/>
        <item m="1" x="1542"/>
        <item m="1" x="1659"/>
        <item m="1" x="1228"/>
        <item m="1" x="1444"/>
        <item m="1" x="1770"/>
        <item m="1" x="852"/>
        <item m="1" x="1476"/>
        <item m="1" x="1590"/>
        <item m="1" x="1535"/>
        <item m="1" x="969"/>
        <item m="1" x="1202"/>
        <item m="1" x="939"/>
        <item m="1" x="1693"/>
        <item m="1" x="1125"/>
        <item m="1" x="1226"/>
        <item m="1" x="1635"/>
        <item m="1" x="826"/>
        <item m="1" x="1193"/>
        <item m="1" x="1199"/>
        <item m="1" x="1074"/>
        <item m="1" x="1771"/>
        <item m="1" x="1354"/>
        <item m="1" x="904"/>
        <item m="1" x="828"/>
        <item m="1" x="1303"/>
        <item m="1" x="1012"/>
        <item m="1" x="1220"/>
        <item m="1" x="934"/>
        <item m="1" x="1355"/>
        <item m="1" x="972"/>
        <item m="1" x="1105"/>
        <item m="1" x="1149"/>
        <item m="1" x="1279"/>
        <item m="1" x="1582"/>
        <item m="1" x="1646"/>
        <item m="1" x="1643"/>
        <item m="1" x="1212"/>
        <item m="1" x="1631"/>
        <item m="1" x="1752"/>
        <item m="1" x="1719"/>
        <item m="1" x="1198"/>
        <item m="1" x="1376"/>
        <item m="1" x="1318"/>
        <item m="1" x="843"/>
        <item m="1" x="988"/>
        <item m="1" x="1603"/>
        <item m="1" x="978"/>
        <item m="1" x="1746"/>
        <item m="1" x="1416"/>
        <item m="1" x="1350"/>
        <item m="1" x="1033"/>
        <item m="1" x="1092"/>
        <item m="1" x="1714"/>
        <item m="1" x="1481"/>
        <item m="1" x="913"/>
        <item m="1" x="1636"/>
        <item m="1" x="875"/>
        <item m="1" x="1648"/>
        <item m="1" x="1271"/>
        <item m="1" x="1133"/>
        <item m="1" x="1063"/>
        <item m="1" x="1357"/>
        <item m="1" x="874"/>
        <item m="1" x="1315"/>
        <item m="1" x="977"/>
        <item m="1" x="891"/>
        <item m="1" x="1620"/>
        <item m="1" x="1433"/>
        <item m="1" x="1437"/>
        <item m="1" x="1248"/>
        <item m="1" x="1252"/>
        <item m="1" x="1316"/>
        <item m="1" x="1359"/>
        <item m="1" x="1237"/>
        <item m="1" x="1497"/>
        <item m="1" x="1331"/>
        <item m="1" x="1031"/>
        <item m="1" x="1466"/>
        <item m="1" x="1351"/>
        <item m="1" x="1229"/>
        <item m="1" x="1384"/>
        <item m="1" x="1687"/>
        <item m="1" x="953"/>
        <item m="1" x="1529"/>
        <item m="1" x="1426"/>
        <item m="1" x="1435"/>
        <item m="1" x="1727"/>
        <item m="1" x="1726"/>
        <item m="1" x="1510"/>
        <item m="1" x="1738"/>
        <item m="1" x="1242"/>
        <item m="1" x="1274"/>
        <item m="1" x="1709"/>
        <item m="1" x="1216"/>
        <item m="1" x="1296"/>
        <item m="1" x="1438"/>
        <item m="1" x="1684"/>
        <item m="1" x="1002"/>
        <item m="1" x="1557"/>
        <item m="1" x="1083"/>
        <item m="1" x="1757"/>
        <item m="1" x="1196"/>
        <item m="1" x="1774"/>
        <item m="1" x="1398"/>
        <item m="1" x="1763"/>
        <item m="1" x="951"/>
        <item m="1" x="1313"/>
        <item m="1" x="1452"/>
        <item m="1" x="1430"/>
        <item m="1" x="1475"/>
        <item m="1" x="1456"/>
        <item m="1" x="1014"/>
        <item m="1" x="1113"/>
        <item m="1" x="971"/>
        <item m="1" x="849"/>
        <item m="1" x="1664"/>
        <item m="1" x="1695"/>
        <item m="1" x="1577"/>
        <item m="1" x="1730"/>
        <item m="1" x="871"/>
        <item m="1" x="1496"/>
        <item m="1" x="858"/>
        <item m="1" x="1269"/>
        <item m="1" x="1594"/>
        <item m="1" x="1214"/>
        <item m="1" x="1210"/>
        <item m="1" x="1742"/>
        <item m="1" x="1706"/>
        <item m="1" x="1390"/>
        <item m="1" x="1612"/>
        <item m="1" x="1121"/>
        <item m="1" x="1289"/>
        <item m="1" x="1338"/>
        <item m="1" x="872"/>
        <item m="1" x="1713"/>
        <item m="1" x="824"/>
        <item m="1" x="1558"/>
        <item m="1" x="1425"/>
        <item m="1" x="1011"/>
        <item m="1" x="1504"/>
        <item m="1" x="1502"/>
        <item m="1" x="1482"/>
        <item m="1" x="1200"/>
        <item m="1" x="1182"/>
        <item m="1" x="840"/>
        <item m="1" x="1218"/>
        <item m="1" x="1723"/>
        <item m="1" x="1352"/>
        <item m="1" x="1599"/>
        <item m="1" x="1062"/>
        <item m="1" x="867"/>
        <item m="1" x="1381"/>
        <item m="1" x="1556"/>
        <item m="1" x="1148"/>
        <item m="1" x="1662"/>
        <item m="1" x="1454"/>
        <item m="1" x="1429"/>
        <item m="1" x="1704"/>
        <item m="1" x="1195"/>
        <item m="1" x="1389"/>
        <item m="1" x="1075"/>
        <item m="1" x="860"/>
        <item m="1" x="1721"/>
        <item m="1" x="1236"/>
        <item m="1" x="1015"/>
        <item m="1" x="1132"/>
        <item m="1" x="1443"/>
        <item m="1" x="940"/>
        <item m="1" x="1641"/>
        <item m="1" x="1658"/>
        <item m="1" x="1079"/>
        <item m="1" x="943"/>
        <item m="1" x="1660"/>
        <item m="1" x="1050"/>
        <item m="1" x="1460"/>
        <item m="1" x="1277"/>
        <item m="1" x="1101"/>
        <item m="1" x="1177"/>
        <item m="1" x="1471"/>
        <item m="1" x="1110"/>
        <item m="1" x="1455"/>
        <item m="1" x="1021"/>
        <item m="1" x="1586"/>
        <item m="1" x="1309"/>
        <item m="1" x="1632"/>
        <item m="1" x="1348"/>
        <item m="1" x="898"/>
        <item m="1" x="1057"/>
        <item m="1" x="1415"/>
        <item m="1" x="1676"/>
        <item m="1" x="1562"/>
        <item m="1" x="1358"/>
        <item m="1" x="1335"/>
        <item m="1" x="870"/>
        <item m="1" x="1162"/>
        <item m="1" x="1192"/>
        <item m="1" x="949"/>
        <item m="1" x="896"/>
        <item m="1" x="1064"/>
        <item m="1" x="1621"/>
        <item m="1" x="1341"/>
        <item m="1" x="1061"/>
        <item m="1" x="1617"/>
        <item m="1" x="1515"/>
        <item m="1" x="1677"/>
        <item m="1" x="974"/>
        <item m="1" x="1488"/>
        <item m="1" x="1127"/>
        <item m="1" x="970"/>
        <item m="1" x="1388"/>
        <item m="1" x="1052"/>
        <item m="1" x="1317"/>
        <item m="1" x="1136"/>
        <item m="1" x="1305"/>
        <item m="1" x="1224"/>
        <item m="1" x="1264"/>
        <item m="1" x="912"/>
        <item m="1" x="1400"/>
        <item m="1" x="1419"/>
        <item m="1" x="1421"/>
        <item m="1" x="1383"/>
        <item m="1" x="964"/>
        <item m="1" x="1055"/>
        <item m="1" x="1345"/>
        <item m="1" x="1633"/>
        <item m="1" x="982"/>
        <item m="1" x="827"/>
        <item m="1" x="853"/>
        <item m="1" x="1025"/>
        <item m="1" x="1606"/>
        <item m="1" x="1729"/>
        <item m="1" x="1472"/>
        <item m="1" x="902"/>
        <item m="1" x="1597"/>
        <item m="1" x="1291"/>
        <item m="1" x="1158"/>
        <item m="1" x="1602"/>
        <item m="1" x="1023"/>
        <item m="1" x="1692"/>
        <item m="1" x="1219"/>
        <item m="1" x="1123"/>
        <item m="1" x="1189"/>
        <item m="1" x="1167"/>
        <item m="1" x="832"/>
        <item m="1" x="1690"/>
        <item m="1" x="1457"/>
        <item m="1" x="1040"/>
        <item m="1" x="1408"/>
        <item m="1" x="848"/>
        <item m="1" x="1069"/>
        <item m="1" x="1778"/>
        <item m="1" x="1465"/>
        <item m="1" x="1780"/>
        <item m="1" x="1380"/>
        <item m="1" x="1782"/>
        <item m="1" x="1503"/>
        <item m="1" x="1070"/>
        <item m="1" x="1494"/>
        <item m="1" x="1194"/>
        <item m="1" x="1261"/>
        <item m="1" x="1281"/>
        <item m="1" x="956"/>
        <item m="1" x="1563"/>
        <item m="1" x="846"/>
        <item m="1" x="1679"/>
        <item m="1" x="1731"/>
        <item m="1" x="1010"/>
        <item m="1" x="1499"/>
        <item m="1" x="1623"/>
        <item m="1" x="1267"/>
        <item m="1" x="1747"/>
        <item m="1" x="1500"/>
        <item m="1" x="839"/>
        <item m="1" x="1403"/>
        <item m="1" x="1047"/>
        <item m="1" x="1178"/>
        <item m="1" x="1141"/>
        <item m="1" x="1131"/>
        <item m="1" x="1116"/>
        <item m="1" x="1088"/>
        <item m="1" x="995"/>
        <item m="1" x="1551"/>
        <item m="1" x="1616"/>
        <item m="1" x="1769"/>
        <item m="1" x="1016"/>
        <item m="1" x="1674"/>
        <item m="1" x="1550"/>
        <item m="1" x="1661"/>
        <item m="1" x="1564"/>
        <item m="1" x="1019"/>
        <item m="1" x="837"/>
        <item m="1" x="1696"/>
        <item m="1" x="1669"/>
        <item m="1" x="1667"/>
        <item m="1" x="1018"/>
        <item m="1" x="1054"/>
        <item m="1" x="1053"/>
        <item m="1" x="825"/>
        <item m="1" x="1056"/>
        <item m="1" x="1143"/>
        <item m="1" x="1720"/>
        <item m="1" x="1260"/>
        <item m="1" x="1448"/>
        <item m="1" x="1297"/>
        <item m="1" x="1307"/>
        <item m="1" x="1308"/>
        <item m="1" x="1584"/>
        <item m="1" x="1759"/>
        <item m="1" x="1561"/>
        <item m="1" x="1300"/>
        <item m="1" x="1329"/>
        <item m="1" x="963"/>
        <item m="1" x="1708"/>
        <item m="1" x="1368"/>
        <item m="1" x="1006"/>
        <item m="1" x="1290"/>
        <item m="1" x="979"/>
        <item m="1" x="1560"/>
        <item m="1" x="935"/>
        <item m="1" x="866"/>
        <item m="1" x="910"/>
        <item m="1" x="1470"/>
        <item m="1" x="1536"/>
        <item m="1" x="1511"/>
        <item m="1" x="1000"/>
        <item m="1" x="919"/>
        <item m="1" x="1409"/>
        <item m="1" x="1436"/>
        <item m="1" x="1581"/>
        <item m="1" x="1059"/>
        <item m="1" x="1181"/>
        <item m="1" x="1122"/>
        <item m="1" x="1268"/>
        <item m="1" x="1694"/>
        <item m="1" x="1026"/>
        <item m="1" x="945"/>
        <item m="1" x="1411"/>
        <item m="1" x="1240"/>
        <item m="1" x="1689"/>
        <item m="1" x="1239"/>
        <item m="1" x="876"/>
        <item m="1" x="1287"/>
        <item m="1" x="1361"/>
        <item m="1" x="1295"/>
        <item m="1" x="1111"/>
        <item m="1" x="1367"/>
        <item m="1" x="1145"/>
        <item m="1" x="1741"/>
        <item m="1" x="1432"/>
        <item m="1" x="1171"/>
        <item m="1" x="1164"/>
        <item m="1" x="1030"/>
        <item m="1" x="892"/>
        <item m="1" x="1548"/>
        <item m="1" x="1442"/>
        <item m="1" x="1537"/>
        <item m="1" x="1257"/>
        <item m="1" x="864"/>
        <item m="1" x="1126"/>
        <item m="1" x="1707"/>
        <item m="1" x="1241"/>
        <item m="1" x="1484"/>
        <item m="1" x="1034"/>
        <item m="1" x="965"/>
        <item m="1" x="1058"/>
        <item m="1" x="909"/>
        <item m="1" x="830"/>
        <item m="1" x="1732"/>
        <item m="1" x="1587"/>
        <item m="1" x="997"/>
        <item m="1" x="1334"/>
        <item m="1" x="1223"/>
        <item m="1" x="936"/>
        <item m="1" x="999"/>
        <item m="1" x="1637"/>
        <item m="1" x="1644"/>
        <item m="1" x="1096"/>
        <item m="1" x="1748"/>
        <item m="1" x="1256"/>
        <item m="1" x="1559"/>
        <item m="1" x="1526"/>
        <item m="1" x="1008"/>
        <item m="1" x="1530"/>
        <item m="1" x="1762"/>
        <item m="1" x="847"/>
        <item m="1" x="1091"/>
        <item m="1" x="1155"/>
        <item m="1" x="1087"/>
        <item m="1" x="1478"/>
        <item m="1" x="1343"/>
        <item m="1" x="1085"/>
        <item m="1" x="1215"/>
        <item m="1" x="1531"/>
        <item m="1" x="1324"/>
        <item m="1" x="1397"/>
        <item m="1" x="1413"/>
        <item m="1" x="1627"/>
        <item m="1" x="1005"/>
        <item m="1" x="1278"/>
        <item m="1" x="1180"/>
        <item m="1" x="1093"/>
        <item m="1" x="1450"/>
        <item m="1" x="1185"/>
        <item m="1" x="1625"/>
        <item m="1" x="1722"/>
        <item m="1" x="1685"/>
        <item m="1" x="918"/>
        <item m="1" x="1700"/>
        <item m="1" x="1786"/>
        <item m="1" x="1593"/>
        <item m="1" x="1306"/>
        <item m="1" x="1464"/>
        <item m="1" x="879"/>
        <item m="1" x="1715"/>
        <item m="1" x="1521"/>
        <item m="1" x="836"/>
        <item m="1" x="1760"/>
        <item m="1" x="1733"/>
        <item m="1" x="1186"/>
        <item m="1" x="1595"/>
        <item m="1" x="1270"/>
        <item m="1" x="1211"/>
        <item m="1" x="1579"/>
        <item m="1" x="1124"/>
        <item m="1" x="1109"/>
        <item m="1" x="1613"/>
        <item m="1" x="1657"/>
        <item m="1" x="1340"/>
        <item m="1" x="1060"/>
        <item m="1" x="990"/>
        <item m="1" x="1705"/>
        <item m="1" x="1589"/>
        <item m="1" x="1119"/>
        <item m="1" x="878"/>
        <item m="1" x="1230"/>
        <item m="1" x="1650"/>
        <item m="1" x="1272"/>
        <item m="1" x="1710"/>
        <item m="1" x="1512"/>
        <item m="1" x="1532"/>
        <item m="1" x="1592"/>
        <item m="1" x="1129"/>
        <item m="1" x="1549"/>
        <item m="1" x="1528"/>
        <item m="1" x="1206"/>
        <item m="1" x="1045"/>
        <item m="1" x="895"/>
        <item m="1" x="1382"/>
        <item m="1" x="1020"/>
        <item m="1" x="1292"/>
        <item m="1" x="906"/>
        <item m="1" x="1490"/>
        <item m="1" x="1166"/>
        <item m="1" x="1565"/>
        <item m="1" x="1601"/>
        <item m="1" x="1039"/>
        <item m="1" x="1304"/>
        <item m="1" x="924"/>
        <item m="1" x="899"/>
        <item m="1" x="1027"/>
        <item m="1" x="1078"/>
        <item m="1" x="1652"/>
        <item m="1" x="1545"/>
        <item m="1" x="1495"/>
        <item m="1" x="1566"/>
        <item m="1" x="975"/>
        <item m="1" x="1201"/>
        <item m="1" x="1311"/>
        <item m="1" x="883"/>
        <item m="1" x="1173"/>
        <item m="1" x="1137"/>
        <item m="1" x="1246"/>
        <item m="1" x="1553"/>
        <item m="1" x="920"/>
        <item m="1" x="1356"/>
        <item m="1" x="1086"/>
        <item m="1" x="1764"/>
        <item m="1" x="1102"/>
        <item m="1" x="928"/>
        <item m="1" x="1051"/>
        <item m="1" x="1227"/>
        <item m="1" x="1135"/>
        <item m="1" x="1522"/>
        <item m="1" x="1423"/>
        <item m="1" x="1440"/>
        <item m="1" x="1235"/>
        <item m="1" x="1775"/>
        <item m="1" x="942"/>
        <item m="1" x="1293"/>
        <item m="1" x="1670"/>
        <item m="1" x="1634"/>
        <item m="1" x="1486"/>
        <item m="1" x="1655"/>
        <item m="1" x="1168"/>
        <item m="1" x="959"/>
        <item m="1" x="1703"/>
        <item m="1" x="1251"/>
        <item m="1" x="1247"/>
        <item m="1" x="1608"/>
        <item m="1" x="1169"/>
        <item m="1" x="1004"/>
        <item m="1" x="1372"/>
        <item m="1" x="873"/>
        <item m="1" x="1405"/>
        <item m="1" x="1255"/>
        <item m="1" x="1407"/>
        <item m="1" x="1498"/>
        <item m="1" x="1554"/>
        <item m="1" x="954"/>
        <item m="1" x="973"/>
        <item m="1" x="1152"/>
        <item m="1" x="1418"/>
        <item m="1" x="881"/>
        <item m="1" x="1508"/>
        <item m="1" x="1414"/>
        <item m="1" x="1319"/>
        <item m="1" x="1428"/>
        <item m="1" x="1585"/>
        <item m="1" x="1765"/>
        <item m="1" x="930"/>
        <item m="1" x="1203"/>
        <item m="1" x="1266"/>
        <item m="1" x="893"/>
        <item m="1" x="1325"/>
        <item m="1" x="890"/>
        <item m="1" x="1179"/>
        <item m="1" x="850"/>
        <item m="1" x="946"/>
        <item m="1" x="1104"/>
        <item m="1" x="1651"/>
        <item m="1" x="1032"/>
        <item m="1" x="907"/>
        <item m="1" x="1082"/>
        <item m="1" x="1238"/>
        <item m="1" x="1600"/>
        <item m="1" x="1480"/>
        <item m="1" x="162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65" showAll="0"/>
    <pivotField numFmtId="165" showAll="0"/>
    <pivotField showAll="0">
      <items count="692">
        <item x="575"/>
        <item x="574"/>
        <item x="573"/>
        <item x="572"/>
        <item x="435"/>
        <item x="571"/>
        <item x="434"/>
        <item x="690"/>
        <item x="433"/>
        <item x="570"/>
        <item x="176"/>
        <item x="175"/>
        <item x="174"/>
        <item x="173"/>
        <item x="432"/>
        <item x="172"/>
        <item x="171"/>
        <item x="170"/>
        <item x="431"/>
        <item x="169"/>
        <item x="312"/>
        <item x="311"/>
        <item x="168"/>
        <item x="167"/>
        <item x="240"/>
        <item x="166"/>
        <item x="430"/>
        <item x="165"/>
        <item x="239"/>
        <item x="164"/>
        <item x="569"/>
        <item x="238"/>
        <item x="310"/>
        <item x="163"/>
        <item x="429"/>
        <item x="474"/>
        <item x="237"/>
        <item x="162"/>
        <item x="473"/>
        <item x="161"/>
        <item x="160"/>
        <item x="689"/>
        <item x="309"/>
        <item x="428"/>
        <item x="159"/>
        <item x="158"/>
        <item x="157"/>
        <item x="472"/>
        <item x="156"/>
        <item x="308"/>
        <item x="471"/>
        <item x="427"/>
        <item x="155"/>
        <item x="154"/>
        <item x="153"/>
        <item x="152"/>
        <item x="236"/>
        <item x="151"/>
        <item x="235"/>
        <item x="426"/>
        <item x="612"/>
        <item x="234"/>
        <item x="150"/>
        <item x="425"/>
        <item x="611"/>
        <item x="233"/>
        <item x="307"/>
        <item x="424"/>
        <item x="232"/>
        <item x="149"/>
        <item x="306"/>
        <item x="610"/>
        <item x="423"/>
        <item x="609"/>
        <item x="608"/>
        <item x="231"/>
        <item x="607"/>
        <item x="470"/>
        <item x="148"/>
        <item x="147"/>
        <item x="606"/>
        <item x="422"/>
        <item x="469"/>
        <item x="421"/>
        <item x="688"/>
        <item x="420"/>
        <item x="146"/>
        <item x="230"/>
        <item x="145"/>
        <item x="144"/>
        <item x="605"/>
        <item x="604"/>
        <item x="229"/>
        <item x="305"/>
        <item x="687"/>
        <item x="468"/>
        <item x="143"/>
        <item x="568"/>
        <item x="304"/>
        <item x="303"/>
        <item x="467"/>
        <item x="419"/>
        <item x="603"/>
        <item x="302"/>
        <item x="301"/>
        <item x="142"/>
        <item x="418"/>
        <item x="417"/>
        <item x="228"/>
        <item x="466"/>
        <item x="300"/>
        <item x="227"/>
        <item x="465"/>
        <item x="141"/>
        <item x="299"/>
        <item x="464"/>
        <item x="226"/>
        <item x="463"/>
        <item x="416"/>
        <item x="415"/>
        <item x="414"/>
        <item x="413"/>
        <item x="225"/>
        <item x="412"/>
        <item x="462"/>
        <item x="602"/>
        <item x="140"/>
        <item x="461"/>
        <item x="224"/>
        <item x="298"/>
        <item x="223"/>
        <item x="297"/>
        <item x="296"/>
        <item x="222"/>
        <item x="295"/>
        <item x="601"/>
        <item x="294"/>
        <item x="411"/>
        <item x="686"/>
        <item x="221"/>
        <item x="220"/>
        <item x="139"/>
        <item x="567"/>
        <item x="219"/>
        <item x="138"/>
        <item x="293"/>
        <item x="218"/>
        <item x="292"/>
        <item x="460"/>
        <item x="410"/>
        <item x="217"/>
        <item x="291"/>
        <item x="685"/>
        <item x="137"/>
        <item x="566"/>
        <item x="565"/>
        <item x="459"/>
        <item x="216"/>
        <item x="409"/>
        <item x="600"/>
        <item x="290"/>
        <item x="289"/>
        <item x="288"/>
        <item x="136"/>
        <item x="135"/>
        <item x="91"/>
        <item x="90"/>
        <item x="599"/>
        <item x="89"/>
        <item x="88"/>
        <item x="87"/>
        <item x="598"/>
        <item x="458"/>
        <item x="134"/>
        <item x="86"/>
        <item x="408"/>
        <item x="457"/>
        <item x="133"/>
        <item x="132"/>
        <item x="407"/>
        <item x="85"/>
        <item x="131"/>
        <item x="658"/>
        <item x="456"/>
        <item x="657"/>
        <item x="597"/>
        <item x="130"/>
        <item x="129"/>
        <item x="84"/>
        <item x="128"/>
        <item x="564"/>
        <item x="127"/>
        <item x="83"/>
        <item x="82"/>
        <item x="126"/>
        <item x="81"/>
        <item x="80"/>
        <item x="381"/>
        <item x="287"/>
        <item x="380"/>
        <item x="684"/>
        <item x="79"/>
        <item x="78"/>
        <item x="125"/>
        <item x="77"/>
        <item x="455"/>
        <item x="286"/>
        <item x="76"/>
        <item x="215"/>
        <item x="406"/>
        <item x="285"/>
        <item x="379"/>
        <item x="124"/>
        <item x="75"/>
        <item x="656"/>
        <item x="535"/>
        <item x="214"/>
        <item x="213"/>
        <item x="74"/>
        <item x="378"/>
        <item x="454"/>
        <item x="284"/>
        <item x="73"/>
        <item x="72"/>
        <item x="71"/>
        <item x="283"/>
        <item x="282"/>
        <item x="281"/>
        <item x="377"/>
        <item x="212"/>
        <item x="534"/>
        <item x="211"/>
        <item x="533"/>
        <item x="280"/>
        <item x="279"/>
        <item x="532"/>
        <item x="70"/>
        <item x="278"/>
        <item x="69"/>
        <item x="596"/>
        <item x="123"/>
        <item x="277"/>
        <item x="531"/>
        <item x="453"/>
        <item x="68"/>
        <item x="452"/>
        <item x="122"/>
        <item x="210"/>
        <item x="276"/>
        <item x="275"/>
        <item x="67"/>
        <item x="209"/>
        <item x="121"/>
        <item x="66"/>
        <item x="376"/>
        <item x="530"/>
        <item x="65"/>
        <item x="274"/>
        <item x="655"/>
        <item x="529"/>
        <item x="654"/>
        <item x="64"/>
        <item x="405"/>
        <item x="120"/>
        <item x="528"/>
        <item x="375"/>
        <item x="63"/>
        <item x="208"/>
        <item x="527"/>
        <item x="62"/>
        <item x="374"/>
        <item x="119"/>
        <item x="61"/>
        <item x="273"/>
        <item x="118"/>
        <item x="207"/>
        <item x="526"/>
        <item x="206"/>
        <item x="683"/>
        <item x="525"/>
        <item x="60"/>
        <item x="373"/>
        <item x="451"/>
        <item x="272"/>
        <item x="117"/>
        <item x="59"/>
        <item x="58"/>
        <item x="653"/>
        <item x="450"/>
        <item x="652"/>
        <item x="524"/>
        <item x="271"/>
        <item x="523"/>
        <item x="563"/>
        <item x="57"/>
        <item x="270"/>
        <item x="651"/>
        <item x="372"/>
        <item x="205"/>
        <item x="371"/>
        <item x="56"/>
        <item x="650"/>
        <item x="55"/>
        <item x="522"/>
        <item x="269"/>
        <item x="521"/>
        <item x="562"/>
        <item x="54"/>
        <item x="370"/>
        <item x="520"/>
        <item x="682"/>
        <item x="53"/>
        <item x="52"/>
        <item x="519"/>
        <item x="268"/>
        <item x="404"/>
        <item x="595"/>
        <item x="51"/>
        <item x="681"/>
        <item x="649"/>
        <item x="403"/>
        <item x="267"/>
        <item x="648"/>
        <item x="680"/>
        <item x="518"/>
        <item x="369"/>
        <item x="368"/>
        <item x="50"/>
        <item x="49"/>
        <item x="367"/>
        <item x="517"/>
        <item x="48"/>
        <item x="266"/>
        <item x="594"/>
        <item x="47"/>
        <item x="593"/>
        <item x="204"/>
        <item x="647"/>
        <item x="116"/>
        <item x="115"/>
        <item x="679"/>
        <item x="516"/>
        <item x="366"/>
        <item x="646"/>
        <item x="365"/>
        <item x="515"/>
        <item x="114"/>
        <item x="203"/>
        <item x="678"/>
        <item x="364"/>
        <item x="645"/>
        <item x="514"/>
        <item x="402"/>
        <item x="513"/>
        <item x="46"/>
        <item x="45"/>
        <item x="113"/>
        <item x="265"/>
        <item x="44"/>
        <item x="264"/>
        <item x="43"/>
        <item x="512"/>
        <item x="42"/>
        <item x="401"/>
        <item x="561"/>
        <item x="41"/>
        <item x="511"/>
        <item x="644"/>
        <item x="449"/>
        <item x="363"/>
        <item x="510"/>
        <item x="592"/>
        <item x="40"/>
        <item x="509"/>
        <item x="560"/>
        <item x="362"/>
        <item x="361"/>
        <item x="39"/>
        <item x="400"/>
        <item x="399"/>
        <item x="643"/>
        <item x="559"/>
        <item x="642"/>
        <item x="591"/>
        <item x="508"/>
        <item x="677"/>
        <item x="360"/>
        <item x="359"/>
        <item x="641"/>
        <item x="640"/>
        <item x="448"/>
        <item x="38"/>
        <item x="639"/>
        <item x="590"/>
        <item x="638"/>
        <item x="447"/>
        <item x="358"/>
        <item x="676"/>
        <item x="507"/>
        <item x="398"/>
        <item x="37"/>
        <item x="506"/>
        <item x="112"/>
        <item x="202"/>
        <item x="505"/>
        <item x="357"/>
        <item x="589"/>
        <item x="637"/>
        <item x="201"/>
        <item x="200"/>
        <item x="36"/>
        <item x="675"/>
        <item x="263"/>
        <item x="504"/>
        <item x="503"/>
        <item x="636"/>
        <item x="558"/>
        <item x="502"/>
        <item x="35"/>
        <item x="397"/>
        <item x="34"/>
        <item x="356"/>
        <item x="635"/>
        <item x="355"/>
        <item x="199"/>
        <item x="634"/>
        <item x="111"/>
        <item x="354"/>
        <item x="557"/>
        <item x="198"/>
        <item x="556"/>
        <item x="353"/>
        <item x="110"/>
        <item x="352"/>
        <item x="351"/>
        <item x="33"/>
        <item x="396"/>
        <item x="446"/>
        <item x="350"/>
        <item x="349"/>
        <item x="348"/>
        <item x="262"/>
        <item x="347"/>
        <item x="346"/>
        <item x="345"/>
        <item x="633"/>
        <item x="261"/>
        <item x="501"/>
        <item x="260"/>
        <item x="32"/>
        <item x="197"/>
        <item x="500"/>
        <item x="499"/>
        <item x="344"/>
        <item x="588"/>
        <item x="343"/>
        <item x="498"/>
        <item x="31"/>
        <item x="342"/>
        <item x="555"/>
        <item x="30"/>
        <item x="632"/>
        <item x="674"/>
        <item x="29"/>
        <item x="109"/>
        <item x="341"/>
        <item x="196"/>
        <item x="195"/>
        <item x="554"/>
        <item x="497"/>
        <item x="28"/>
        <item x="496"/>
        <item x="108"/>
        <item x="340"/>
        <item x="339"/>
        <item x="631"/>
        <item x="107"/>
        <item x="259"/>
        <item x="194"/>
        <item x="338"/>
        <item x="258"/>
        <item x="337"/>
        <item x="630"/>
        <item x="587"/>
        <item x="586"/>
        <item x="27"/>
        <item x="336"/>
        <item x="629"/>
        <item x="193"/>
        <item x="192"/>
        <item x="628"/>
        <item x="627"/>
        <item x="673"/>
        <item x="495"/>
        <item x="26"/>
        <item x="672"/>
        <item x="25"/>
        <item x="335"/>
        <item x="626"/>
        <item x="106"/>
        <item x="445"/>
        <item x="24"/>
        <item x="625"/>
        <item x="585"/>
        <item x="395"/>
        <item x="494"/>
        <item x="553"/>
        <item x="257"/>
        <item x="671"/>
        <item x="394"/>
        <item x="334"/>
        <item x="393"/>
        <item x="333"/>
        <item x="493"/>
        <item x="624"/>
        <item x="105"/>
        <item x="392"/>
        <item x="256"/>
        <item x="255"/>
        <item x="552"/>
        <item x="492"/>
        <item x="332"/>
        <item x="331"/>
        <item x="330"/>
        <item x="670"/>
        <item x="491"/>
        <item x="669"/>
        <item x="329"/>
        <item x="191"/>
        <item x="190"/>
        <item x="623"/>
        <item x="328"/>
        <item x="189"/>
        <item x="391"/>
        <item x="444"/>
        <item x="490"/>
        <item x="327"/>
        <item x="390"/>
        <item x="23"/>
        <item x="668"/>
        <item x="489"/>
        <item x="551"/>
        <item x="22"/>
        <item x="667"/>
        <item x="326"/>
        <item x="325"/>
        <item x="188"/>
        <item x="550"/>
        <item x="549"/>
        <item x="622"/>
        <item x="324"/>
        <item x="21"/>
        <item x="20"/>
        <item x="19"/>
        <item x="187"/>
        <item x="18"/>
        <item x="488"/>
        <item x="584"/>
        <item x="186"/>
        <item x="104"/>
        <item x="103"/>
        <item x="621"/>
        <item x="620"/>
        <item x="17"/>
        <item x="323"/>
        <item x="487"/>
        <item x="486"/>
        <item x="389"/>
        <item x="322"/>
        <item x="102"/>
        <item x="443"/>
        <item x="101"/>
        <item x="485"/>
        <item x="16"/>
        <item x="666"/>
        <item x="321"/>
        <item x="548"/>
        <item x="547"/>
        <item x="619"/>
        <item x="388"/>
        <item x="484"/>
        <item x="320"/>
        <item x="665"/>
        <item x="15"/>
        <item x="442"/>
        <item x="254"/>
        <item x="14"/>
        <item x="441"/>
        <item x="13"/>
        <item x="253"/>
        <item x="440"/>
        <item x="546"/>
        <item x="583"/>
        <item x="618"/>
        <item x="319"/>
        <item x="185"/>
        <item x="12"/>
        <item x="664"/>
        <item x="483"/>
        <item x="439"/>
        <item x="100"/>
        <item x="663"/>
        <item x="252"/>
        <item x="545"/>
        <item x="251"/>
        <item x="617"/>
        <item x="99"/>
        <item x="11"/>
        <item x="544"/>
        <item x="482"/>
        <item x="318"/>
        <item x="387"/>
        <item x="662"/>
        <item x="250"/>
        <item x="582"/>
        <item x="481"/>
        <item x="543"/>
        <item x="480"/>
        <item x="616"/>
        <item x="249"/>
        <item x="248"/>
        <item x="479"/>
        <item x="581"/>
        <item x="615"/>
        <item x="386"/>
        <item x="542"/>
        <item x="580"/>
        <item x="478"/>
        <item x="98"/>
        <item x="247"/>
        <item x="317"/>
        <item x="97"/>
        <item x="579"/>
        <item x="316"/>
        <item x="96"/>
        <item x="477"/>
        <item x="438"/>
        <item x="476"/>
        <item x="10"/>
        <item x="9"/>
        <item x="184"/>
        <item x="385"/>
        <item x="95"/>
        <item x="8"/>
        <item x="7"/>
        <item x="94"/>
        <item x="661"/>
        <item x="246"/>
        <item x="6"/>
        <item x="183"/>
        <item x="93"/>
        <item x="541"/>
        <item x="315"/>
        <item x="182"/>
        <item x="578"/>
        <item x="577"/>
        <item x="540"/>
        <item x="5"/>
        <item x="539"/>
        <item x="4"/>
        <item x="384"/>
        <item x="437"/>
        <item x="245"/>
        <item x="3"/>
        <item x="383"/>
        <item x="538"/>
        <item x="181"/>
        <item x="436"/>
        <item x="382"/>
        <item x="660"/>
        <item x="2"/>
        <item x="659"/>
        <item x="614"/>
        <item x="613"/>
        <item x="1"/>
        <item x="475"/>
        <item x="537"/>
        <item x="576"/>
        <item x="180"/>
        <item x="244"/>
        <item x="314"/>
        <item x="179"/>
        <item x="243"/>
        <item x="242"/>
        <item x="92"/>
        <item x="178"/>
        <item x="241"/>
        <item x="0"/>
        <item x="313"/>
        <item x="536"/>
        <item x="177"/>
        <item t="default"/>
      </items>
    </pivotField>
    <pivotField numFmtId="3" showAll="0"/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</pivotFields>
  <rowFields count="1">
    <field x="0"/>
  </rowFields>
  <rowItems count="825">
    <i>
      <x v="968"/>
    </i>
    <i>
      <x v="984"/>
    </i>
    <i>
      <x v="1211"/>
    </i>
    <i>
      <x v="1296"/>
    </i>
    <i>
      <x v="1099"/>
    </i>
    <i>
      <x v="1152"/>
    </i>
    <i>
      <x v="975"/>
    </i>
    <i>
      <x v="1100"/>
    </i>
    <i>
      <x v="1263"/>
    </i>
    <i>
      <x v="1412"/>
    </i>
    <i>
      <x v="1407"/>
    </i>
    <i>
      <x v="1281"/>
    </i>
    <i>
      <x v="1385"/>
    </i>
    <i>
      <x v="1386"/>
    </i>
    <i>
      <x v="1387"/>
    </i>
    <i>
      <x v="1403"/>
    </i>
    <i>
      <x v="1303"/>
    </i>
    <i>
      <x v="1410"/>
    </i>
    <i>
      <x v="1345"/>
    </i>
    <i>
      <x v="1436"/>
    </i>
    <i>
      <x v="1374"/>
    </i>
    <i>
      <x v="1375"/>
    </i>
    <i>
      <x v="1095"/>
    </i>
    <i>
      <x v="1157"/>
    </i>
    <i>
      <x v="1114"/>
    </i>
    <i>
      <x v="1015"/>
    </i>
    <i>
      <x v="1064"/>
    </i>
    <i>
      <x v="1067"/>
    </i>
    <i>
      <x v="1604"/>
    </i>
    <i>
      <x v="1628"/>
    </i>
    <i>
      <x v="1619"/>
    </i>
    <i>
      <x v="1548"/>
    </i>
    <i>
      <x v="1601"/>
    </i>
    <i>
      <x v="1586"/>
    </i>
    <i>
      <x v="1605"/>
    </i>
    <i>
      <x v="1589"/>
    </i>
    <i>
      <x v="1621"/>
    </i>
    <i>
      <x v="1590"/>
    </i>
    <i>
      <x v="1657"/>
    </i>
    <i>
      <x v="1598"/>
    </i>
    <i>
      <x v="1595"/>
    </i>
    <i>
      <x v="1465"/>
    </i>
    <i>
      <x v="1405"/>
    </i>
    <i>
      <x v="1508"/>
    </i>
    <i>
      <x v="1262"/>
    </i>
    <i>
      <x v="1445"/>
    </i>
    <i>
      <x v="1276"/>
    </i>
    <i>
      <x v="1480"/>
    </i>
    <i>
      <x v="1293"/>
    </i>
    <i>
      <x v="1390"/>
    </i>
    <i>
      <x v="1300"/>
    </i>
    <i>
      <x v="1419"/>
    </i>
    <i>
      <x v="1306"/>
    </i>
    <i>
      <x v="1460"/>
    </i>
    <i>
      <x v="1310"/>
    </i>
    <i>
      <x v="1479"/>
    </i>
    <i>
      <x v="1316"/>
    </i>
    <i>
      <x v="1494"/>
    </i>
    <i>
      <x v="1341"/>
    </i>
    <i>
      <x v="1376"/>
    </i>
    <i>
      <x v="1381"/>
    </i>
    <i>
      <x v="990"/>
    </i>
    <i>
      <x v="996"/>
    </i>
    <i>
      <x v="1150"/>
    </i>
    <i>
      <x v="1011"/>
    </i>
    <i>
      <x v="967"/>
    </i>
    <i>
      <x v="971"/>
    </i>
    <i>
      <x v="1118"/>
    </i>
    <i>
      <x v="1019"/>
    </i>
    <i>
      <x v="1154"/>
    </i>
    <i>
      <x v="1024"/>
    </i>
    <i>
      <x v="986"/>
    </i>
    <i>
      <x v="1060"/>
    </i>
    <i>
      <x v="963"/>
    </i>
    <i>
      <x v="1061"/>
    </i>
    <i>
      <x v="1115"/>
    </i>
    <i>
      <x v="983"/>
    </i>
    <i>
      <x v="1146"/>
    </i>
    <i>
      <x v="1165"/>
    </i>
    <i>
      <x v="1153"/>
    </i>
    <i>
      <x v="1188"/>
    </i>
    <i>
      <x v="1156"/>
    </i>
    <i>
      <x v="1210"/>
    </i>
    <i>
      <x v="1010"/>
    </i>
    <i>
      <x v="1219"/>
    </i>
    <i>
      <x v="1197"/>
    </i>
    <i>
      <x v="1070"/>
    </i>
    <i>
      <x v="1214"/>
    </i>
    <i>
      <x v="1076"/>
    </i>
    <i>
      <x v="1225"/>
    </i>
    <i>
      <x v="1083"/>
    </i>
    <i>
      <x v="1236"/>
    </i>
    <i>
      <x v="1617"/>
    </i>
    <i>
      <x v="1582"/>
    </i>
    <i>
      <x v="1631"/>
    </i>
    <i>
      <x v="1587"/>
    </i>
    <i>
      <x v="1674"/>
    </i>
    <i>
      <x v="1520"/>
    </i>
    <i>
      <x v="1549"/>
    </i>
    <i>
      <x v="1525"/>
    </i>
    <i>
      <x v="1644"/>
    </i>
    <i>
      <x v="1591"/>
    </i>
    <i>
      <x v="1665"/>
    </i>
    <i>
      <x v="1593"/>
    </i>
    <i>
      <x v="1519"/>
    </i>
    <i>
      <x v="1594"/>
    </i>
    <i>
      <x v="1518"/>
    </i>
    <i>
      <x v="1694"/>
    </i>
    <i>
      <x v="1570"/>
    </i>
    <i>
      <x v="1596"/>
    </i>
    <i>
      <x v="1638"/>
    </i>
    <i>
      <x v="1527"/>
    </i>
    <i>
      <x v="1656"/>
    </i>
    <i>
      <x v="1599"/>
    </i>
    <i>
      <x v="1662"/>
    </i>
    <i>
      <x v="1537"/>
    </i>
    <i>
      <x v="1672"/>
    </i>
    <i>
      <x v="1545"/>
    </i>
    <i>
      <x v="1675"/>
    </i>
    <i>
      <x v="1546"/>
    </i>
    <i>
      <x v="1606"/>
    </i>
    <i>
      <x v="1646"/>
    </i>
    <i>
      <x v="1249"/>
    </i>
    <i>
      <x v="1244"/>
    </i>
    <i>
      <x v="1472"/>
    </i>
    <i>
      <x v="1278"/>
    </i>
    <i>
      <x v="1245"/>
    </i>
    <i>
      <x v="1240"/>
    </i>
    <i>
      <x v="1441"/>
    </i>
    <i>
      <x v="1283"/>
    </i>
    <i>
      <x v="1509"/>
    </i>
    <i>
      <x v="1288"/>
    </i>
    <i>
      <x v="1378"/>
    </i>
    <i>
      <x v="1290"/>
    </i>
    <i>
      <x v="1398"/>
    </i>
    <i>
      <x v="1294"/>
    </i>
    <i>
      <x v="1427"/>
    </i>
    <i>
      <x v="1257"/>
    </i>
    <i>
      <x v="1463"/>
    </i>
    <i>
      <x v="1302"/>
    </i>
    <i>
      <x v="1493"/>
    </i>
    <i>
      <x v="1309"/>
    </i>
    <i>
      <x v="1370"/>
    </i>
    <i>
      <x v="1313"/>
    </i>
    <i>
      <x v="1377"/>
    </i>
    <i>
      <x v="1319"/>
    </i>
    <i>
      <x v="1383"/>
    </i>
    <i>
      <x v="1320"/>
    </i>
    <i>
      <x v="1389"/>
    </i>
    <i>
      <x v="1328"/>
    </i>
    <i>
      <x v="1400"/>
    </i>
    <i>
      <x v="1331"/>
    </i>
    <i>
      <x v="1250"/>
    </i>
    <i>
      <x v="1339"/>
    </i>
    <i>
      <x v="1431"/>
    </i>
    <i>
      <x v="1340"/>
    </i>
    <i>
      <x v="1456"/>
    </i>
    <i>
      <x v="1344"/>
    </i>
    <i>
      <x v="1268"/>
    </i>
    <i>
      <x v="1348"/>
    </i>
    <i>
      <x v="1475"/>
    </i>
    <i>
      <x v="1353"/>
    </i>
    <i>
      <x v="1507"/>
    </i>
    <i>
      <x v="1362"/>
    </i>
    <i>
      <x v="1369"/>
    </i>
    <i>
      <x v="1273"/>
    </i>
    <i>
      <x v="1182"/>
    </i>
    <i>
      <x v="995"/>
    </i>
    <i>
      <x v="1125"/>
    </i>
    <i>
      <x v="977"/>
    </i>
    <i>
      <x v="1000"/>
    </i>
    <i>
      <x v="1016"/>
    </i>
    <i>
      <x v="1213"/>
    </i>
    <i>
      <x v="1018"/>
    </i>
    <i>
      <x v="1134"/>
    </i>
    <i>
      <x v="979"/>
    </i>
    <i>
      <x v="998"/>
    </i>
    <i>
      <x v="1020"/>
    </i>
    <i>
      <x v="1173"/>
    </i>
    <i>
      <x v="1022"/>
    </i>
    <i>
      <x v="1195"/>
    </i>
    <i>
      <x v="1029"/>
    </i>
    <i>
      <x v="1223"/>
    </i>
    <i>
      <x v="1034"/>
    </i>
    <i>
      <x v="1130"/>
    </i>
    <i>
      <x v="1041"/>
    </i>
    <i>
      <x v="1137"/>
    </i>
    <i>
      <x v="1042"/>
    </i>
    <i>
      <x v="965"/>
    </i>
    <i>
      <x v="1055"/>
    </i>
    <i>
      <x v="1161"/>
    </i>
    <i>
      <x v="981"/>
    </i>
    <i>
      <x v="1169"/>
    </i>
    <i>
      <x v="1063"/>
    </i>
    <i>
      <x v="1176"/>
    </i>
    <i>
      <x v="1065"/>
    </i>
    <i>
      <x v="1193"/>
    </i>
    <i>
      <x v="1066"/>
    </i>
    <i>
      <x v="1003"/>
    </i>
    <i>
      <x v="1069"/>
    </i>
    <i>
      <x v="1005"/>
    </i>
    <i>
      <x v="1072"/>
    </i>
    <i>
      <x v="1124"/>
    </i>
    <i>
      <x v="973"/>
    </i>
    <i>
      <x v="1126"/>
    </i>
    <i>
      <x v="1078"/>
    </i>
    <i>
      <x v="1131"/>
    </i>
    <i>
      <x v="1080"/>
    </i>
    <i>
      <x v="1135"/>
    </i>
    <i>
      <x v="1081"/>
    </i>
    <i>
      <x v="1149"/>
    </i>
    <i>
      <x v="1082"/>
    </i>
    <i>
      <x v="1151"/>
    </i>
    <i>
      <x v="1084"/>
    </i>
    <i>
      <x v="1155"/>
    </i>
    <i>
      <x v="1085"/>
    </i>
    <i>
      <x v="1159"/>
    </i>
    <i>
      <x v="1087"/>
    </i>
    <i>
      <x v="1162"/>
    </i>
    <i>
      <x v="1090"/>
    </i>
    <i>
      <x v="1166"/>
    </i>
    <i>
      <x v="1091"/>
    </i>
    <i>
      <x v="1171"/>
    </i>
    <i>
      <x v="1093"/>
    </i>
    <i>
      <x v="1175"/>
    </i>
    <i>
      <x v="974"/>
    </i>
    <i>
      <x v="1180"/>
    </i>
    <i>
      <x v="1101"/>
    </i>
    <i>
      <x v="1187"/>
    </i>
    <i>
      <x v="1104"/>
    </i>
    <i>
      <x v="1194"/>
    </i>
    <i>
      <x v="1106"/>
    </i>
    <i>
      <x v="1206"/>
    </i>
    <i>
      <x v="1109"/>
    </i>
    <i>
      <x v="1212"/>
    </i>
    <i>
      <x v="1113"/>
    </i>
    <i>
      <x v="1217"/>
    </i>
    <i>
      <x v="1230"/>
    </i>
    <i>
      <x v="1221"/>
    </i>
    <i>
      <x v="1234"/>
    </i>
    <i>
      <x v="1226"/>
    </i>
    <i>
      <x v="1121"/>
    </i>
    <i>
      <x v="1231"/>
    </i>
    <i>
      <x v="1683"/>
    </i>
    <i>
      <x v="1747"/>
    </i>
    <i>
      <x v="1715"/>
    </i>
    <i>
      <x v="1557"/>
    </i>
    <i>
      <x v="1779"/>
    </i>
    <i>
      <x v="1558"/>
    </i>
    <i>
      <x v="1699"/>
    </i>
    <i>
      <x v="1559"/>
    </i>
    <i>
      <x v="1731"/>
    </i>
    <i>
      <x v="1560"/>
    </i>
    <i>
      <x v="1763"/>
    </i>
    <i>
      <x v="1561"/>
    </i>
    <i>
      <x v="1554"/>
    </i>
    <i>
      <x v="1562"/>
    </i>
    <i>
      <x v="1691"/>
    </i>
    <i>
      <x v="1563"/>
    </i>
    <i>
      <x v="1707"/>
    </i>
    <i>
      <x v="1564"/>
    </i>
    <i>
      <x v="1723"/>
    </i>
    <i>
      <x v="1565"/>
    </i>
    <i>
      <x v="1739"/>
    </i>
    <i>
      <x v="1566"/>
    </i>
    <i>
      <x v="1755"/>
    </i>
    <i>
      <x v="1567"/>
    </i>
    <i>
      <x v="1771"/>
    </i>
    <i>
      <x v="1568"/>
    </i>
    <i>
      <x v="1671"/>
    </i>
    <i>
      <x v="1569"/>
    </i>
    <i>
      <x v="1679"/>
    </i>
    <i>
      <x v="1524"/>
    </i>
    <i>
      <x v="1687"/>
    </i>
    <i>
      <x v="1571"/>
    </i>
    <i>
      <x v="1695"/>
    </i>
    <i>
      <x v="1572"/>
    </i>
    <i>
      <x v="1703"/>
    </i>
    <i>
      <x v="1573"/>
    </i>
    <i>
      <x v="1711"/>
    </i>
    <i>
      <x v="1574"/>
    </i>
    <i>
      <x v="1719"/>
    </i>
    <i>
      <x v="1575"/>
    </i>
    <i>
      <x v="1727"/>
    </i>
    <i>
      <x v="1576"/>
    </i>
    <i>
      <x v="1735"/>
    </i>
    <i>
      <x v="1577"/>
    </i>
    <i>
      <x v="1743"/>
    </i>
    <i>
      <x v="1578"/>
    </i>
    <i>
      <x v="1751"/>
    </i>
    <i>
      <x v="1579"/>
    </i>
    <i>
      <x v="1759"/>
    </i>
    <i>
      <x v="1580"/>
    </i>
    <i>
      <x v="1767"/>
    </i>
    <i>
      <x v="1581"/>
    </i>
    <i>
      <x v="1775"/>
    </i>
    <i>
      <x v="1517"/>
    </i>
    <i>
      <x v="1669"/>
    </i>
    <i>
      <x v="1583"/>
    </i>
    <i>
      <x v="1673"/>
    </i>
    <i>
      <x v="1584"/>
    </i>
    <i>
      <x v="1677"/>
    </i>
    <i>
      <x v="1585"/>
    </i>
    <i>
      <x v="1681"/>
    </i>
    <i>
      <x v="1526"/>
    </i>
    <i>
      <x v="1685"/>
    </i>
    <i>
      <x v="1514"/>
    </i>
    <i>
      <x v="1689"/>
    </i>
    <i>
      <x v="1588"/>
    </i>
    <i>
      <x v="1693"/>
    </i>
    <i>
      <x v="1528"/>
    </i>
    <i>
      <x v="1697"/>
    </i>
    <i>
      <x v="1529"/>
    </i>
    <i>
      <x v="1701"/>
    </i>
    <i>
      <x v="1530"/>
    </i>
    <i>
      <x v="1705"/>
    </i>
    <i>
      <x v="1592"/>
    </i>
    <i>
      <x v="1709"/>
    </i>
    <i>
      <x v="1531"/>
    </i>
    <i>
      <x v="1713"/>
    </i>
    <i>
      <x v="1532"/>
    </i>
    <i>
      <x v="1717"/>
    </i>
    <i>
      <x v="1533"/>
    </i>
    <i>
      <x v="1721"/>
    </i>
    <i>
      <x v="1534"/>
    </i>
    <i>
      <x v="1725"/>
    </i>
    <i>
      <x v="1597"/>
    </i>
    <i>
      <x v="1729"/>
    </i>
    <i>
      <x v="1535"/>
    </i>
    <i>
      <x v="1733"/>
    </i>
    <i>
      <x v="1536"/>
    </i>
    <i>
      <x v="1737"/>
    </i>
    <i>
      <x v="1600"/>
    </i>
    <i>
      <x v="1741"/>
    </i>
    <i>
      <x v="1515"/>
    </i>
    <i>
      <x v="1745"/>
    </i>
    <i>
      <x v="1602"/>
    </i>
    <i>
      <x v="1749"/>
    </i>
    <i>
      <x v="1603"/>
    </i>
    <i>
      <x v="1753"/>
    </i>
    <i>
      <x v="1538"/>
    </i>
    <i>
      <x v="1757"/>
    </i>
    <i>
      <x v="1539"/>
    </i>
    <i>
      <x v="1761"/>
    </i>
    <i>
      <x v="1540"/>
    </i>
    <i>
      <x v="1765"/>
    </i>
    <i>
      <x v="1607"/>
    </i>
    <i>
      <x v="1769"/>
    </i>
    <i>
      <x v="1608"/>
    </i>
    <i>
      <x v="1773"/>
    </i>
    <i>
      <x v="1609"/>
    </i>
    <i>
      <x v="1777"/>
    </i>
    <i>
      <x v="1610"/>
    </i>
    <i>
      <x v="1556"/>
    </i>
    <i>
      <x v="1611"/>
    </i>
    <i>
      <x v="1670"/>
    </i>
    <i>
      <x v="1612"/>
    </i>
    <i>
      <x v="1552"/>
    </i>
    <i>
      <x v="1613"/>
    </i>
    <i>
      <x v="1553"/>
    </i>
    <i>
      <x v="1614"/>
    </i>
    <i>
      <x v="1676"/>
    </i>
    <i>
      <x v="1615"/>
    </i>
    <i>
      <x v="1678"/>
    </i>
    <i>
      <x v="1616"/>
    </i>
    <i>
      <x v="1680"/>
    </i>
    <i>
      <x v="1541"/>
    </i>
    <i>
      <x v="1682"/>
    </i>
    <i>
      <x v="1618"/>
    </i>
    <i>
      <x v="1684"/>
    </i>
    <i>
      <x v="1542"/>
    </i>
    <i>
      <x v="1686"/>
    </i>
    <i>
      <x v="1620"/>
    </i>
    <i>
      <x v="1688"/>
    </i>
    <i>
      <x v="1543"/>
    </i>
    <i>
      <x v="1690"/>
    </i>
    <i>
      <x v="1622"/>
    </i>
    <i>
      <x v="1692"/>
    </i>
    <i>
      <x v="1623"/>
    </i>
    <i>
      <x v="1555"/>
    </i>
    <i>
      <x v="1624"/>
    </i>
    <i>
      <x v="1696"/>
    </i>
    <i>
      <x v="1625"/>
    </i>
    <i>
      <x v="1698"/>
    </i>
    <i>
      <x v="1626"/>
    </i>
    <i>
      <x v="1700"/>
    </i>
    <i>
      <x v="1627"/>
    </i>
    <i>
      <x v="1702"/>
    </i>
    <i>
      <x v="1544"/>
    </i>
    <i>
      <x v="1704"/>
    </i>
    <i>
      <x v="1629"/>
    </i>
    <i>
      <x v="1706"/>
    </i>
    <i>
      <x v="1630"/>
    </i>
    <i>
      <x v="1708"/>
    </i>
    <i>
      <x v="1516"/>
    </i>
    <i>
      <x v="1710"/>
    </i>
    <i>
      <x v="1632"/>
    </i>
    <i>
      <x v="1712"/>
    </i>
    <i>
      <x v="1633"/>
    </i>
    <i>
      <x v="1714"/>
    </i>
    <i>
      <x v="1634"/>
    </i>
    <i>
      <x v="1716"/>
    </i>
    <i>
      <x v="1635"/>
    </i>
    <i>
      <x v="1718"/>
    </i>
    <i>
      <x v="1636"/>
    </i>
    <i>
      <x v="1720"/>
    </i>
    <i>
      <x v="1637"/>
    </i>
    <i>
      <x v="1722"/>
    </i>
    <i>
      <x v="1521"/>
    </i>
    <i>
      <x v="1724"/>
    </i>
    <i>
      <x v="1639"/>
    </i>
    <i>
      <x v="1726"/>
    </i>
    <i>
      <x v="1640"/>
    </i>
    <i>
      <x v="1728"/>
    </i>
    <i>
      <x v="1641"/>
    </i>
    <i>
      <x v="1730"/>
    </i>
    <i>
      <x v="1642"/>
    </i>
    <i>
      <x v="1732"/>
    </i>
    <i>
      <x v="1643"/>
    </i>
    <i>
      <x v="1734"/>
    </i>
    <i>
      <x v="1547"/>
    </i>
    <i>
      <x v="1736"/>
    </i>
    <i>
      <x v="1645"/>
    </i>
    <i>
      <x v="1738"/>
    </i>
    <i>
      <x v="1781"/>
    </i>
    <i>
      <x v="1740"/>
    </i>
    <i>
      <x v="1782"/>
    </i>
    <i>
      <x v="1742"/>
    </i>
    <i>
      <x v="1784"/>
    </i>
    <i>
      <x v="1744"/>
    </i>
    <i>
      <x v="1786"/>
    </i>
    <i>
      <x v="1746"/>
    </i>
    <i>
      <x v="1650"/>
    </i>
    <i>
      <x v="1748"/>
    </i>
    <i>
      <x v="1651"/>
    </i>
    <i>
      <x v="1750"/>
    </i>
    <i>
      <x v="1652"/>
    </i>
    <i>
      <x v="1752"/>
    </i>
    <i>
      <x v="1653"/>
    </i>
    <i>
      <x v="1754"/>
    </i>
    <i>
      <x v="1654"/>
    </i>
    <i>
      <x v="1756"/>
    </i>
    <i>
      <x v="1655"/>
    </i>
    <i>
      <x v="1758"/>
    </i>
    <i>
      <x v="1522"/>
    </i>
    <i>
      <x v="1760"/>
    </i>
    <i>
      <x v="1523"/>
    </i>
    <i>
      <x v="1762"/>
    </i>
    <i>
      <x v="1658"/>
    </i>
    <i>
      <x v="1764"/>
    </i>
    <i>
      <x v="1659"/>
    </i>
    <i>
      <x v="1766"/>
    </i>
    <i>
      <x v="1660"/>
    </i>
    <i>
      <x v="1768"/>
    </i>
    <i>
      <x v="1661"/>
    </i>
    <i>
      <x v="1770"/>
    </i>
    <i>
      <x v="1550"/>
    </i>
    <i>
      <x v="1772"/>
    </i>
    <i>
      <x v="1663"/>
    </i>
    <i>
      <x v="1774"/>
    </i>
    <i>
      <x v="1664"/>
    </i>
    <i>
      <x v="1776"/>
    </i>
    <i>
      <x v="1551"/>
    </i>
    <i>
      <x v="1778"/>
    </i>
    <i>
      <x v="1666"/>
    </i>
    <i>
      <x v="1780"/>
    </i>
    <i>
      <x v="1667"/>
    </i>
    <i>
      <x v="1668"/>
    </i>
    <i>
      <x v="1783"/>
    </i>
    <i>
      <x v="1647"/>
    </i>
    <i>
      <x v="1785"/>
    </i>
    <i>
      <x v="1648"/>
    </i>
    <i>
      <x v="1513"/>
    </i>
    <i>
      <x v="1649"/>
    </i>
    <i>
      <x v="1444"/>
    </i>
    <i>
      <x v="1272"/>
    </i>
    <i>
      <x v="1476"/>
    </i>
    <i>
      <x v="1318"/>
    </i>
    <i>
      <x v="1428"/>
    </i>
    <i>
      <x v="1284"/>
    </i>
    <i>
      <x v="1267"/>
    </i>
    <i>
      <x v="1285"/>
    </i>
    <i>
      <x v="1492"/>
    </i>
    <i>
      <x v="1321"/>
    </i>
    <i>
      <x v="1420"/>
    </i>
    <i>
      <x v="1322"/>
    </i>
    <i>
      <x v="1252"/>
    </i>
    <i>
      <x v="1323"/>
    </i>
    <i>
      <x v="1452"/>
    </i>
    <i>
      <x v="1324"/>
    </i>
    <i>
      <x v="1468"/>
    </i>
    <i>
      <x v="1325"/>
    </i>
    <i>
      <x v="1484"/>
    </i>
    <i>
      <x v="1326"/>
    </i>
    <i>
      <x v="1500"/>
    </i>
    <i>
      <x v="1327"/>
    </i>
    <i>
      <x v="1416"/>
    </i>
    <i>
      <x v="1286"/>
    </i>
    <i>
      <x v="1424"/>
    </i>
    <i>
      <x v="1329"/>
    </i>
    <i>
      <x v="1432"/>
    </i>
    <i>
      <x v="1330"/>
    </i>
    <i>
      <x v="1440"/>
    </i>
    <i>
      <x v="1287"/>
    </i>
    <i>
      <x v="1448"/>
    </i>
    <i>
      <x v="1332"/>
    </i>
    <i>
      <x v="1282"/>
    </i>
    <i>
      <x v="1333"/>
    </i>
    <i>
      <x v="1464"/>
    </i>
    <i>
      <x v="1334"/>
    </i>
    <i>
      <x v="1312"/>
    </i>
    <i>
      <x v="1335"/>
    </i>
    <i>
      <x v="1270"/>
    </i>
    <i>
      <x v="1336"/>
    </i>
    <i>
      <x v="1488"/>
    </i>
    <i>
      <x v="1337"/>
    </i>
    <i>
      <x v="1496"/>
    </i>
    <i>
      <x v="1338"/>
    </i>
    <i>
      <x v="1504"/>
    </i>
    <i>
      <x v="1277"/>
    </i>
    <i>
      <x v="1414"/>
    </i>
    <i>
      <x v="1289"/>
    </i>
    <i>
      <x v="1418"/>
    </i>
    <i>
      <x v="1261"/>
    </i>
    <i>
      <x v="1422"/>
    </i>
    <i>
      <x v="1342"/>
    </i>
    <i>
      <x v="1426"/>
    </i>
    <i>
      <x v="1343"/>
    </i>
    <i>
      <x v="1430"/>
    </i>
    <i>
      <x v="1274"/>
    </i>
    <i>
      <x v="1434"/>
    </i>
    <i>
      <x v="1243"/>
    </i>
    <i>
      <x v="1438"/>
    </i>
    <i>
      <x v="1346"/>
    </i>
    <i>
      <x v="1442"/>
    </i>
    <i>
      <x v="1347"/>
    </i>
    <i>
      <x v="1446"/>
    </i>
    <i>
      <x v="1291"/>
    </i>
    <i>
      <x v="1450"/>
    </i>
    <i>
      <x v="1349"/>
    </i>
    <i>
      <x v="1454"/>
    </i>
    <i>
      <x v="1350"/>
    </i>
    <i>
      <x v="1458"/>
    </i>
    <i>
      <x v="1351"/>
    </i>
    <i>
      <x v="1462"/>
    </i>
    <i>
      <x v="1352"/>
    </i>
    <i>
      <x v="1466"/>
    </i>
    <i>
      <x v="1292"/>
    </i>
    <i>
      <x v="1470"/>
    </i>
    <i>
      <x v="1354"/>
    </i>
    <i>
      <x v="1474"/>
    </i>
    <i>
      <x v="1355"/>
    </i>
    <i>
      <x v="1478"/>
    </i>
    <i>
      <x v="1356"/>
    </i>
    <i>
      <x v="1482"/>
    </i>
    <i>
      <x v="1357"/>
    </i>
    <i>
      <x v="1486"/>
    </i>
    <i>
      <x v="1358"/>
    </i>
    <i>
      <x v="1490"/>
    </i>
    <i>
      <x v="1359"/>
    </i>
    <i>
      <x v="1271"/>
    </i>
    <i>
      <x v="1360"/>
    </i>
    <i>
      <x v="1498"/>
    </i>
    <i>
      <x v="1361"/>
    </i>
    <i>
      <x v="1502"/>
    </i>
    <i>
      <x v="1256"/>
    </i>
    <i>
      <x v="1506"/>
    </i>
    <i>
      <x v="1363"/>
    </i>
    <i>
      <x v="1317"/>
    </i>
    <i>
      <x v="1364"/>
    </i>
    <i>
      <x v="1415"/>
    </i>
    <i>
      <x v="1365"/>
    </i>
    <i>
      <x v="1417"/>
    </i>
    <i>
      <x v="1366"/>
    </i>
    <i>
      <x v="1265"/>
    </i>
    <i>
      <x v="1367"/>
    </i>
    <i>
      <x v="1421"/>
    </i>
    <i>
      <x v="1368"/>
    </i>
    <i>
      <x v="1423"/>
    </i>
    <i>
      <x v="1279"/>
    </i>
    <i>
      <x v="1425"/>
    </i>
    <i>
      <x v="1295"/>
    </i>
    <i>
      <x v="1258"/>
    </i>
    <i>
      <x v="1371"/>
    </i>
    <i>
      <x v="1429"/>
    </i>
    <i>
      <x v="1372"/>
    </i>
    <i>
      <x v="1307"/>
    </i>
    <i>
      <x v="1373"/>
    </i>
    <i>
      <x v="1433"/>
    </i>
    <i>
      <x v="1241"/>
    </i>
    <i>
      <x v="1435"/>
    </i>
    <i>
      <x v="1238"/>
    </i>
    <i>
      <x v="1437"/>
    </i>
    <i>
      <x v="1254"/>
    </i>
    <i>
      <x v="1439"/>
    </i>
    <i>
      <x v="1297"/>
    </i>
    <i>
      <x v="1308"/>
    </i>
    <i>
      <x v="1298"/>
    </i>
    <i>
      <x v="1443"/>
    </i>
    <i>
      <x v="1379"/>
    </i>
    <i>
      <x v="1266"/>
    </i>
    <i>
      <x v="1380"/>
    </i>
    <i>
      <x v="1447"/>
    </i>
    <i>
      <x v="1511"/>
    </i>
    <i>
      <x v="1449"/>
    </i>
    <i>
      <x v="1512"/>
    </i>
    <i>
      <x v="1451"/>
    </i>
    <i>
      <x v="1299"/>
    </i>
    <i>
      <x v="1453"/>
    </i>
    <i>
      <x v="1384"/>
    </i>
    <i>
      <x v="1455"/>
    </i>
    <i>
      <x v="1280"/>
    </i>
    <i>
      <x v="1457"/>
    </i>
    <i>
      <x v="1246"/>
    </i>
    <i>
      <x v="1459"/>
    </i>
    <i>
      <x v="1247"/>
    </i>
    <i>
      <x v="1461"/>
    </i>
    <i>
      <x v="1388"/>
    </i>
    <i>
      <x v="1259"/>
    </i>
    <i>
      <x v="1301"/>
    </i>
    <i>
      <x v="1311"/>
    </i>
    <i>
      <x v="1239"/>
    </i>
    <i>
      <x v="1467"/>
    </i>
    <i>
      <x v="1510"/>
    </i>
    <i>
      <x v="1469"/>
    </i>
    <i>
      <x v="1392"/>
    </i>
    <i>
      <x v="1471"/>
    </i>
    <i>
      <x v="1393"/>
    </i>
    <i>
      <x v="1473"/>
    </i>
    <i>
      <x v="1394"/>
    </i>
    <i>
      <x v="1255"/>
    </i>
    <i>
      <x v="1395"/>
    </i>
    <i>
      <x v="1477"/>
    </i>
    <i>
      <x v="1396"/>
    </i>
    <i>
      <x v="1269"/>
    </i>
    <i>
      <x v="1397"/>
    </i>
    <i>
      <x v="1481"/>
    </i>
    <i>
      <x v="1275"/>
    </i>
    <i>
      <x v="1483"/>
    </i>
    <i>
      <x v="1399"/>
    </i>
    <i>
      <x v="1485"/>
    </i>
    <i>
      <x v="1242"/>
    </i>
    <i>
      <x v="1487"/>
    </i>
    <i>
      <x v="1401"/>
    </i>
    <i>
      <x v="1489"/>
    </i>
    <i>
      <x v="1402"/>
    </i>
    <i>
      <x v="1491"/>
    </i>
    <i>
      <x v="1248"/>
    </i>
    <i>
      <x v="1314"/>
    </i>
    <i>
      <x v="1404"/>
    </i>
    <i>
      <x v="1495"/>
    </i>
    <i>
      <x v="1264"/>
    </i>
    <i>
      <x v="1497"/>
    </i>
    <i>
      <x v="1406"/>
    </i>
    <i>
      <x v="1499"/>
    </i>
    <i>
      <x v="1304"/>
    </i>
    <i>
      <x v="1501"/>
    </i>
    <i>
      <x v="1408"/>
    </i>
    <i>
      <x v="1503"/>
    </i>
    <i>
      <x v="1409"/>
    </i>
    <i>
      <x v="1505"/>
    </i>
    <i>
      <x v="1305"/>
    </i>
    <i>
      <x v="1315"/>
    </i>
    <i>
      <x v="1411"/>
    </i>
    <i>
      <x v="1260"/>
    </i>
    <i>
      <x v="1251"/>
    </i>
    <i>
      <x v="1413"/>
    </i>
    <i>
      <x v="1391"/>
    </i>
    <i>
      <x v="1253"/>
    </i>
    <i>
      <x v="1382"/>
    </i>
    <i>
      <x v="969"/>
    </i>
    <i>
      <x v="1179"/>
    </i>
    <i>
      <x v="1163"/>
    </i>
    <i>
      <x v="1031"/>
    </i>
    <i>
      <x v="1074"/>
    </i>
    <i>
      <x v="1086"/>
    </i>
    <i>
      <x v="1227"/>
    </i>
    <i>
      <x v="1032"/>
    </i>
    <i>
      <x v="1021"/>
    </i>
    <i>
      <x v="1088"/>
    </i>
    <i>
      <x v="1071"/>
    </i>
    <i>
      <x v="1089"/>
    </i>
    <i>
      <x v="1203"/>
    </i>
    <i>
      <x v="1033"/>
    </i>
    <i>
      <x v="1027"/>
    </i>
    <i>
      <x v="978"/>
    </i>
    <i>
      <x v="1059"/>
    </i>
    <i>
      <x v="1092"/>
    </i>
    <i>
      <x v="1167"/>
    </i>
    <i>
      <x v="1035"/>
    </i>
    <i>
      <x v="966"/>
    </i>
    <i>
      <x v="1094"/>
    </i>
    <i>
      <x v="1183"/>
    </i>
    <i>
      <x v="988"/>
    </i>
    <i>
      <x v="1191"/>
    </i>
    <i>
      <x v="1096"/>
    </i>
    <i>
      <x v="1199"/>
    </i>
    <i>
      <x v="1097"/>
    </i>
    <i>
      <x v="1207"/>
    </i>
    <i>
      <x v="1098"/>
    </i>
    <i>
      <x v="1215"/>
    </i>
    <i>
      <x v="989"/>
    </i>
    <i>
      <x v="1014"/>
    </i>
    <i>
      <x v="1036"/>
    </i>
    <i>
      <x v="999"/>
    </i>
    <i>
      <x v="1037"/>
    </i>
    <i>
      <x v="1008"/>
    </i>
    <i>
      <x v="1235"/>
    </i>
    <i>
      <x v="1062"/>
    </i>
    <i>
      <x v="1237"/>
    </i>
    <i>
      <x v="972"/>
    </i>
    <i>
      <x v="1038"/>
    </i>
    <i>
      <x v="1013"/>
    </i>
    <i>
      <x v="1105"/>
    </i>
    <i>
      <x v="1177"/>
    </i>
    <i>
      <x v="1039"/>
    </i>
    <i>
      <x v="1181"/>
    </i>
    <i>
      <x v="1107"/>
    </i>
    <i>
      <x v="1185"/>
    </i>
    <i>
      <x v="1108"/>
    </i>
    <i>
      <x v="1189"/>
    </i>
    <i>
      <x v="1040"/>
    </i>
    <i>
      <x v="980"/>
    </i>
    <i>
      <x v="1110"/>
    </i>
    <i>
      <x v="1002"/>
    </i>
    <i>
      <x v="1111"/>
    </i>
    <i>
      <x v="1201"/>
    </i>
    <i>
      <x v="1112"/>
    </i>
    <i>
      <x v="1205"/>
    </i>
    <i>
      <x v="1009"/>
    </i>
    <i>
      <x v="1209"/>
    </i>
    <i>
      <x v="991"/>
    </i>
    <i>
      <x v="1026"/>
    </i>
    <i>
      <x v="992"/>
    </i>
    <i>
      <x v="1079"/>
    </i>
    <i>
      <x v="1116"/>
    </i>
    <i>
      <x v="1028"/>
    </i>
    <i>
      <x v="1117"/>
    </i>
    <i>
      <x v="1006"/>
    </i>
    <i>
      <x v="1017"/>
    </i>
    <i>
      <x v="1229"/>
    </i>
    <i>
      <x v="1232"/>
    </i>
    <i>
      <x v="1158"/>
    </i>
    <i>
      <x v="1043"/>
    </i>
    <i>
      <x v="1160"/>
    </i>
    <i>
      <x v="1044"/>
    </i>
    <i>
      <x v="982"/>
    </i>
    <i>
      <x v="1122"/>
    </i>
    <i>
      <x v="1164"/>
    </i>
    <i>
      <x v="1123"/>
    </i>
    <i>
      <x v="1012"/>
    </i>
    <i>
      <x v="1045"/>
    </i>
    <i>
      <x v="1168"/>
    </i>
    <i>
      <x v="1046"/>
    </i>
    <i>
      <x v="1170"/>
    </i>
    <i>
      <x v="1047"/>
    </i>
    <i>
      <x v="1172"/>
    </i>
    <i>
      <x v="1127"/>
    </i>
    <i>
      <x v="1174"/>
    </i>
    <i>
      <x v="1128"/>
    </i>
    <i>
      <x v="1068"/>
    </i>
    <i>
      <x v="1129"/>
    </i>
    <i>
      <x v="1178"/>
    </i>
    <i>
      <x v="1048"/>
    </i>
    <i>
      <x v="1023"/>
    </i>
    <i>
      <x v="1049"/>
    </i>
    <i>
      <x v="985"/>
    </i>
    <i>
      <x v="1132"/>
    </i>
    <i>
      <x v="1184"/>
    </i>
    <i>
      <x v="1133"/>
    </i>
    <i>
      <x v="1186"/>
    </i>
    <i>
      <x v="1050"/>
    </i>
    <i>
      <x v="1001"/>
    </i>
    <i>
      <x v="1051"/>
    </i>
    <i>
      <x v="1190"/>
    </i>
    <i>
      <x v="1136"/>
    </i>
    <i>
      <x v="1192"/>
    </i>
    <i>
      <x v="1052"/>
    </i>
    <i>
      <x v="1073"/>
    </i>
    <i>
      <x v="1138"/>
    </i>
    <i>
      <x v="1196"/>
    </i>
    <i>
      <x v="1139"/>
    </i>
    <i>
      <x v="1198"/>
    </i>
    <i>
      <x v="1140"/>
    </i>
    <i>
      <x v="1200"/>
    </i>
    <i>
      <x v="1141"/>
    </i>
    <i>
      <x v="1202"/>
    </i>
    <i>
      <x v="1142"/>
    </i>
    <i>
      <x v="1204"/>
    </i>
    <i>
      <x v="1143"/>
    </i>
    <i>
      <x v="1075"/>
    </i>
    <i>
      <x v="1144"/>
    </i>
    <i>
      <x v="1208"/>
    </i>
    <i>
      <x v="1145"/>
    </i>
    <i>
      <x v="1025"/>
    </i>
    <i>
      <x v="994"/>
    </i>
    <i>
      <x v="1077"/>
    </i>
    <i>
      <x v="1147"/>
    </i>
    <i>
      <x v="1004"/>
    </i>
    <i>
      <x v="1148"/>
    </i>
    <i>
      <x v="1216"/>
    </i>
    <i>
      <x v="1053"/>
    </i>
    <i>
      <x v="1218"/>
    </i>
    <i>
      <x v="1054"/>
    </i>
    <i>
      <x v="1220"/>
    </i>
    <i>
      <x v="976"/>
    </i>
    <i>
      <x v="1222"/>
    </i>
    <i>
      <x v="964"/>
    </i>
    <i>
      <x v="1224"/>
    </i>
    <i>
      <x v="1056"/>
    </i>
    <i>
      <x v="987"/>
    </i>
    <i>
      <x v="997"/>
    </i>
    <i>
      <x v="1228"/>
    </i>
    <i>
      <x v="1057"/>
    </i>
    <i>
      <x v="1030"/>
    </i>
    <i>
      <x v="1058"/>
    </i>
    <i>
      <x v="993"/>
    </i>
    <i>
      <x v="1233"/>
    </i>
    <i>
      <x v="1119"/>
    </i>
    <i>
      <x v="1007"/>
    </i>
    <i>
      <x v="1120"/>
    </i>
    <i>
      <x v="1102"/>
    </i>
    <i>
      <x v="970"/>
    </i>
    <i>
      <x v="1103"/>
    </i>
    <i t="grand">
      <x/>
    </i>
  </rowItems>
  <colItems count="1">
    <i/>
  </colItems>
  <dataFields count="1">
    <dataField name="Count of Symbol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wsj.com/mdc/public/page/2_3021-gaincomp-gainer-20180122.html" TargetMode="External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N10001"/>
  <sheetViews>
    <sheetView tabSelected="1" zoomScale="115" zoomScaleNormal="115" workbookViewId="0">
      <selection activeCell="K11" sqref="K11"/>
    </sheetView>
  </sheetViews>
  <sheetFormatPr defaultRowHeight="14.6" x14ac:dyDescent="0.4"/>
  <cols>
    <col min="2" max="2" width="45.765625" customWidth="1"/>
    <col min="3" max="3" width="16.69140625" style="10" customWidth="1"/>
    <col min="4" max="4" width="15.84375" style="10" customWidth="1"/>
    <col min="5" max="5" width="15.61328125" style="16" customWidth="1"/>
    <col min="6" max="6" width="21.53515625" customWidth="1"/>
    <col min="7" max="8" width="19" style="5" customWidth="1"/>
    <col min="9" max="9" width="8.3046875" style="22" customWidth="1"/>
    <col min="10" max="10" width="15" style="24" customWidth="1"/>
    <col min="11" max="11" width="17.3046875" bestFit="1" customWidth="1"/>
    <col min="12" max="12" width="16" customWidth="1"/>
    <col min="13" max="13" width="11.69140625" bestFit="1" customWidth="1"/>
    <col min="14" max="14" width="16" bestFit="1" customWidth="1"/>
  </cols>
  <sheetData>
    <row r="1" spans="1:14" x14ac:dyDescent="0.4">
      <c r="A1" s="6" t="s">
        <v>117</v>
      </c>
      <c r="B1" s="6" t="s">
        <v>0</v>
      </c>
      <c r="C1" s="8" t="s">
        <v>1</v>
      </c>
      <c r="D1" s="8" t="s">
        <v>2</v>
      </c>
      <c r="E1" s="18" t="s">
        <v>3</v>
      </c>
      <c r="F1" s="6" t="s">
        <v>4</v>
      </c>
      <c r="G1" s="7" t="s">
        <v>5</v>
      </c>
      <c r="H1" s="20"/>
      <c r="I1" s="21"/>
      <c r="J1" s="23"/>
    </row>
    <row r="2" spans="1:14" x14ac:dyDescent="0.4">
      <c r="A2">
        <v>1</v>
      </c>
      <c r="B2" t="s">
        <v>66</v>
      </c>
      <c r="C2" s="10">
        <v>10.6</v>
      </c>
      <c r="D2" s="10">
        <v>5.96</v>
      </c>
      <c r="E2" s="16">
        <v>128.44999999999999</v>
      </c>
      <c r="F2">
        <v>7217607</v>
      </c>
      <c r="G2" s="5">
        <v>43160</v>
      </c>
      <c r="K2" s="29" t="s">
        <v>1255</v>
      </c>
      <c r="L2" s="29"/>
      <c r="N2" t="s">
        <v>1258</v>
      </c>
    </row>
    <row r="3" spans="1:14" x14ac:dyDescent="0.4">
      <c r="A3">
        <v>2</v>
      </c>
      <c r="B3" t="s">
        <v>165</v>
      </c>
      <c r="C3" s="10">
        <v>2.73</v>
      </c>
      <c r="D3" s="10">
        <v>0.54</v>
      </c>
      <c r="E3" s="16">
        <v>24.66</v>
      </c>
      <c r="F3">
        <v>514587</v>
      </c>
      <c r="G3" s="5">
        <v>43160</v>
      </c>
      <c r="K3" t="s">
        <v>1257</v>
      </c>
      <c r="L3">
        <f>SUM(IF(FREQUENCY(G:G,G:G),1))</f>
        <v>53</v>
      </c>
      <c r="N3">
        <v>5</v>
      </c>
    </row>
    <row r="4" spans="1:14" x14ac:dyDescent="0.4">
      <c r="A4">
        <v>3</v>
      </c>
      <c r="B4" t="s">
        <v>153</v>
      </c>
      <c r="C4" s="10">
        <v>6.33</v>
      </c>
      <c r="D4" s="10">
        <v>0.94</v>
      </c>
      <c r="E4" s="16">
        <v>17.440000000000001</v>
      </c>
      <c r="F4">
        <v>101376</v>
      </c>
      <c r="G4" s="5">
        <v>43160</v>
      </c>
      <c r="K4" t="s">
        <v>1253</v>
      </c>
      <c r="L4">
        <f>COUNT(A:A)</f>
        <v>5700</v>
      </c>
      <c r="N4">
        <v>8</v>
      </c>
    </row>
    <row r="5" spans="1:14" x14ac:dyDescent="0.4">
      <c r="A5">
        <v>4</v>
      </c>
      <c r="B5" t="s">
        <v>1068</v>
      </c>
      <c r="C5" s="10">
        <v>4.4000000000000004</v>
      </c>
      <c r="D5" s="10">
        <v>0.65</v>
      </c>
      <c r="E5" s="16">
        <v>17.329999999999998</v>
      </c>
      <c r="F5">
        <v>250082</v>
      </c>
      <c r="G5" s="5">
        <v>43160</v>
      </c>
      <c r="K5" t="s">
        <v>1256</v>
      </c>
      <c r="L5" s="16">
        <f>AVERAGE(E:E)</f>
        <v>10.054824561403535</v>
      </c>
      <c r="N5">
        <v>11</v>
      </c>
    </row>
    <row r="6" spans="1:14" x14ac:dyDescent="0.4">
      <c r="A6">
        <v>5</v>
      </c>
      <c r="B6" t="s">
        <v>1212</v>
      </c>
      <c r="C6" s="10">
        <v>23.45</v>
      </c>
      <c r="D6" s="10">
        <v>3.45</v>
      </c>
      <c r="E6" s="16">
        <v>17.25</v>
      </c>
      <c r="F6">
        <v>134606</v>
      </c>
      <c r="G6" s="5">
        <v>43160</v>
      </c>
      <c r="K6" t="s">
        <v>1254</v>
      </c>
      <c r="N6">
        <v>14</v>
      </c>
    </row>
    <row r="7" spans="1:14" x14ac:dyDescent="0.4">
      <c r="A7">
        <v>6</v>
      </c>
      <c r="B7" t="s">
        <v>22</v>
      </c>
      <c r="C7" s="10">
        <v>6.15</v>
      </c>
      <c r="D7" s="10">
        <v>0.89</v>
      </c>
      <c r="E7" s="16">
        <v>16.920000000000002</v>
      </c>
      <c r="F7">
        <v>78754</v>
      </c>
      <c r="G7" s="5">
        <v>43160</v>
      </c>
      <c r="N7">
        <v>17</v>
      </c>
    </row>
    <row r="8" spans="1:14" x14ac:dyDescent="0.4">
      <c r="A8">
        <v>7</v>
      </c>
      <c r="B8" t="s">
        <v>157</v>
      </c>
      <c r="C8" s="10">
        <v>28.2</v>
      </c>
      <c r="D8" s="10">
        <v>3.95</v>
      </c>
      <c r="E8" s="16">
        <v>16.29</v>
      </c>
      <c r="F8">
        <v>177755</v>
      </c>
      <c r="G8" s="5">
        <v>43160</v>
      </c>
      <c r="N8">
        <v>20</v>
      </c>
    </row>
    <row r="9" spans="1:14" x14ac:dyDescent="0.4">
      <c r="A9">
        <v>8</v>
      </c>
      <c r="B9" t="s">
        <v>1213</v>
      </c>
      <c r="C9" s="10">
        <v>33.950000000000003</v>
      </c>
      <c r="D9" s="10">
        <v>4.75</v>
      </c>
      <c r="E9" s="16">
        <v>16.27</v>
      </c>
      <c r="F9">
        <v>1368735</v>
      </c>
      <c r="G9" s="5">
        <v>43160</v>
      </c>
      <c r="N9">
        <v>23</v>
      </c>
    </row>
    <row r="10" spans="1:14" x14ac:dyDescent="0.4">
      <c r="A10">
        <v>9</v>
      </c>
      <c r="B10" t="s">
        <v>1214</v>
      </c>
      <c r="C10" s="10">
        <v>3.65</v>
      </c>
      <c r="D10" s="10">
        <v>0.5</v>
      </c>
      <c r="E10" s="16">
        <v>15.87</v>
      </c>
      <c r="F10">
        <v>30707628</v>
      </c>
      <c r="G10" s="5">
        <v>43160</v>
      </c>
      <c r="K10">
        <f>COUNTA(G:G)</f>
        <v>5701</v>
      </c>
      <c r="N10">
        <v>50</v>
      </c>
    </row>
    <row r="11" spans="1:14" x14ac:dyDescent="0.4">
      <c r="A11">
        <v>10</v>
      </c>
      <c r="B11" t="s">
        <v>1215</v>
      </c>
      <c r="C11" s="10">
        <v>3.5</v>
      </c>
      <c r="D11" s="10">
        <v>0.48</v>
      </c>
      <c r="E11" s="16">
        <v>15.7</v>
      </c>
      <c r="F11">
        <v>1928632</v>
      </c>
      <c r="G11" s="5">
        <v>43160</v>
      </c>
      <c r="N11">
        <v>100</v>
      </c>
    </row>
    <row r="12" spans="1:14" x14ac:dyDescent="0.4">
      <c r="A12">
        <v>11</v>
      </c>
      <c r="B12" t="s">
        <v>1216</v>
      </c>
      <c r="C12" s="10">
        <v>14.13</v>
      </c>
      <c r="D12" s="10">
        <v>1.89</v>
      </c>
      <c r="E12" s="16">
        <v>15.44</v>
      </c>
      <c r="F12">
        <v>3409247</v>
      </c>
      <c r="G12" s="5">
        <v>43160</v>
      </c>
      <c r="N12">
        <v>200</v>
      </c>
    </row>
    <row r="13" spans="1:14" x14ac:dyDescent="0.4">
      <c r="A13">
        <v>12</v>
      </c>
      <c r="B13" t="s">
        <v>436</v>
      </c>
      <c r="C13" s="10">
        <v>16.95</v>
      </c>
      <c r="D13" s="10">
        <v>2.23</v>
      </c>
      <c r="E13" s="16">
        <v>15.15</v>
      </c>
      <c r="F13">
        <v>6386</v>
      </c>
      <c r="G13" s="5">
        <v>43160</v>
      </c>
      <c r="N13">
        <v>300</v>
      </c>
    </row>
    <row r="14" spans="1:14" x14ac:dyDescent="0.4">
      <c r="A14">
        <v>13</v>
      </c>
      <c r="B14" t="s">
        <v>429</v>
      </c>
      <c r="C14" s="10">
        <v>9.91</v>
      </c>
      <c r="D14" s="10">
        <v>1.25</v>
      </c>
      <c r="E14" s="16">
        <v>14.43</v>
      </c>
      <c r="F14">
        <v>68291321</v>
      </c>
      <c r="G14" s="5">
        <v>43160</v>
      </c>
    </row>
    <row r="15" spans="1:14" x14ac:dyDescent="0.4">
      <c r="A15">
        <v>14</v>
      </c>
      <c r="B15" t="s">
        <v>1217</v>
      </c>
      <c r="C15" s="10">
        <v>2.85</v>
      </c>
      <c r="D15" s="10">
        <v>0.35</v>
      </c>
      <c r="E15" s="16">
        <v>14</v>
      </c>
      <c r="F15">
        <v>63324</v>
      </c>
      <c r="G15" s="5">
        <v>43160</v>
      </c>
    </row>
    <row r="16" spans="1:14" x14ac:dyDescent="0.4">
      <c r="A16">
        <v>15</v>
      </c>
      <c r="B16" t="s">
        <v>1218</v>
      </c>
      <c r="C16" s="10">
        <v>6.6</v>
      </c>
      <c r="D16" s="10">
        <v>0.8</v>
      </c>
      <c r="E16" s="16">
        <v>13.79</v>
      </c>
      <c r="F16">
        <v>403667</v>
      </c>
      <c r="G16" s="5">
        <v>43160</v>
      </c>
      <c r="K16" t="s">
        <v>13</v>
      </c>
      <c r="L16" t="s">
        <v>11</v>
      </c>
    </row>
    <row r="17" spans="1:13" x14ac:dyDescent="0.4">
      <c r="A17">
        <v>16</v>
      </c>
      <c r="B17" t="s">
        <v>970</v>
      </c>
      <c r="C17" s="10">
        <v>3.4</v>
      </c>
      <c r="D17" s="10">
        <v>0.4</v>
      </c>
      <c r="E17" s="16">
        <v>13.33</v>
      </c>
      <c r="F17">
        <v>1497170</v>
      </c>
      <c r="G17" s="5">
        <v>43160</v>
      </c>
      <c r="K17" t="s">
        <v>12</v>
      </c>
      <c r="L17" s="14" t="s">
        <v>15</v>
      </c>
    </row>
    <row r="18" spans="1:13" x14ac:dyDescent="0.4">
      <c r="A18">
        <v>17</v>
      </c>
      <c r="B18" t="s">
        <v>685</v>
      </c>
      <c r="C18" s="10">
        <v>10.17</v>
      </c>
      <c r="D18" s="10">
        <v>1.18</v>
      </c>
      <c r="E18" s="16">
        <v>13.14</v>
      </c>
      <c r="F18">
        <v>3926</v>
      </c>
      <c r="G18" s="5">
        <v>43160</v>
      </c>
      <c r="K18" t="s">
        <v>14</v>
      </c>
      <c r="L18" t="s">
        <v>10</v>
      </c>
    </row>
    <row r="19" spans="1:13" x14ac:dyDescent="0.4">
      <c r="A19">
        <v>18</v>
      </c>
      <c r="B19" t="s">
        <v>337</v>
      </c>
      <c r="C19" s="10">
        <v>10.74</v>
      </c>
      <c r="D19" s="10">
        <v>1.24</v>
      </c>
      <c r="E19" s="16">
        <v>13.05</v>
      </c>
      <c r="F19">
        <v>11753913</v>
      </c>
      <c r="G19" s="5">
        <v>43160</v>
      </c>
      <c r="K19" t="s">
        <v>16</v>
      </c>
      <c r="L19" s="17" t="s">
        <v>2129</v>
      </c>
      <c r="M19" t="s">
        <v>2130</v>
      </c>
    </row>
    <row r="20" spans="1:13" x14ac:dyDescent="0.4">
      <c r="A20">
        <v>19</v>
      </c>
      <c r="B20" t="s">
        <v>941</v>
      </c>
      <c r="C20" s="10">
        <v>5.65</v>
      </c>
      <c r="D20" s="10">
        <v>0.65</v>
      </c>
      <c r="E20" s="16">
        <v>13</v>
      </c>
      <c r="F20">
        <v>4825</v>
      </c>
      <c r="G20" s="5">
        <v>43160</v>
      </c>
    </row>
    <row r="21" spans="1:13" x14ac:dyDescent="0.4">
      <c r="A21">
        <v>20</v>
      </c>
      <c r="B21" t="s">
        <v>1219</v>
      </c>
      <c r="C21" s="10">
        <v>13.1</v>
      </c>
      <c r="D21" s="10">
        <v>1.48</v>
      </c>
      <c r="E21" s="16">
        <v>12.74</v>
      </c>
      <c r="F21">
        <v>485691</v>
      </c>
      <c r="G21" s="5">
        <v>43160</v>
      </c>
    </row>
    <row r="22" spans="1:13" x14ac:dyDescent="0.4">
      <c r="A22">
        <v>21</v>
      </c>
      <c r="B22" t="s">
        <v>217</v>
      </c>
      <c r="C22" s="10">
        <v>4.24</v>
      </c>
      <c r="D22" s="10">
        <v>0.46</v>
      </c>
      <c r="E22" s="16">
        <v>12.17</v>
      </c>
      <c r="F22">
        <v>173775</v>
      </c>
      <c r="G22" s="5">
        <v>43160</v>
      </c>
    </row>
    <row r="23" spans="1:13" x14ac:dyDescent="0.4">
      <c r="A23">
        <v>22</v>
      </c>
      <c r="B23" t="s">
        <v>431</v>
      </c>
      <c r="C23" s="10">
        <v>13.05</v>
      </c>
      <c r="D23" s="10">
        <v>1.39</v>
      </c>
      <c r="E23" s="16">
        <v>11.9</v>
      </c>
      <c r="F23">
        <v>12127</v>
      </c>
      <c r="G23" s="5">
        <v>43160</v>
      </c>
    </row>
    <row r="24" spans="1:13" x14ac:dyDescent="0.4">
      <c r="A24">
        <v>23</v>
      </c>
      <c r="B24" t="s">
        <v>1220</v>
      </c>
      <c r="C24" s="10">
        <v>4.3</v>
      </c>
      <c r="D24" s="10">
        <v>0.45</v>
      </c>
      <c r="E24" s="16">
        <v>11.69</v>
      </c>
      <c r="F24">
        <v>672872</v>
      </c>
      <c r="G24" s="5">
        <v>43160</v>
      </c>
    </row>
    <row r="25" spans="1:13" x14ac:dyDescent="0.4">
      <c r="A25">
        <v>24</v>
      </c>
      <c r="B25" t="s">
        <v>142</v>
      </c>
      <c r="C25" s="10">
        <v>3.99</v>
      </c>
      <c r="D25" s="10">
        <v>0.41</v>
      </c>
      <c r="E25" s="16">
        <v>11.45</v>
      </c>
      <c r="F25">
        <v>10397</v>
      </c>
      <c r="G25" s="5">
        <v>43160</v>
      </c>
    </row>
    <row r="26" spans="1:13" x14ac:dyDescent="0.4">
      <c r="A26">
        <v>25</v>
      </c>
      <c r="B26" t="s">
        <v>1221</v>
      </c>
      <c r="C26" s="10">
        <v>20.36</v>
      </c>
      <c r="D26" s="10">
        <v>2.08</v>
      </c>
      <c r="E26" s="16">
        <v>11.38</v>
      </c>
      <c r="F26">
        <v>2844393</v>
      </c>
      <c r="G26" s="5">
        <v>43160</v>
      </c>
    </row>
    <row r="27" spans="1:13" ht="15" thickBot="1" x14ac:dyDescent="0.45">
      <c r="A27">
        <v>26</v>
      </c>
      <c r="B27" t="s">
        <v>54</v>
      </c>
      <c r="C27" s="10">
        <v>2.84</v>
      </c>
      <c r="D27" s="10">
        <v>0.28000000000000003</v>
      </c>
      <c r="E27" s="16">
        <v>10.94</v>
      </c>
      <c r="F27">
        <v>51321</v>
      </c>
      <c r="G27" s="5">
        <v>43160</v>
      </c>
    </row>
    <row r="28" spans="1:13" x14ac:dyDescent="0.4">
      <c r="A28">
        <v>27</v>
      </c>
      <c r="B28" t="s">
        <v>263</v>
      </c>
      <c r="C28" s="10">
        <v>9.99</v>
      </c>
      <c r="D28" s="10">
        <v>0.98</v>
      </c>
      <c r="E28" s="16">
        <v>10.88</v>
      </c>
      <c r="F28">
        <v>694454</v>
      </c>
      <c r="G28" s="5">
        <v>43160</v>
      </c>
      <c r="K28" s="28" t="s">
        <v>1258</v>
      </c>
      <c r="L28" s="28" t="s">
        <v>1260</v>
      </c>
    </row>
    <row r="29" spans="1:13" x14ac:dyDescent="0.4">
      <c r="A29">
        <v>28</v>
      </c>
      <c r="B29" t="s">
        <v>602</v>
      </c>
      <c r="C29" s="10">
        <v>9.5500000000000007</v>
      </c>
      <c r="D29" s="10">
        <v>0.93</v>
      </c>
      <c r="E29" s="16">
        <v>10.79</v>
      </c>
      <c r="F29">
        <v>17745496</v>
      </c>
      <c r="G29" s="5">
        <v>43160</v>
      </c>
      <c r="K29" s="25">
        <v>5</v>
      </c>
      <c r="L29" s="26">
        <v>171</v>
      </c>
    </row>
    <row r="30" spans="1:13" x14ac:dyDescent="0.4">
      <c r="A30">
        <v>29</v>
      </c>
      <c r="B30" t="s">
        <v>851</v>
      </c>
      <c r="C30" s="10">
        <v>6.7</v>
      </c>
      <c r="D30" s="10">
        <v>0.65</v>
      </c>
      <c r="E30" s="16">
        <v>10.74</v>
      </c>
      <c r="F30">
        <v>274870</v>
      </c>
      <c r="G30" s="5">
        <v>43160</v>
      </c>
      <c r="K30" s="25">
        <v>8</v>
      </c>
      <c r="L30" s="26">
        <v>930</v>
      </c>
    </row>
    <row r="31" spans="1:13" x14ac:dyDescent="0.4">
      <c r="A31">
        <v>30</v>
      </c>
      <c r="B31" t="s">
        <v>1071</v>
      </c>
      <c r="C31" s="10">
        <v>6.1</v>
      </c>
      <c r="D31" s="10">
        <v>0.59</v>
      </c>
      <c r="E31" s="16">
        <v>10.71</v>
      </c>
      <c r="F31">
        <v>105325</v>
      </c>
      <c r="G31" s="5">
        <v>43160</v>
      </c>
      <c r="K31" s="25">
        <v>11</v>
      </c>
      <c r="L31" s="26">
        <v>555</v>
      </c>
    </row>
    <row r="32" spans="1:13" x14ac:dyDescent="0.4">
      <c r="A32">
        <v>31</v>
      </c>
      <c r="B32" t="s">
        <v>1222</v>
      </c>
      <c r="C32" s="10">
        <v>21.19</v>
      </c>
      <c r="D32" s="10">
        <v>2.0099999999999998</v>
      </c>
      <c r="E32" s="16">
        <v>10.48</v>
      </c>
      <c r="F32">
        <v>4231465</v>
      </c>
      <c r="G32" s="5">
        <v>43160</v>
      </c>
      <c r="K32" s="25">
        <v>14</v>
      </c>
      <c r="L32" s="26">
        <v>193</v>
      </c>
    </row>
    <row r="33" spans="1:12" x14ac:dyDescent="0.4">
      <c r="A33">
        <v>32</v>
      </c>
      <c r="B33" t="s">
        <v>1223</v>
      </c>
      <c r="C33" s="10">
        <v>7.75</v>
      </c>
      <c r="D33" s="10">
        <v>0.72</v>
      </c>
      <c r="E33" s="16">
        <v>10.24</v>
      </c>
      <c r="F33">
        <v>26920766</v>
      </c>
      <c r="G33" s="5">
        <v>43160</v>
      </c>
      <c r="K33" s="25">
        <v>17</v>
      </c>
      <c r="L33" s="26">
        <v>89</v>
      </c>
    </row>
    <row r="34" spans="1:12" x14ac:dyDescent="0.4">
      <c r="A34">
        <v>33</v>
      </c>
      <c r="B34" t="s">
        <v>1012</v>
      </c>
      <c r="C34" s="10">
        <v>2.4500000000000002</v>
      </c>
      <c r="D34" s="10">
        <v>0.23</v>
      </c>
      <c r="E34" s="16">
        <v>10.11</v>
      </c>
      <c r="F34">
        <v>305961</v>
      </c>
      <c r="G34" s="5">
        <v>43160</v>
      </c>
      <c r="K34" s="25">
        <v>20</v>
      </c>
      <c r="L34" s="26">
        <v>46</v>
      </c>
    </row>
    <row r="35" spans="1:12" x14ac:dyDescent="0.4">
      <c r="A35">
        <v>34</v>
      </c>
      <c r="B35" t="s">
        <v>1075</v>
      </c>
      <c r="C35" s="10">
        <v>16.899999999999999</v>
      </c>
      <c r="D35" s="10">
        <v>1.55</v>
      </c>
      <c r="E35" s="16">
        <v>10.1</v>
      </c>
      <c r="F35">
        <v>25779</v>
      </c>
      <c r="G35" s="5">
        <v>43160</v>
      </c>
      <c r="K35" s="25">
        <v>23</v>
      </c>
      <c r="L35" s="26">
        <v>27</v>
      </c>
    </row>
    <row r="36" spans="1:12" x14ac:dyDescent="0.4">
      <c r="A36">
        <v>35</v>
      </c>
      <c r="B36" t="s">
        <v>430</v>
      </c>
      <c r="C36" s="10">
        <v>18.84</v>
      </c>
      <c r="D36" s="10">
        <v>1.72</v>
      </c>
      <c r="E36" s="16">
        <v>10.050000000000001</v>
      </c>
      <c r="F36">
        <v>77570884</v>
      </c>
      <c r="G36" s="5">
        <v>43160</v>
      </c>
      <c r="K36" s="25">
        <v>50</v>
      </c>
      <c r="L36" s="26">
        <v>73</v>
      </c>
    </row>
    <row r="37" spans="1:12" x14ac:dyDescent="0.4">
      <c r="A37">
        <v>36</v>
      </c>
      <c r="B37" t="s">
        <v>1224</v>
      </c>
      <c r="C37" s="10">
        <v>50.78</v>
      </c>
      <c r="D37" s="10">
        <v>4.5999999999999996</v>
      </c>
      <c r="E37" s="16">
        <v>9.9600000000000009</v>
      </c>
      <c r="F37">
        <v>1444836</v>
      </c>
      <c r="G37" s="5">
        <v>43160</v>
      </c>
      <c r="K37" s="25">
        <v>100</v>
      </c>
      <c r="L37" s="26">
        <v>12</v>
      </c>
    </row>
    <row r="38" spans="1:12" x14ac:dyDescent="0.4">
      <c r="A38">
        <v>37</v>
      </c>
      <c r="B38" t="s">
        <v>1225</v>
      </c>
      <c r="C38" s="10">
        <v>26.67</v>
      </c>
      <c r="D38" s="10">
        <v>2.37</v>
      </c>
      <c r="E38" s="16">
        <v>9.75</v>
      </c>
      <c r="F38">
        <v>346048</v>
      </c>
      <c r="G38" s="5">
        <v>43160</v>
      </c>
      <c r="K38" s="25">
        <v>200</v>
      </c>
      <c r="L38" s="26">
        <v>3</v>
      </c>
    </row>
    <row r="39" spans="1:12" x14ac:dyDescent="0.4">
      <c r="A39">
        <v>38</v>
      </c>
      <c r="B39" t="s">
        <v>347</v>
      </c>
      <c r="C39" s="10">
        <v>4.45</v>
      </c>
      <c r="D39" s="10">
        <v>0.39</v>
      </c>
      <c r="E39" s="16">
        <v>9.6</v>
      </c>
      <c r="F39">
        <v>3387</v>
      </c>
      <c r="G39" s="5">
        <v>43160</v>
      </c>
      <c r="K39" s="25">
        <v>300</v>
      </c>
      <c r="L39" s="26">
        <v>0</v>
      </c>
    </row>
    <row r="40" spans="1:12" ht="15" thickBot="1" x14ac:dyDescent="0.45">
      <c r="A40">
        <v>39</v>
      </c>
      <c r="B40" t="s">
        <v>221</v>
      </c>
      <c r="C40" s="10">
        <v>2.29</v>
      </c>
      <c r="D40" s="10">
        <v>0.2</v>
      </c>
      <c r="E40" s="16">
        <v>9.57</v>
      </c>
      <c r="F40">
        <v>13379</v>
      </c>
      <c r="G40" s="5">
        <v>43160</v>
      </c>
      <c r="K40" s="27" t="s">
        <v>1259</v>
      </c>
      <c r="L40" s="27">
        <v>1</v>
      </c>
    </row>
    <row r="41" spans="1:12" x14ac:dyDescent="0.4">
      <c r="A41">
        <v>40</v>
      </c>
      <c r="B41" t="s">
        <v>1226</v>
      </c>
      <c r="C41" s="10">
        <v>5.65</v>
      </c>
      <c r="D41" s="10">
        <v>0.49</v>
      </c>
      <c r="E41" s="16">
        <v>9.5</v>
      </c>
      <c r="F41">
        <v>71449589</v>
      </c>
      <c r="G41" s="5">
        <v>43160</v>
      </c>
      <c r="K41" s="25"/>
      <c r="L41" s="26"/>
    </row>
    <row r="42" spans="1:12" ht="15" thickBot="1" x14ac:dyDescent="0.45">
      <c r="A42">
        <v>41</v>
      </c>
      <c r="B42" t="s">
        <v>554</v>
      </c>
      <c r="C42" s="10">
        <v>2.33</v>
      </c>
      <c r="D42" s="10">
        <v>0.2</v>
      </c>
      <c r="E42" s="16">
        <v>9.41</v>
      </c>
      <c r="F42">
        <v>741353</v>
      </c>
      <c r="G42" s="5">
        <v>43160</v>
      </c>
      <c r="K42" s="27"/>
      <c r="L42" s="27"/>
    </row>
    <row r="43" spans="1:12" x14ac:dyDescent="0.4">
      <c r="A43">
        <v>42</v>
      </c>
      <c r="B43" t="s">
        <v>1227</v>
      </c>
      <c r="C43" s="10">
        <v>3.04</v>
      </c>
      <c r="D43" s="10">
        <v>0.26</v>
      </c>
      <c r="E43" s="16">
        <v>9.35</v>
      </c>
      <c r="F43">
        <v>226790</v>
      </c>
      <c r="G43" s="5">
        <v>43160</v>
      </c>
    </row>
    <row r="44" spans="1:12" x14ac:dyDescent="0.4">
      <c r="A44">
        <v>43</v>
      </c>
      <c r="B44" t="s">
        <v>1228</v>
      </c>
      <c r="C44" s="10">
        <v>13.07</v>
      </c>
      <c r="D44" s="10">
        <v>1.1000000000000001</v>
      </c>
      <c r="E44" s="16">
        <v>9.19</v>
      </c>
      <c r="F44">
        <v>11663617</v>
      </c>
      <c r="G44" s="5">
        <v>43160</v>
      </c>
    </row>
    <row r="45" spans="1:12" x14ac:dyDescent="0.4">
      <c r="A45">
        <v>44</v>
      </c>
      <c r="B45" t="s">
        <v>531</v>
      </c>
      <c r="C45" s="10">
        <v>3.12</v>
      </c>
      <c r="D45" s="10">
        <v>0.26</v>
      </c>
      <c r="E45" s="16">
        <v>9.09</v>
      </c>
      <c r="F45">
        <v>1197339</v>
      </c>
      <c r="G45" s="5">
        <v>43160</v>
      </c>
    </row>
    <row r="46" spans="1:12" x14ac:dyDescent="0.4">
      <c r="A46">
        <v>45</v>
      </c>
      <c r="B46" t="s">
        <v>726</v>
      </c>
      <c r="C46" s="10">
        <v>2.31</v>
      </c>
      <c r="D46" s="10">
        <v>0.19</v>
      </c>
      <c r="E46" s="16">
        <v>8.9600000000000009</v>
      </c>
      <c r="F46">
        <v>180332</v>
      </c>
      <c r="G46" s="5">
        <v>43160</v>
      </c>
    </row>
    <row r="47" spans="1:12" x14ac:dyDescent="0.4">
      <c r="A47">
        <v>46</v>
      </c>
      <c r="B47" t="s">
        <v>190</v>
      </c>
      <c r="C47" s="10">
        <v>2.56</v>
      </c>
      <c r="D47" s="10">
        <v>0.21</v>
      </c>
      <c r="E47" s="16">
        <v>8.94</v>
      </c>
      <c r="F47">
        <v>162542</v>
      </c>
      <c r="G47" s="5">
        <v>43160</v>
      </c>
    </row>
    <row r="48" spans="1:12" x14ac:dyDescent="0.4">
      <c r="A48">
        <v>47</v>
      </c>
      <c r="B48" t="s">
        <v>1050</v>
      </c>
      <c r="C48" s="10">
        <v>7.03</v>
      </c>
      <c r="D48" s="10">
        <v>0.56999999999999995</v>
      </c>
      <c r="E48" s="16">
        <v>8.82</v>
      </c>
      <c r="F48">
        <v>296678</v>
      </c>
      <c r="G48" s="5">
        <v>43160</v>
      </c>
    </row>
    <row r="49" spans="1:7" x14ac:dyDescent="0.4">
      <c r="A49">
        <v>48</v>
      </c>
      <c r="B49" t="s">
        <v>1229</v>
      </c>
      <c r="C49" s="10">
        <v>19.68</v>
      </c>
      <c r="D49" s="10">
        <v>1.58</v>
      </c>
      <c r="E49" s="16">
        <v>8.73</v>
      </c>
      <c r="F49">
        <v>122599</v>
      </c>
      <c r="G49" s="5">
        <v>43160</v>
      </c>
    </row>
    <row r="50" spans="1:7" x14ac:dyDescent="0.4">
      <c r="A50">
        <v>49</v>
      </c>
      <c r="B50" t="s">
        <v>1230</v>
      </c>
      <c r="C50" s="10">
        <v>33.270000000000003</v>
      </c>
      <c r="D50" s="10">
        <v>2.65</v>
      </c>
      <c r="E50" s="16">
        <v>8.65</v>
      </c>
      <c r="F50">
        <v>2874929</v>
      </c>
      <c r="G50" s="5">
        <v>43160</v>
      </c>
    </row>
    <row r="51" spans="1:7" x14ac:dyDescent="0.4">
      <c r="A51">
        <v>50</v>
      </c>
      <c r="B51" t="s">
        <v>311</v>
      </c>
      <c r="C51" s="10">
        <v>4.99</v>
      </c>
      <c r="D51" s="10">
        <v>0.39</v>
      </c>
      <c r="E51" s="16">
        <v>8.48</v>
      </c>
      <c r="F51">
        <v>394193</v>
      </c>
      <c r="G51" s="5">
        <v>43160</v>
      </c>
    </row>
    <row r="52" spans="1:7" x14ac:dyDescent="0.4">
      <c r="A52">
        <v>51</v>
      </c>
      <c r="B52" t="s">
        <v>1036</v>
      </c>
      <c r="C52" s="10">
        <v>2.19</v>
      </c>
      <c r="D52" s="10">
        <v>0.17</v>
      </c>
      <c r="E52" s="16">
        <v>8.42</v>
      </c>
      <c r="F52">
        <v>196044</v>
      </c>
      <c r="G52" s="5">
        <v>43160</v>
      </c>
    </row>
    <row r="53" spans="1:7" x14ac:dyDescent="0.4">
      <c r="A53">
        <v>52</v>
      </c>
      <c r="B53" t="s">
        <v>1231</v>
      </c>
      <c r="C53" s="10">
        <v>31.05</v>
      </c>
      <c r="D53" s="10">
        <v>2.4</v>
      </c>
      <c r="E53" s="16">
        <v>8.3800000000000008</v>
      </c>
      <c r="F53">
        <v>63287</v>
      </c>
      <c r="G53" s="5">
        <v>43160</v>
      </c>
    </row>
    <row r="54" spans="1:7" x14ac:dyDescent="0.4">
      <c r="A54">
        <v>53</v>
      </c>
      <c r="B54" t="s">
        <v>432</v>
      </c>
      <c r="C54" s="10">
        <v>4.22</v>
      </c>
      <c r="D54" s="10">
        <v>0.33</v>
      </c>
      <c r="E54" s="16">
        <v>8.33</v>
      </c>
      <c r="F54">
        <v>13616</v>
      </c>
      <c r="G54" s="5">
        <v>43160</v>
      </c>
    </row>
    <row r="55" spans="1:7" x14ac:dyDescent="0.4">
      <c r="A55">
        <v>54</v>
      </c>
      <c r="B55" t="s">
        <v>566</v>
      </c>
      <c r="C55" s="10">
        <v>3.25</v>
      </c>
      <c r="D55" s="10">
        <v>0.25</v>
      </c>
      <c r="E55" s="16">
        <v>8.33</v>
      </c>
      <c r="F55">
        <v>130304</v>
      </c>
      <c r="G55" s="5">
        <v>43160</v>
      </c>
    </row>
    <row r="56" spans="1:7" x14ac:dyDescent="0.4">
      <c r="A56">
        <v>55</v>
      </c>
      <c r="B56" t="s">
        <v>1232</v>
      </c>
      <c r="C56" s="10">
        <v>32.86</v>
      </c>
      <c r="D56" s="10">
        <v>2.5</v>
      </c>
      <c r="E56" s="16">
        <v>8.23</v>
      </c>
      <c r="F56">
        <v>7508943</v>
      </c>
      <c r="G56" s="5">
        <v>43160</v>
      </c>
    </row>
    <row r="57" spans="1:7" x14ac:dyDescent="0.4">
      <c r="A57">
        <v>56</v>
      </c>
      <c r="B57" t="s">
        <v>1233</v>
      </c>
      <c r="C57" s="10">
        <v>37.69</v>
      </c>
      <c r="D57" s="10">
        <v>2.86</v>
      </c>
      <c r="E57" s="16">
        <v>8.2100000000000009</v>
      </c>
      <c r="F57">
        <v>6136590</v>
      </c>
      <c r="G57" s="5">
        <v>43160</v>
      </c>
    </row>
    <row r="58" spans="1:7" x14ac:dyDescent="0.4">
      <c r="A58">
        <v>57</v>
      </c>
      <c r="B58" t="s">
        <v>1234</v>
      </c>
      <c r="C58" s="10">
        <v>6.49</v>
      </c>
      <c r="D58" s="10">
        <v>0.49</v>
      </c>
      <c r="E58" s="16">
        <v>8.17</v>
      </c>
      <c r="F58">
        <v>26176</v>
      </c>
      <c r="G58" s="5">
        <v>43160</v>
      </c>
    </row>
    <row r="59" spans="1:7" x14ac:dyDescent="0.4">
      <c r="A59">
        <v>58</v>
      </c>
      <c r="B59" t="s">
        <v>1070</v>
      </c>
      <c r="C59" s="10">
        <v>33.74</v>
      </c>
      <c r="D59" s="10">
        <v>2.44</v>
      </c>
      <c r="E59" s="16">
        <v>7.8</v>
      </c>
      <c r="F59">
        <v>1525517</v>
      </c>
      <c r="G59" s="5">
        <v>43160</v>
      </c>
    </row>
    <row r="60" spans="1:7" x14ac:dyDescent="0.4">
      <c r="A60">
        <v>59</v>
      </c>
      <c r="B60" t="s">
        <v>1100</v>
      </c>
      <c r="C60" s="10">
        <v>4.8499999999999996</v>
      </c>
      <c r="D60" s="10">
        <v>0.35</v>
      </c>
      <c r="E60" s="16">
        <v>7.78</v>
      </c>
      <c r="F60">
        <v>163476</v>
      </c>
      <c r="G60" s="5">
        <v>43160</v>
      </c>
    </row>
    <row r="61" spans="1:7" x14ac:dyDescent="0.4">
      <c r="A61">
        <v>60</v>
      </c>
      <c r="B61" t="s">
        <v>944</v>
      </c>
      <c r="C61" s="10">
        <v>27.03</v>
      </c>
      <c r="D61" s="10">
        <v>1.94</v>
      </c>
      <c r="E61" s="16">
        <v>7.73</v>
      </c>
      <c r="F61">
        <v>490006</v>
      </c>
      <c r="G61" s="5">
        <v>43160</v>
      </c>
    </row>
    <row r="62" spans="1:7" x14ac:dyDescent="0.4">
      <c r="A62">
        <v>61</v>
      </c>
      <c r="B62" t="s">
        <v>1235</v>
      </c>
      <c r="C62" s="10">
        <v>20.48</v>
      </c>
      <c r="D62" s="10">
        <v>1.43</v>
      </c>
      <c r="E62" s="16">
        <v>7.51</v>
      </c>
      <c r="F62">
        <v>5648381</v>
      </c>
      <c r="G62" s="5">
        <v>43160</v>
      </c>
    </row>
    <row r="63" spans="1:7" x14ac:dyDescent="0.4">
      <c r="A63">
        <v>62</v>
      </c>
      <c r="B63" t="s">
        <v>25</v>
      </c>
      <c r="C63" s="10">
        <v>4.7699999999999996</v>
      </c>
      <c r="D63" s="10">
        <v>0.33</v>
      </c>
      <c r="E63" s="16">
        <v>7.43</v>
      </c>
      <c r="F63">
        <v>101193</v>
      </c>
      <c r="G63" s="5">
        <v>43160</v>
      </c>
    </row>
    <row r="64" spans="1:7" x14ac:dyDescent="0.4">
      <c r="A64">
        <v>63</v>
      </c>
      <c r="B64" t="s">
        <v>1236</v>
      </c>
      <c r="C64" s="10">
        <v>153</v>
      </c>
      <c r="D64" s="10">
        <v>10.47</v>
      </c>
      <c r="E64" s="16">
        <v>7.35</v>
      </c>
      <c r="F64">
        <v>100294</v>
      </c>
      <c r="G64" s="5">
        <v>43160</v>
      </c>
    </row>
    <row r="65" spans="1:7" x14ac:dyDescent="0.4">
      <c r="A65">
        <v>64</v>
      </c>
      <c r="B65" t="s">
        <v>89</v>
      </c>
      <c r="C65" s="10">
        <v>32.299999999999997</v>
      </c>
      <c r="D65" s="10">
        <v>2.2000000000000002</v>
      </c>
      <c r="E65" s="16">
        <v>7.31</v>
      </c>
      <c r="F65">
        <v>60682</v>
      </c>
      <c r="G65" s="5">
        <v>43160</v>
      </c>
    </row>
    <row r="66" spans="1:7" x14ac:dyDescent="0.4">
      <c r="A66">
        <v>65</v>
      </c>
      <c r="B66" t="s">
        <v>1237</v>
      </c>
      <c r="C66" s="10">
        <v>15.61</v>
      </c>
      <c r="D66" s="10">
        <v>1.06</v>
      </c>
      <c r="E66" s="16">
        <v>7.29</v>
      </c>
      <c r="F66">
        <v>3557986</v>
      </c>
      <c r="G66" s="5">
        <v>43160</v>
      </c>
    </row>
    <row r="67" spans="1:7" x14ac:dyDescent="0.4">
      <c r="A67">
        <v>66</v>
      </c>
      <c r="B67" t="s">
        <v>730</v>
      </c>
      <c r="C67" s="10">
        <v>3.39</v>
      </c>
      <c r="D67" s="10">
        <v>0.23</v>
      </c>
      <c r="E67" s="16">
        <v>7.28</v>
      </c>
      <c r="F67">
        <v>1210296</v>
      </c>
      <c r="G67" s="5">
        <v>43160</v>
      </c>
    </row>
    <row r="68" spans="1:7" x14ac:dyDescent="0.4">
      <c r="A68">
        <v>67</v>
      </c>
      <c r="B68" t="s">
        <v>1238</v>
      </c>
      <c r="C68" s="10">
        <v>27.21</v>
      </c>
      <c r="D68" s="10">
        <v>1.82</v>
      </c>
      <c r="E68" s="16">
        <v>7.17</v>
      </c>
      <c r="F68">
        <v>63630</v>
      </c>
      <c r="G68" s="5">
        <v>43160</v>
      </c>
    </row>
    <row r="69" spans="1:7" x14ac:dyDescent="0.4">
      <c r="A69">
        <v>68</v>
      </c>
      <c r="B69" t="s">
        <v>1239</v>
      </c>
      <c r="C69" s="10">
        <v>18.8</v>
      </c>
      <c r="D69" s="10">
        <v>1.25</v>
      </c>
      <c r="E69" s="16">
        <v>7.12</v>
      </c>
      <c r="F69">
        <v>59817</v>
      </c>
      <c r="G69" s="5">
        <v>43160</v>
      </c>
    </row>
    <row r="70" spans="1:7" x14ac:dyDescent="0.4">
      <c r="A70">
        <v>69</v>
      </c>
      <c r="B70" t="s">
        <v>1240</v>
      </c>
      <c r="C70" s="10">
        <v>10.42</v>
      </c>
      <c r="D70" s="10">
        <v>0.69</v>
      </c>
      <c r="E70" s="16">
        <v>7.09</v>
      </c>
      <c r="F70">
        <v>2274564</v>
      </c>
      <c r="G70" s="5">
        <v>43160</v>
      </c>
    </row>
    <row r="71" spans="1:7" x14ac:dyDescent="0.4">
      <c r="A71">
        <v>70</v>
      </c>
      <c r="B71" t="s">
        <v>1241</v>
      </c>
      <c r="C71" s="10">
        <v>54.11</v>
      </c>
      <c r="D71" s="10">
        <v>3.56</v>
      </c>
      <c r="E71" s="16">
        <v>7.04</v>
      </c>
      <c r="F71">
        <v>60220</v>
      </c>
      <c r="G71" s="5">
        <v>43160</v>
      </c>
    </row>
    <row r="72" spans="1:7" x14ac:dyDescent="0.4">
      <c r="A72">
        <v>71</v>
      </c>
      <c r="B72" t="s">
        <v>700</v>
      </c>
      <c r="C72" s="10">
        <v>16.64</v>
      </c>
      <c r="D72" s="10">
        <v>1.0900000000000001</v>
      </c>
      <c r="E72" s="16">
        <v>7.02</v>
      </c>
      <c r="F72">
        <v>4342</v>
      </c>
      <c r="G72" s="5">
        <v>43160</v>
      </c>
    </row>
    <row r="73" spans="1:7" x14ac:dyDescent="0.4">
      <c r="A73">
        <v>72</v>
      </c>
      <c r="B73" t="s">
        <v>1242</v>
      </c>
      <c r="C73" s="10">
        <v>3.67</v>
      </c>
      <c r="D73" s="10">
        <v>0.24</v>
      </c>
      <c r="E73" s="16">
        <v>7</v>
      </c>
      <c r="F73">
        <v>93557</v>
      </c>
      <c r="G73" s="5">
        <v>43160</v>
      </c>
    </row>
    <row r="74" spans="1:7" x14ac:dyDescent="0.4">
      <c r="A74">
        <v>73</v>
      </c>
      <c r="B74" t="s">
        <v>441</v>
      </c>
      <c r="C74" s="10">
        <v>20.05</v>
      </c>
      <c r="D74" s="10">
        <v>1.31</v>
      </c>
      <c r="E74" s="16">
        <v>6.99</v>
      </c>
      <c r="F74">
        <v>561444</v>
      </c>
      <c r="G74" s="5">
        <v>43160</v>
      </c>
    </row>
    <row r="75" spans="1:7" x14ac:dyDescent="0.4">
      <c r="A75">
        <v>74</v>
      </c>
      <c r="B75" t="s">
        <v>1095</v>
      </c>
      <c r="C75" s="10">
        <v>19.18</v>
      </c>
      <c r="D75" s="10">
        <v>1.25</v>
      </c>
      <c r="E75" s="16">
        <v>6.97</v>
      </c>
      <c r="F75">
        <v>477705</v>
      </c>
      <c r="G75" s="5">
        <v>43160</v>
      </c>
    </row>
    <row r="76" spans="1:7" x14ac:dyDescent="0.4">
      <c r="A76">
        <v>75</v>
      </c>
      <c r="B76" t="s">
        <v>277</v>
      </c>
      <c r="C76" s="10">
        <v>81.97</v>
      </c>
      <c r="D76" s="10">
        <v>5.34</v>
      </c>
      <c r="E76" s="16">
        <v>6.97</v>
      </c>
      <c r="F76">
        <v>345218</v>
      </c>
      <c r="G76" s="5">
        <v>43160</v>
      </c>
    </row>
    <row r="77" spans="1:7" x14ac:dyDescent="0.4">
      <c r="A77">
        <v>76</v>
      </c>
      <c r="B77" t="s">
        <v>1210</v>
      </c>
      <c r="C77" s="10">
        <v>8.81</v>
      </c>
      <c r="D77" s="10">
        <v>0.56999999999999995</v>
      </c>
      <c r="E77" s="16">
        <v>6.92</v>
      </c>
      <c r="F77">
        <v>519064</v>
      </c>
      <c r="G77" s="5">
        <v>43160</v>
      </c>
    </row>
    <row r="78" spans="1:7" x14ac:dyDescent="0.4">
      <c r="A78">
        <v>77</v>
      </c>
      <c r="B78" t="s">
        <v>1243</v>
      </c>
      <c r="C78" s="10">
        <v>28.91</v>
      </c>
      <c r="D78" s="10">
        <v>1.87</v>
      </c>
      <c r="E78" s="16">
        <v>6.92</v>
      </c>
      <c r="F78">
        <v>523072</v>
      </c>
      <c r="G78" s="5">
        <v>43160</v>
      </c>
    </row>
    <row r="79" spans="1:7" x14ac:dyDescent="0.4">
      <c r="A79">
        <v>78</v>
      </c>
      <c r="B79" t="s">
        <v>467</v>
      </c>
      <c r="C79" s="10">
        <v>12.4</v>
      </c>
      <c r="D79" s="10">
        <v>0.8</v>
      </c>
      <c r="E79" s="16">
        <v>6.9</v>
      </c>
      <c r="F79">
        <v>18516</v>
      </c>
      <c r="G79" s="5">
        <v>43160</v>
      </c>
    </row>
    <row r="80" spans="1:7" x14ac:dyDescent="0.4">
      <c r="A80">
        <v>79</v>
      </c>
      <c r="B80" t="s">
        <v>442</v>
      </c>
      <c r="C80" s="10">
        <v>39.18</v>
      </c>
      <c r="D80" s="10">
        <v>2.4900000000000002</v>
      </c>
      <c r="E80" s="16">
        <v>6.79</v>
      </c>
      <c r="F80">
        <v>4336136</v>
      </c>
      <c r="G80" s="5">
        <v>43160</v>
      </c>
    </row>
    <row r="81" spans="1:7" x14ac:dyDescent="0.4">
      <c r="A81">
        <v>80</v>
      </c>
      <c r="B81" t="s">
        <v>1244</v>
      </c>
      <c r="C81" s="10">
        <v>22.83</v>
      </c>
      <c r="D81" s="10">
        <v>1.44</v>
      </c>
      <c r="E81" s="16">
        <v>6.73</v>
      </c>
      <c r="F81">
        <v>756524</v>
      </c>
      <c r="G81" s="5">
        <v>43160</v>
      </c>
    </row>
    <row r="82" spans="1:7" x14ac:dyDescent="0.4">
      <c r="A82">
        <v>81</v>
      </c>
      <c r="B82" t="s">
        <v>1135</v>
      </c>
      <c r="C82" s="10">
        <v>3.53</v>
      </c>
      <c r="D82" s="10">
        <v>0.22</v>
      </c>
      <c r="E82" s="16">
        <v>6.65</v>
      </c>
      <c r="F82">
        <v>1396911</v>
      </c>
      <c r="G82" s="5">
        <v>43160</v>
      </c>
    </row>
    <row r="83" spans="1:7" x14ac:dyDescent="0.4">
      <c r="A83">
        <v>82</v>
      </c>
      <c r="B83" t="s">
        <v>17</v>
      </c>
      <c r="C83" s="10">
        <v>16.12</v>
      </c>
      <c r="D83" s="10">
        <v>1</v>
      </c>
      <c r="E83" s="16">
        <v>6.61</v>
      </c>
      <c r="F83">
        <v>290003</v>
      </c>
      <c r="G83" s="5">
        <v>43160</v>
      </c>
    </row>
    <row r="84" spans="1:7" x14ac:dyDescent="0.4">
      <c r="A84">
        <v>83</v>
      </c>
      <c r="B84" t="s">
        <v>440</v>
      </c>
      <c r="C84" s="10">
        <v>47.28</v>
      </c>
      <c r="D84" s="10">
        <v>2.93</v>
      </c>
      <c r="E84" s="16">
        <v>6.61</v>
      </c>
      <c r="F84">
        <v>63155877</v>
      </c>
      <c r="G84" s="5">
        <v>43160</v>
      </c>
    </row>
    <row r="85" spans="1:7" x14ac:dyDescent="0.4">
      <c r="A85">
        <v>84</v>
      </c>
      <c r="B85" t="s">
        <v>1245</v>
      </c>
      <c r="C85" s="10">
        <v>7.38</v>
      </c>
      <c r="D85" s="10">
        <v>0.45</v>
      </c>
      <c r="E85" s="16">
        <v>6.53</v>
      </c>
      <c r="F85">
        <v>3288</v>
      </c>
      <c r="G85" s="5">
        <v>43160</v>
      </c>
    </row>
    <row r="86" spans="1:7" x14ac:dyDescent="0.4">
      <c r="A86">
        <v>85</v>
      </c>
      <c r="B86" t="s">
        <v>1246</v>
      </c>
      <c r="C86" s="10">
        <v>60.91</v>
      </c>
      <c r="D86" s="10">
        <v>3.71</v>
      </c>
      <c r="E86" s="16">
        <v>6.49</v>
      </c>
      <c r="F86">
        <v>2923473</v>
      </c>
      <c r="G86" s="5">
        <v>43160</v>
      </c>
    </row>
    <row r="87" spans="1:7" x14ac:dyDescent="0.4">
      <c r="A87">
        <v>86</v>
      </c>
      <c r="B87" t="s">
        <v>1247</v>
      </c>
      <c r="C87" s="10">
        <v>13.25</v>
      </c>
      <c r="D87" s="10">
        <v>0.8</v>
      </c>
      <c r="E87" s="16">
        <v>6.43</v>
      </c>
      <c r="F87">
        <v>158185</v>
      </c>
      <c r="G87" s="5">
        <v>43160</v>
      </c>
    </row>
    <row r="88" spans="1:7" x14ac:dyDescent="0.4">
      <c r="A88">
        <v>87</v>
      </c>
      <c r="B88" t="s">
        <v>1248</v>
      </c>
      <c r="C88" s="10">
        <v>16.96</v>
      </c>
      <c r="D88" s="10">
        <v>1.02</v>
      </c>
      <c r="E88" s="16">
        <v>6.4</v>
      </c>
      <c r="F88">
        <v>150692</v>
      </c>
      <c r="G88" s="5">
        <v>43160</v>
      </c>
    </row>
    <row r="89" spans="1:7" x14ac:dyDescent="0.4">
      <c r="A89">
        <v>88</v>
      </c>
      <c r="B89" t="s">
        <v>1172</v>
      </c>
      <c r="C89" s="10">
        <v>9.1999999999999993</v>
      </c>
      <c r="D89" s="10">
        <v>0.55000000000000004</v>
      </c>
      <c r="E89" s="16">
        <v>6.36</v>
      </c>
      <c r="F89">
        <v>1520488</v>
      </c>
      <c r="G89" s="5">
        <v>43160</v>
      </c>
    </row>
    <row r="90" spans="1:7" x14ac:dyDescent="0.4">
      <c r="A90">
        <v>89</v>
      </c>
      <c r="B90" t="s">
        <v>439</v>
      </c>
      <c r="C90" s="10">
        <v>2.2000000000000002</v>
      </c>
      <c r="D90" s="10">
        <v>0.13</v>
      </c>
      <c r="E90" s="16">
        <v>6.28</v>
      </c>
      <c r="F90">
        <v>1677414</v>
      </c>
      <c r="G90" s="5">
        <v>43160</v>
      </c>
    </row>
    <row r="91" spans="1:7" x14ac:dyDescent="0.4">
      <c r="A91">
        <v>90</v>
      </c>
      <c r="B91" t="s">
        <v>935</v>
      </c>
      <c r="C91" s="10">
        <v>3.07</v>
      </c>
      <c r="D91" s="10">
        <v>0.18</v>
      </c>
      <c r="E91" s="16">
        <v>6.23</v>
      </c>
      <c r="F91">
        <v>983824</v>
      </c>
      <c r="G91" s="5">
        <v>43160</v>
      </c>
    </row>
    <row r="92" spans="1:7" x14ac:dyDescent="0.4">
      <c r="A92">
        <v>91</v>
      </c>
      <c r="B92" t="s">
        <v>46</v>
      </c>
      <c r="C92" s="10">
        <v>73.8</v>
      </c>
      <c r="D92" s="10">
        <v>4.29</v>
      </c>
      <c r="E92" s="16">
        <v>6.17</v>
      </c>
      <c r="F92">
        <v>16168</v>
      </c>
      <c r="G92" s="5">
        <v>43160</v>
      </c>
    </row>
    <row r="93" spans="1:7" x14ac:dyDescent="0.4">
      <c r="A93">
        <v>92</v>
      </c>
      <c r="B93" t="s">
        <v>1249</v>
      </c>
      <c r="C93" s="10">
        <v>74.3</v>
      </c>
      <c r="D93" s="10">
        <v>4.3</v>
      </c>
      <c r="E93" s="16">
        <v>6.14</v>
      </c>
      <c r="F93">
        <v>460135</v>
      </c>
      <c r="G93" s="5">
        <v>43160</v>
      </c>
    </row>
    <row r="94" spans="1:7" x14ac:dyDescent="0.4">
      <c r="A94">
        <v>93</v>
      </c>
      <c r="B94" t="s">
        <v>1201</v>
      </c>
      <c r="C94" s="10">
        <v>5.45</v>
      </c>
      <c r="D94" s="10">
        <v>0.31</v>
      </c>
      <c r="E94" s="16">
        <v>6.03</v>
      </c>
      <c r="F94">
        <v>356311</v>
      </c>
      <c r="G94" s="5">
        <v>43160</v>
      </c>
    </row>
    <row r="95" spans="1:7" x14ac:dyDescent="0.4">
      <c r="A95">
        <v>94</v>
      </c>
      <c r="B95" t="s">
        <v>474</v>
      </c>
      <c r="C95" s="10">
        <v>8.8000000000000007</v>
      </c>
      <c r="D95" s="10">
        <v>0.5</v>
      </c>
      <c r="E95" s="16">
        <v>6.02</v>
      </c>
      <c r="F95">
        <v>10659</v>
      </c>
      <c r="G95" s="5">
        <v>43160</v>
      </c>
    </row>
    <row r="96" spans="1:7" x14ac:dyDescent="0.4">
      <c r="A96">
        <v>95</v>
      </c>
      <c r="B96" t="s">
        <v>1005</v>
      </c>
      <c r="C96" s="10">
        <v>7.1</v>
      </c>
      <c r="D96" s="10">
        <v>0.4</v>
      </c>
      <c r="E96" s="16">
        <v>5.97</v>
      </c>
      <c r="F96">
        <v>103963</v>
      </c>
      <c r="G96" s="5">
        <v>43160</v>
      </c>
    </row>
    <row r="97" spans="1:7" x14ac:dyDescent="0.4">
      <c r="A97">
        <v>96</v>
      </c>
      <c r="B97" t="s">
        <v>1250</v>
      </c>
      <c r="C97" s="10">
        <v>9.43</v>
      </c>
      <c r="D97" s="10">
        <v>0.53</v>
      </c>
      <c r="E97" s="16">
        <v>5.96</v>
      </c>
      <c r="F97">
        <v>17401</v>
      </c>
      <c r="G97" s="5">
        <v>43160</v>
      </c>
    </row>
    <row r="98" spans="1:7" x14ac:dyDescent="0.4">
      <c r="A98">
        <v>97</v>
      </c>
      <c r="B98" t="s">
        <v>1251</v>
      </c>
      <c r="C98" s="10">
        <v>2.14</v>
      </c>
      <c r="D98" s="10">
        <v>0.12</v>
      </c>
      <c r="E98" s="16">
        <v>5.94</v>
      </c>
      <c r="F98">
        <v>8133</v>
      </c>
      <c r="G98" s="5">
        <v>43160</v>
      </c>
    </row>
    <row r="99" spans="1:7" x14ac:dyDescent="0.4">
      <c r="A99">
        <v>98</v>
      </c>
      <c r="B99" t="s">
        <v>1252</v>
      </c>
      <c r="C99" s="10">
        <v>26.44</v>
      </c>
      <c r="D99" s="10">
        <v>1.48</v>
      </c>
      <c r="E99" s="16">
        <v>5.93</v>
      </c>
      <c r="F99">
        <v>3423</v>
      </c>
      <c r="G99" s="5">
        <v>43160</v>
      </c>
    </row>
    <row r="100" spans="1:7" x14ac:dyDescent="0.4">
      <c r="A100">
        <v>99</v>
      </c>
      <c r="B100" t="s">
        <v>654</v>
      </c>
      <c r="C100" s="10">
        <v>10.78</v>
      </c>
      <c r="D100" s="10">
        <v>0.59</v>
      </c>
      <c r="E100" s="16">
        <v>5.81</v>
      </c>
      <c r="F100">
        <v>9800</v>
      </c>
      <c r="G100" s="5">
        <v>43160</v>
      </c>
    </row>
    <row r="101" spans="1:7" x14ac:dyDescent="0.4">
      <c r="A101">
        <v>100</v>
      </c>
      <c r="B101" t="s">
        <v>289</v>
      </c>
      <c r="C101" s="10">
        <v>5.29</v>
      </c>
      <c r="D101" s="10">
        <v>0.28999999999999998</v>
      </c>
      <c r="E101" s="16">
        <v>5.8</v>
      </c>
      <c r="F101">
        <v>703427</v>
      </c>
      <c r="G101" s="5">
        <v>43160</v>
      </c>
    </row>
    <row r="102" spans="1:7" x14ac:dyDescent="0.4">
      <c r="A102">
        <v>1</v>
      </c>
      <c r="B102" t="s">
        <v>22</v>
      </c>
      <c r="C102" s="10">
        <v>9.48</v>
      </c>
      <c r="D102" s="10">
        <v>3.33</v>
      </c>
      <c r="E102" s="16">
        <v>54.15</v>
      </c>
      <c r="F102">
        <v>1553264</v>
      </c>
      <c r="G102" s="5">
        <v>43161</v>
      </c>
    </row>
    <row r="103" spans="1:7" x14ac:dyDescent="0.4">
      <c r="A103">
        <v>2</v>
      </c>
      <c r="B103" t="s">
        <v>139</v>
      </c>
      <c r="C103" s="10">
        <v>7.61</v>
      </c>
      <c r="D103" s="10">
        <v>2.15</v>
      </c>
      <c r="E103" s="16">
        <v>39.380000000000003</v>
      </c>
      <c r="F103">
        <v>7370244</v>
      </c>
      <c r="G103" s="5">
        <v>43161</v>
      </c>
    </row>
    <row r="104" spans="1:7" x14ac:dyDescent="0.4">
      <c r="A104">
        <v>3</v>
      </c>
      <c r="B104" t="s">
        <v>1089</v>
      </c>
      <c r="C104" s="10">
        <v>36.950000000000003</v>
      </c>
      <c r="D104" s="10">
        <v>9.59</v>
      </c>
      <c r="E104" s="16">
        <v>35.049999999999997</v>
      </c>
      <c r="F104">
        <v>469712</v>
      </c>
      <c r="G104" s="5">
        <v>43161</v>
      </c>
    </row>
    <row r="105" spans="1:7" x14ac:dyDescent="0.4">
      <c r="A105">
        <v>4</v>
      </c>
      <c r="B105" t="s">
        <v>979</v>
      </c>
      <c r="C105" s="10">
        <v>16.260000000000002</v>
      </c>
      <c r="D105" s="10">
        <v>3.66</v>
      </c>
      <c r="E105" s="16">
        <v>29.05</v>
      </c>
      <c r="F105">
        <v>6881912</v>
      </c>
      <c r="G105" s="5">
        <v>43161</v>
      </c>
    </row>
    <row r="106" spans="1:7" x14ac:dyDescent="0.4">
      <c r="A106">
        <v>5</v>
      </c>
      <c r="B106" t="s">
        <v>157</v>
      </c>
      <c r="C106" s="10">
        <v>35.4</v>
      </c>
      <c r="D106" s="10">
        <v>7.2</v>
      </c>
      <c r="E106" s="16">
        <v>25.53</v>
      </c>
      <c r="F106">
        <v>309129</v>
      </c>
      <c r="G106" s="5">
        <v>43161</v>
      </c>
    </row>
    <row r="107" spans="1:7" x14ac:dyDescent="0.4">
      <c r="A107">
        <v>6</v>
      </c>
      <c r="B107" t="s">
        <v>1001</v>
      </c>
      <c r="C107" s="10">
        <v>6.36</v>
      </c>
      <c r="D107" s="10">
        <v>1.28</v>
      </c>
      <c r="E107" s="16">
        <v>25.2</v>
      </c>
      <c r="F107">
        <v>1542938</v>
      </c>
      <c r="G107" s="5">
        <v>43161</v>
      </c>
    </row>
    <row r="108" spans="1:7" x14ac:dyDescent="0.4">
      <c r="A108">
        <v>7</v>
      </c>
      <c r="B108" t="s">
        <v>1176</v>
      </c>
      <c r="C108" s="10">
        <v>16.09</v>
      </c>
      <c r="D108" s="10">
        <v>3.19</v>
      </c>
      <c r="E108" s="16">
        <v>24.73</v>
      </c>
      <c r="F108">
        <v>6167601</v>
      </c>
      <c r="G108" s="5">
        <v>43161</v>
      </c>
    </row>
    <row r="109" spans="1:7" x14ac:dyDescent="0.4">
      <c r="A109">
        <v>8</v>
      </c>
      <c r="B109" t="s">
        <v>908</v>
      </c>
      <c r="C109" s="10">
        <v>35.25</v>
      </c>
      <c r="D109" s="10">
        <v>6.9</v>
      </c>
      <c r="E109" s="16">
        <v>24.34</v>
      </c>
      <c r="F109">
        <v>372668</v>
      </c>
      <c r="G109" s="5">
        <v>43161</v>
      </c>
    </row>
    <row r="110" spans="1:7" x14ac:dyDescent="0.4">
      <c r="A110">
        <v>9</v>
      </c>
      <c r="B110" t="s">
        <v>1022</v>
      </c>
      <c r="C110" s="10">
        <v>102.87</v>
      </c>
      <c r="D110" s="10">
        <v>18.32</v>
      </c>
      <c r="E110" s="16">
        <v>21.67</v>
      </c>
      <c r="F110">
        <v>6528299</v>
      </c>
      <c r="G110" s="5">
        <v>43161</v>
      </c>
    </row>
    <row r="111" spans="1:7" x14ac:dyDescent="0.4">
      <c r="A111">
        <v>10</v>
      </c>
      <c r="B111" t="s">
        <v>260</v>
      </c>
      <c r="C111" s="10">
        <v>21.8</v>
      </c>
      <c r="D111" s="10">
        <v>3.76</v>
      </c>
      <c r="E111" s="16">
        <v>20.84</v>
      </c>
      <c r="F111">
        <v>1507558</v>
      </c>
      <c r="G111" s="5">
        <v>43161</v>
      </c>
    </row>
    <row r="112" spans="1:7" x14ac:dyDescent="0.4">
      <c r="A112">
        <v>11</v>
      </c>
      <c r="B112" t="s">
        <v>1177</v>
      </c>
      <c r="C112" s="10">
        <v>4.47</v>
      </c>
      <c r="D112" s="10">
        <v>0.76</v>
      </c>
      <c r="E112" s="16">
        <v>20.49</v>
      </c>
      <c r="F112">
        <v>51681054</v>
      </c>
      <c r="G112" s="5">
        <v>43161</v>
      </c>
    </row>
    <row r="113" spans="1:7" x14ac:dyDescent="0.4">
      <c r="A113">
        <v>12</v>
      </c>
      <c r="B113" t="s">
        <v>1174</v>
      </c>
      <c r="C113" s="10">
        <v>3.24</v>
      </c>
      <c r="D113" s="10">
        <v>0.54</v>
      </c>
      <c r="E113" s="16">
        <v>19.91</v>
      </c>
      <c r="F113">
        <v>9985</v>
      </c>
      <c r="G113" s="5">
        <v>43161</v>
      </c>
    </row>
    <row r="114" spans="1:7" x14ac:dyDescent="0.4">
      <c r="A114">
        <v>13</v>
      </c>
      <c r="B114" t="s">
        <v>957</v>
      </c>
      <c r="C114" s="10">
        <v>20.86</v>
      </c>
      <c r="D114" s="10">
        <v>3.45</v>
      </c>
      <c r="E114" s="16">
        <v>19.82</v>
      </c>
      <c r="F114">
        <v>266677</v>
      </c>
      <c r="G114" s="5">
        <v>43161</v>
      </c>
    </row>
    <row r="115" spans="1:7" x14ac:dyDescent="0.4">
      <c r="A115">
        <v>14</v>
      </c>
      <c r="B115" t="s">
        <v>1178</v>
      </c>
      <c r="C115" s="10">
        <v>76.39</v>
      </c>
      <c r="D115" s="10">
        <v>11.88</v>
      </c>
      <c r="E115" s="16">
        <v>18.420000000000002</v>
      </c>
      <c r="F115">
        <v>438278</v>
      </c>
      <c r="G115" s="5">
        <v>43161</v>
      </c>
    </row>
    <row r="116" spans="1:7" x14ac:dyDescent="0.4">
      <c r="A116">
        <v>15</v>
      </c>
      <c r="B116" t="s">
        <v>1014</v>
      </c>
      <c r="C116" s="10">
        <v>6.12</v>
      </c>
      <c r="D116" s="10">
        <v>0.93</v>
      </c>
      <c r="E116" s="16">
        <v>17.920000000000002</v>
      </c>
      <c r="F116">
        <v>2824549</v>
      </c>
      <c r="G116" s="5">
        <v>43161</v>
      </c>
    </row>
    <row r="117" spans="1:7" x14ac:dyDescent="0.4">
      <c r="A117">
        <v>16</v>
      </c>
      <c r="B117" t="s">
        <v>1179</v>
      </c>
      <c r="C117" s="10">
        <v>13.27</v>
      </c>
      <c r="D117" s="10">
        <v>1.9</v>
      </c>
      <c r="E117" s="16">
        <v>16.71</v>
      </c>
      <c r="F117">
        <v>1939462</v>
      </c>
      <c r="G117" s="5">
        <v>43161</v>
      </c>
    </row>
    <row r="118" spans="1:7" x14ac:dyDescent="0.4">
      <c r="A118">
        <v>17</v>
      </c>
      <c r="B118" t="s">
        <v>453</v>
      </c>
      <c r="C118" s="10">
        <v>2.4</v>
      </c>
      <c r="D118" s="10">
        <v>0.34</v>
      </c>
      <c r="E118" s="16">
        <v>16.5</v>
      </c>
      <c r="F118">
        <v>51558</v>
      </c>
      <c r="G118" s="5">
        <v>43161</v>
      </c>
    </row>
    <row r="119" spans="1:7" x14ac:dyDescent="0.4">
      <c r="A119">
        <v>18</v>
      </c>
      <c r="B119" t="s">
        <v>1158</v>
      </c>
      <c r="C119" s="10">
        <v>71.05</v>
      </c>
      <c r="D119" s="10">
        <v>9.3000000000000007</v>
      </c>
      <c r="E119" s="16">
        <v>15.06</v>
      </c>
      <c r="F119">
        <v>3979263</v>
      </c>
      <c r="G119" s="5">
        <v>43161</v>
      </c>
    </row>
    <row r="120" spans="1:7" x14ac:dyDescent="0.4">
      <c r="A120">
        <v>19</v>
      </c>
      <c r="B120" t="s">
        <v>730</v>
      </c>
      <c r="C120" s="10">
        <v>3.89</v>
      </c>
      <c r="D120" s="10">
        <v>0.5</v>
      </c>
      <c r="E120" s="16">
        <v>14.75</v>
      </c>
      <c r="F120">
        <v>4998520</v>
      </c>
      <c r="G120" s="5">
        <v>43161</v>
      </c>
    </row>
    <row r="121" spans="1:7" x14ac:dyDescent="0.4">
      <c r="A121">
        <v>20</v>
      </c>
      <c r="B121" t="s">
        <v>360</v>
      </c>
      <c r="C121" s="10">
        <v>6.31</v>
      </c>
      <c r="D121" s="10">
        <v>0.8</v>
      </c>
      <c r="E121" s="16">
        <v>14.52</v>
      </c>
      <c r="F121">
        <v>18111</v>
      </c>
      <c r="G121" s="5">
        <v>43161</v>
      </c>
    </row>
    <row r="122" spans="1:7" x14ac:dyDescent="0.4">
      <c r="A122">
        <v>21</v>
      </c>
      <c r="B122" t="s">
        <v>138</v>
      </c>
      <c r="C122" s="10">
        <v>8.9499999999999993</v>
      </c>
      <c r="D122" s="10">
        <v>1.1299999999999999</v>
      </c>
      <c r="E122" s="16">
        <v>14.45</v>
      </c>
      <c r="F122">
        <v>96511</v>
      </c>
      <c r="G122" s="5">
        <v>43161</v>
      </c>
    </row>
    <row r="123" spans="1:7" x14ac:dyDescent="0.4">
      <c r="A123">
        <v>22</v>
      </c>
      <c r="B123" t="s">
        <v>823</v>
      </c>
      <c r="C123" s="10">
        <v>2.62</v>
      </c>
      <c r="D123" s="10">
        <v>0.32</v>
      </c>
      <c r="E123" s="16">
        <v>13.91</v>
      </c>
      <c r="F123">
        <v>123892</v>
      </c>
      <c r="G123" s="5">
        <v>43161</v>
      </c>
    </row>
    <row r="124" spans="1:7" x14ac:dyDescent="0.4">
      <c r="A124">
        <v>23</v>
      </c>
      <c r="B124" t="s">
        <v>1180</v>
      </c>
      <c r="C124" s="10">
        <v>51.82</v>
      </c>
      <c r="D124" s="10">
        <v>6.15</v>
      </c>
      <c r="E124" s="16">
        <v>13.47</v>
      </c>
      <c r="F124">
        <v>4034751</v>
      </c>
      <c r="G124" s="5">
        <v>43161</v>
      </c>
    </row>
    <row r="125" spans="1:7" x14ac:dyDescent="0.4">
      <c r="A125">
        <v>24</v>
      </c>
      <c r="B125" t="s">
        <v>1181</v>
      </c>
      <c r="C125" s="10">
        <v>3.98</v>
      </c>
      <c r="D125" s="10">
        <v>0.47</v>
      </c>
      <c r="E125" s="16">
        <v>13.39</v>
      </c>
      <c r="F125">
        <v>516813</v>
      </c>
      <c r="G125" s="5">
        <v>43161</v>
      </c>
    </row>
    <row r="126" spans="1:7" x14ac:dyDescent="0.4">
      <c r="A126">
        <v>25</v>
      </c>
      <c r="B126" t="s">
        <v>1152</v>
      </c>
      <c r="C126" s="10">
        <v>5.15</v>
      </c>
      <c r="D126" s="10">
        <v>0.59</v>
      </c>
      <c r="E126" s="16">
        <v>12.94</v>
      </c>
      <c r="F126">
        <v>111625</v>
      </c>
      <c r="G126" s="5">
        <v>43161</v>
      </c>
    </row>
    <row r="127" spans="1:7" x14ac:dyDescent="0.4">
      <c r="A127">
        <v>26</v>
      </c>
      <c r="B127" t="s">
        <v>312</v>
      </c>
      <c r="C127" s="10">
        <v>12.19</v>
      </c>
      <c r="D127" s="10">
        <v>1.38</v>
      </c>
      <c r="E127" s="16">
        <v>12.77</v>
      </c>
      <c r="F127">
        <v>19064</v>
      </c>
      <c r="G127" s="5">
        <v>43161</v>
      </c>
    </row>
    <row r="128" spans="1:7" x14ac:dyDescent="0.4">
      <c r="A128">
        <v>27</v>
      </c>
      <c r="B128" t="s">
        <v>1075</v>
      </c>
      <c r="C128" s="10">
        <v>19</v>
      </c>
      <c r="D128" s="10">
        <v>2.1</v>
      </c>
      <c r="E128" s="16">
        <v>12.43</v>
      </c>
      <c r="F128">
        <v>64962</v>
      </c>
      <c r="G128" s="5">
        <v>43161</v>
      </c>
    </row>
    <row r="129" spans="1:7" x14ac:dyDescent="0.4">
      <c r="A129">
        <v>28</v>
      </c>
      <c r="B129" t="s">
        <v>27</v>
      </c>
      <c r="C129" s="10">
        <v>2.8</v>
      </c>
      <c r="D129" s="10">
        <v>0.3</v>
      </c>
      <c r="E129" s="16">
        <v>12</v>
      </c>
      <c r="F129">
        <v>3019</v>
      </c>
      <c r="G129" s="5">
        <v>43161</v>
      </c>
    </row>
    <row r="130" spans="1:7" x14ac:dyDescent="0.4">
      <c r="A130">
        <v>29</v>
      </c>
      <c r="B130" t="s">
        <v>1182</v>
      </c>
      <c r="C130" s="10">
        <v>27.23</v>
      </c>
      <c r="D130" s="10">
        <v>2.87</v>
      </c>
      <c r="E130" s="16">
        <v>11.78</v>
      </c>
      <c r="F130">
        <v>114192</v>
      </c>
      <c r="G130" s="5">
        <v>43161</v>
      </c>
    </row>
    <row r="131" spans="1:7" x14ac:dyDescent="0.4">
      <c r="A131">
        <v>30</v>
      </c>
      <c r="B131" t="s">
        <v>1183</v>
      </c>
      <c r="C131" s="10">
        <v>33.22</v>
      </c>
      <c r="D131" s="10">
        <v>3.46</v>
      </c>
      <c r="E131" s="16">
        <v>11.63</v>
      </c>
      <c r="F131">
        <v>573502</v>
      </c>
      <c r="G131" s="5">
        <v>43161</v>
      </c>
    </row>
    <row r="132" spans="1:7" x14ac:dyDescent="0.4">
      <c r="A132">
        <v>31</v>
      </c>
      <c r="B132" t="s">
        <v>1053</v>
      </c>
      <c r="C132" s="10">
        <v>4.04</v>
      </c>
      <c r="D132" s="10">
        <v>0.42</v>
      </c>
      <c r="E132" s="16">
        <v>11.6</v>
      </c>
      <c r="F132">
        <v>3364150</v>
      </c>
      <c r="G132" s="5">
        <v>43161</v>
      </c>
    </row>
    <row r="133" spans="1:7" x14ac:dyDescent="0.4">
      <c r="A133">
        <v>32</v>
      </c>
      <c r="B133" t="s">
        <v>916</v>
      </c>
      <c r="C133" s="10">
        <v>4.93</v>
      </c>
      <c r="D133" s="10">
        <v>0.51</v>
      </c>
      <c r="E133" s="16">
        <v>11.54</v>
      </c>
      <c r="F133">
        <v>375588</v>
      </c>
      <c r="G133" s="5">
        <v>43161</v>
      </c>
    </row>
    <row r="134" spans="1:7" x14ac:dyDescent="0.4">
      <c r="A134">
        <v>33</v>
      </c>
      <c r="B134" t="s">
        <v>1184</v>
      </c>
      <c r="C134" s="10">
        <v>3.12</v>
      </c>
      <c r="D134" s="10">
        <v>0.32</v>
      </c>
      <c r="E134" s="16">
        <v>11.43</v>
      </c>
      <c r="F134">
        <v>86160</v>
      </c>
      <c r="G134" s="5">
        <v>43161</v>
      </c>
    </row>
    <row r="135" spans="1:7" x14ac:dyDescent="0.4">
      <c r="A135">
        <v>34</v>
      </c>
      <c r="B135" t="s">
        <v>1050</v>
      </c>
      <c r="C135" s="10">
        <v>7.82</v>
      </c>
      <c r="D135" s="10">
        <v>0.79</v>
      </c>
      <c r="E135" s="16">
        <v>11.24</v>
      </c>
      <c r="F135">
        <v>319524</v>
      </c>
      <c r="G135" s="5">
        <v>43161</v>
      </c>
    </row>
    <row r="136" spans="1:7" x14ac:dyDescent="0.4">
      <c r="A136">
        <v>35</v>
      </c>
      <c r="B136" t="s">
        <v>905</v>
      </c>
      <c r="C136" s="10">
        <v>35.950000000000003</v>
      </c>
      <c r="D136" s="10">
        <v>3.63</v>
      </c>
      <c r="E136" s="16">
        <v>11.23</v>
      </c>
      <c r="F136">
        <v>352486</v>
      </c>
      <c r="G136" s="5">
        <v>43161</v>
      </c>
    </row>
    <row r="137" spans="1:7" x14ac:dyDescent="0.4">
      <c r="A137">
        <v>36</v>
      </c>
      <c r="B137" t="s">
        <v>639</v>
      </c>
      <c r="C137" s="10">
        <v>3.18</v>
      </c>
      <c r="D137" s="10">
        <v>0.32</v>
      </c>
      <c r="E137" s="16">
        <v>11.19</v>
      </c>
      <c r="F137">
        <v>193114</v>
      </c>
      <c r="G137" s="5">
        <v>43161</v>
      </c>
    </row>
    <row r="138" spans="1:7" x14ac:dyDescent="0.4">
      <c r="A138">
        <v>37</v>
      </c>
      <c r="B138" t="s">
        <v>996</v>
      </c>
      <c r="C138" s="10">
        <v>3.55</v>
      </c>
      <c r="D138" s="10">
        <v>0.35</v>
      </c>
      <c r="E138" s="16">
        <v>10.94</v>
      </c>
      <c r="F138">
        <v>114044</v>
      </c>
      <c r="G138" s="5">
        <v>43161</v>
      </c>
    </row>
    <row r="139" spans="1:7" x14ac:dyDescent="0.4">
      <c r="A139">
        <v>38</v>
      </c>
      <c r="B139" t="s">
        <v>177</v>
      </c>
      <c r="C139" s="10">
        <v>3.27</v>
      </c>
      <c r="D139" s="10">
        <v>0.32</v>
      </c>
      <c r="E139" s="16">
        <v>10.85</v>
      </c>
      <c r="F139">
        <v>439095</v>
      </c>
      <c r="G139" s="5">
        <v>43161</v>
      </c>
    </row>
    <row r="140" spans="1:7" x14ac:dyDescent="0.4">
      <c r="A140">
        <v>39</v>
      </c>
      <c r="B140" t="s">
        <v>166</v>
      </c>
      <c r="C140" s="10">
        <v>4.42</v>
      </c>
      <c r="D140" s="10">
        <v>0.43</v>
      </c>
      <c r="E140" s="16">
        <v>10.78</v>
      </c>
      <c r="F140">
        <v>388123</v>
      </c>
      <c r="G140" s="5">
        <v>43161</v>
      </c>
    </row>
    <row r="141" spans="1:7" x14ac:dyDescent="0.4">
      <c r="A141">
        <v>40</v>
      </c>
      <c r="B141" t="s">
        <v>1185</v>
      </c>
      <c r="C141" s="10">
        <v>4.54</v>
      </c>
      <c r="D141" s="10">
        <v>0.44</v>
      </c>
      <c r="E141" s="16">
        <v>10.73</v>
      </c>
      <c r="F141">
        <v>132836</v>
      </c>
      <c r="G141" s="5">
        <v>43161</v>
      </c>
    </row>
    <row r="142" spans="1:7" x14ac:dyDescent="0.4">
      <c r="A142">
        <v>41</v>
      </c>
      <c r="B142" t="s">
        <v>600</v>
      </c>
      <c r="C142" s="10">
        <v>15.5</v>
      </c>
      <c r="D142" s="10">
        <v>1.5</v>
      </c>
      <c r="E142" s="16">
        <v>10.71</v>
      </c>
      <c r="F142">
        <v>1369819</v>
      </c>
      <c r="G142" s="5">
        <v>43161</v>
      </c>
    </row>
    <row r="143" spans="1:7" x14ac:dyDescent="0.4">
      <c r="A143">
        <v>42</v>
      </c>
      <c r="B143" t="s">
        <v>25</v>
      </c>
      <c r="C143" s="10">
        <v>5.28</v>
      </c>
      <c r="D143" s="10">
        <v>0.51</v>
      </c>
      <c r="E143" s="16">
        <v>10.69</v>
      </c>
      <c r="F143">
        <v>118233</v>
      </c>
      <c r="G143" s="5">
        <v>43161</v>
      </c>
    </row>
    <row r="144" spans="1:7" x14ac:dyDescent="0.4">
      <c r="A144">
        <v>43</v>
      </c>
      <c r="B144" t="s">
        <v>208</v>
      </c>
      <c r="C144" s="10">
        <v>2.73</v>
      </c>
      <c r="D144" s="10">
        <v>0.26</v>
      </c>
      <c r="E144" s="16">
        <v>10.53</v>
      </c>
      <c r="F144">
        <v>1871714</v>
      </c>
      <c r="G144" s="5">
        <v>43161</v>
      </c>
    </row>
    <row r="145" spans="1:7" x14ac:dyDescent="0.4">
      <c r="A145">
        <v>44</v>
      </c>
      <c r="B145" t="s">
        <v>1186</v>
      </c>
      <c r="C145" s="10">
        <v>16.399999999999999</v>
      </c>
      <c r="D145" s="10">
        <v>1.55</v>
      </c>
      <c r="E145" s="16">
        <v>10.44</v>
      </c>
      <c r="F145">
        <v>903324</v>
      </c>
      <c r="G145" s="5">
        <v>43161</v>
      </c>
    </row>
    <row r="146" spans="1:7" x14ac:dyDescent="0.4">
      <c r="A146">
        <v>45</v>
      </c>
      <c r="B146" t="s">
        <v>1187</v>
      </c>
      <c r="C146" s="10">
        <v>3.97</v>
      </c>
      <c r="D146" s="10">
        <v>0.37</v>
      </c>
      <c r="E146" s="16">
        <v>10.28</v>
      </c>
      <c r="F146">
        <v>8140</v>
      </c>
      <c r="G146" s="5">
        <v>43161</v>
      </c>
    </row>
    <row r="147" spans="1:7" x14ac:dyDescent="0.4">
      <c r="A147">
        <v>46</v>
      </c>
      <c r="B147" t="s">
        <v>1188</v>
      </c>
      <c r="C147" s="10">
        <v>8.6</v>
      </c>
      <c r="D147" s="10">
        <v>0.8</v>
      </c>
      <c r="E147" s="16">
        <v>10.26</v>
      </c>
      <c r="F147">
        <v>148419</v>
      </c>
      <c r="G147" s="5">
        <v>43161</v>
      </c>
    </row>
    <row r="148" spans="1:7" x14ac:dyDescent="0.4">
      <c r="A148">
        <v>47</v>
      </c>
      <c r="B148" t="s">
        <v>55</v>
      </c>
      <c r="C148" s="10">
        <v>3.25</v>
      </c>
      <c r="D148" s="10">
        <v>0.3</v>
      </c>
      <c r="E148" s="16">
        <v>10.17</v>
      </c>
      <c r="F148">
        <v>406480</v>
      </c>
      <c r="G148" s="5">
        <v>43161</v>
      </c>
    </row>
    <row r="149" spans="1:7" x14ac:dyDescent="0.4">
      <c r="A149">
        <v>48</v>
      </c>
      <c r="B149" t="s">
        <v>78</v>
      </c>
      <c r="C149" s="10">
        <v>6.5</v>
      </c>
      <c r="D149" s="10">
        <v>0.6</v>
      </c>
      <c r="E149" s="16">
        <v>10.17</v>
      </c>
      <c r="F149">
        <v>6210309</v>
      </c>
      <c r="G149" s="5">
        <v>43161</v>
      </c>
    </row>
    <row r="150" spans="1:7" x14ac:dyDescent="0.4">
      <c r="A150">
        <v>49</v>
      </c>
      <c r="B150" t="s">
        <v>186</v>
      </c>
      <c r="C150" s="10">
        <v>10.81</v>
      </c>
      <c r="D150" s="10">
        <v>0.99</v>
      </c>
      <c r="E150" s="16">
        <v>10.08</v>
      </c>
      <c r="F150">
        <v>339828</v>
      </c>
      <c r="G150" s="5">
        <v>43161</v>
      </c>
    </row>
    <row r="151" spans="1:7" x14ac:dyDescent="0.4">
      <c r="A151">
        <v>50</v>
      </c>
      <c r="B151" t="s">
        <v>925</v>
      </c>
      <c r="C151" s="10">
        <v>7.44</v>
      </c>
      <c r="D151" s="10">
        <v>0.66</v>
      </c>
      <c r="E151" s="16">
        <v>9.73</v>
      </c>
      <c r="F151">
        <v>236995</v>
      </c>
      <c r="G151" s="5">
        <v>43161</v>
      </c>
    </row>
    <row r="152" spans="1:7" x14ac:dyDescent="0.4">
      <c r="A152">
        <v>51</v>
      </c>
      <c r="B152" t="s">
        <v>1189</v>
      </c>
      <c r="C152" s="10">
        <v>2.6</v>
      </c>
      <c r="D152" s="10">
        <v>0.23</v>
      </c>
      <c r="E152" s="16">
        <v>9.6999999999999993</v>
      </c>
      <c r="F152">
        <v>5970</v>
      </c>
      <c r="G152" s="5">
        <v>43161</v>
      </c>
    </row>
    <row r="153" spans="1:7" x14ac:dyDescent="0.4">
      <c r="A153">
        <v>52</v>
      </c>
      <c r="B153" t="s">
        <v>220</v>
      </c>
      <c r="C153" s="10">
        <v>4.2</v>
      </c>
      <c r="D153" s="10">
        <v>0.37</v>
      </c>
      <c r="E153" s="16">
        <v>9.66</v>
      </c>
      <c r="F153">
        <v>122766</v>
      </c>
      <c r="G153" s="5">
        <v>43161</v>
      </c>
    </row>
    <row r="154" spans="1:7" x14ac:dyDescent="0.4">
      <c r="A154">
        <v>53</v>
      </c>
      <c r="B154" t="s">
        <v>110</v>
      </c>
      <c r="C154" s="10">
        <v>67.959999999999994</v>
      </c>
      <c r="D154" s="10">
        <v>5.85</v>
      </c>
      <c r="E154" s="16">
        <v>9.42</v>
      </c>
      <c r="F154">
        <v>3235815</v>
      </c>
      <c r="G154" s="5">
        <v>43161</v>
      </c>
    </row>
    <row r="155" spans="1:7" x14ac:dyDescent="0.4">
      <c r="A155">
        <v>54</v>
      </c>
      <c r="B155" t="s">
        <v>109</v>
      </c>
      <c r="C155" s="10">
        <v>21.7</v>
      </c>
      <c r="D155" s="10">
        <v>1.85</v>
      </c>
      <c r="E155" s="16">
        <v>9.32</v>
      </c>
      <c r="F155">
        <v>284356</v>
      </c>
      <c r="G155" s="5">
        <v>43161</v>
      </c>
    </row>
    <row r="156" spans="1:7" x14ac:dyDescent="0.4">
      <c r="A156">
        <v>55</v>
      </c>
      <c r="B156" t="s">
        <v>1190</v>
      </c>
      <c r="C156" s="10">
        <v>102.32</v>
      </c>
      <c r="D156" s="10">
        <v>8.68</v>
      </c>
      <c r="E156" s="16">
        <v>9.27</v>
      </c>
      <c r="F156">
        <v>6530679</v>
      </c>
      <c r="G156" s="5">
        <v>43161</v>
      </c>
    </row>
    <row r="157" spans="1:7" x14ac:dyDescent="0.4">
      <c r="A157">
        <v>56</v>
      </c>
      <c r="B157" t="s">
        <v>1191</v>
      </c>
      <c r="C157" s="10">
        <v>65.67</v>
      </c>
      <c r="D157" s="10">
        <v>5.56</v>
      </c>
      <c r="E157" s="16">
        <v>9.25</v>
      </c>
      <c r="F157">
        <v>1011470</v>
      </c>
      <c r="G157" s="5">
        <v>43161</v>
      </c>
    </row>
    <row r="158" spans="1:7" x14ac:dyDescent="0.4">
      <c r="A158">
        <v>57</v>
      </c>
      <c r="B158" t="s">
        <v>215</v>
      </c>
      <c r="C158" s="10">
        <v>20.239999999999998</v>
      </c>
      <c r="D158" s="10">
        <v>1.71</v>
      </c>
      <c r="E158" s="16">
        <v>9.23</v>
      </c>
      <c r="F158">
        <v>72581</v>
      </c>
      <c r="G158" s="5">
        <v>43161</v>
      </c>
    </row>
    <row r="159" spans="1:7" x14ac:dyDescent="0.4">
      <c r="A159">
        <v>58</v>
      </c>
      <c r="B159" t="s">
        <v>1192</v>
      </c>
      <c r="C159" s="10">
        <v>6.79</v>
      </c>
      <c r="D159" s="10">
        <v>0.56999999999999995</v>
      </c>
      <c r="E159" s="16">
        <v>9.16</v>
      </c>
      <c r="F159">
        <v>27386</v>
      </c>
      <c r="G159" s="5">
        <v>43161</v>
      </c>
    </row>
    <row r="160" spans="1:7" x14ac:dyDescent="0.4">
      <c r="A160">
        <v>59</v>
      </c>
      <c r="B160" t="s">
        <v>706</v>
      </c>
      <c r="C160" s="10">
        <v>33.17</v>
      </c>
      <c r="D160" s="10">
        <v>2.77</v>
      </c>
      <c r="E160" s="16">
        <v>9.11</v>
      </c>
      <c r="F160">
        <v>175600</v>
      </c>
      <c r="G160" s="5">
        <v>43161</v>
      </c>
    </row>
    <row r="161" spans="1:7" x14ac:dyDescent="0.4">
      <c r="A161">
        <v>60</v>
      </c>
      <c r="B161" t="s">
        <v>1193</v>
      </c>
      <c r="C161" s="10">
        <v>18.649999999999999</v>
      </c>
      <c r="D161" s="10">
        <v>1.55</v>
      </c>
      <c r="E161" s="16">
        <v>9.06</v>
      </c>
      <c r="F161">
        <v>436287</v>
      </c>
      <c r="G161" s="5">
        <v>43161</v>
      </c>
    </row>
    <row r="162" spans="1:7" x14ac:dyDescent="0.4">
      <c r="A162">
        <v>61</v>
      </c>
      <c r="B162" t="s">
        <v>1194</v>
      </c>
      <c r="C162" s="10">
        <v>28.98</v>
      </c>
      <c r="D162" s="10">
        <v>2.4</v>
      </c>
      <c r="E162" s="16">
        <v>9.0500000000000007</v>
      </c>
      <c r="F162">
        <v>310715</v>
      </c>
      <c r="G162" s="5">
        <v>43161</v>
      </c>
    </row>
    <row r="163" spans="1:7" x14ac:dyDescent="0.4">
      <c r="A163">
        <v>62</v>
      </c>
      <c r="B163" t="s">
        <v>31</v>
      </c>
      <c r="C163" s="10">
        <v>10.4</v>
      </c>
      <c r="D163" s="10">
        <v>0.85</v>
      </c>
      <c r="E163" s="16">
        <v>8.9</v>
      </c>
      <c r="F163">
        <v>475943</v>
      </c>
      <c r="G163" s="5">
        <v>43161</v>
      </c>
    </row>
    <row r="164" spans="1:7" x14ac:dyDescent="0.4">
      <c r="A164">
        <v>63</v>
      </c>
      <c r="B164" t="s">
        <v>1195</v>
      </c>
      <c r="C164" s="10">
        <v>46.5</v>
      </c>
      <c r="D164" s="10">
        <v>3.8</v>
      </c>
      <c r="E164" s="16">
        <v>8.9</v>
      </c>
      <c r="F164">
        <v>2604138</v>
      </c>
      <c r="G164" s="5">
        <v>43161</v>
      </c>
    </row>
    <row r="165" spans="1:7" x14ac:dyDescent="0.4">
      <c r="A165">
        <v>64</v>
      </c>
      <c r="B165" t="s">
        <v>72</v>
      </c>
      <c r="C165" s="10">
        <v>6</v>
      </c>
      <c r="D165" s="10">
        <v>0.49</v>
      </c>
      <c r="E165" s="16">
        <v>8.89</v>
      </c>
      <c r="F165">
        <v>899465</v>
      </c>
      <c r="G165" s="5">
        <v>43161</v>
      </c>
    </row>
    <row r="166" spans="1:7" x14ac:dyDescent="0.4">
      <c r="A166">
        <v>65</v>
      </c>
      <c r="B166" t="s">
        <v>1058</v>
      </c>
      <c r="C166" s="10">
        <v>28.94</v>
      </c>
      <c r="D166" s="10">
        <v>2.36</v>
      </c>
      <c r="E166" s="16">
        <v>8.8800000000000008</v>
      </c>
      <c r="F166">
        <v>226388</v>
      </c>
      <c r="G166" s="5">
        <v>43161</v>
      </c>
    </row>
    <row r="167" spans="1:7" x14ac:dyDescent="0.4">
      <c r="A167">
        <v>66</v>
      </c>
      <c r="B167" t="s">
        <v>1196</v>
      </c>
      <c r="C167" s="10">
        <v>30.75</v>
      </c>
      <c r="D167" s="10">
        <v>2.5</v>
      </c>
      <c r="E167" s="16">
        <v>8.85</v>
      </c>
      <c r="F167">
        <v>182682</v>
      </c>
      <c r="G167" s="5">
        <v>43161</v>
      </c>
    </row>
    <row r="168" spans="1:7" x14ac:dyDescent="0.4">
      <c r="A168">
        <v>67</v>
      </c>
      <c r="B168" t="s">
        <v>1197</v>
      </c>
      <c r="C168" s="10">
        <v>2.5499999999999998</v>
      </c>
      <c r="D168" s="10">
        <v>0.21</v>
      </c>
      <c r="E168" s="16">
        <v>8.83</v>
      </c>
      <c r="F168">
        <v>139359</v>
      </c>
      <c r="G168" s="5">
        <v>43161</v>
      </c>
    </row>
    <row r="169" spans="1:7" x14ac:dyDescent="0.4">
      <c r="A169">
        <v>68</v>
      </c>
      <c r="B169" t="s">
        <v>1198</v>
      </c>
      <c r="C169" s="10">
        <v>41.95</v>
      </c>
      <c r="D169" s="10">
        <v>3.4</v>
      </c>
      <c r="E169" s="16">
        <v>8.82</v>
      </c>
      <c r="F169">
        <v>1715976</v>
      </c>
      <c r="G169" s="5">
        <v>43161</v>
      </c>
    </row>
    <row r="170" spans="1:7" x14ac:dyDescent="0.4">
      <c r="A170">
        <v>69</v>
      </c>
      <c r="B170" t="s">
        <v>1199</v>
      </c>
      <c r="C170" s="10">
        <v>4.32</v>
      </c>
      <c r="D170" s="10">
        <v>0.35</v>
      </c>
      <c r="E170" s="16">
        <v>8.82</v>
      </c>
      <c r="F170">
        <v>6744366</v>
      </c>
      <c r="G170" s="5">
        <v>43161</v>
      </c>
    </row>
    <row r="171" spans="1:7" x14ac:dyDescent="0.4">
      <c r="A171">
        <v>70</v>
      </c>
      <c r="B171" t="s">
        <v>1200</v>
      </c>
      <c r="C171" s="10">
        <v>10.58</v>
      </c>
      <c r="D171" s="10">
        <v>0.85</v>
      </c>
      <c r="E171" s="16">
        <v>8.74</v>
      </c>
      <c r="F171">
        <v>198972</v>
      </c>
      <c r="G171" s="5">
        <v>43161</v>
      </c>
    </row>
    <row r="172" spans="1:7" x14ac:dyDescent="0.4">
      <c r="A172">
        <v>71</v>
      </c>
      <c r="B172" t="s">
        <v>1201</v>
      </c>
      <c r="C172" s="10">
        <v>5.92</v>
      </c>
      <c r="D172" s="10">
        <v>0.47</v>
      </c>
      <c r="E172" s="16">
        <v>8.6199999999999992</v>
      </c>
      <c r="F172">
        <v>187934</v>
      </c>
      <c r="G172" s="5">
        <v>43161</v>
      </c>
    </row>
    <row r="173" spans="1:7" x14ac:dyDescent="0.4">
      <c r="A173">
        <v>72</v>
      </c>
      <c r="B173" t="s">
        <v>1202</v>
      </c>
      <c r="C173" s="10">
        <v>32.299999999999997</v>
      </c>
      <c r="D173" s="10">
        <v>2.56</v>
      </c>
      <c r="E173" s="16">
        <v>8.61</v>
      </c>
      <c r="F173">
        <v>90262</v>
      </c>
      <c r="G173" s="5">
        <v>43161</v>
      </c>
    </row>
    <row r="174" spans="1:7" x14ac:dyDescent="0.4">
      <c r="A174">
        <v>73</v>
      </c>
      <c r="B174" t="s">
        <v>1160</v>
      </c>
      <c r="C174" s="10">
        <v>20.34</v>
      </c>
      <c r="D174" s="10">
        <v>1.61</v>
      </c>
      <c r="E174" s="16">
        <v>8.6</v>
      </c>
      <c r="F174">
        <v>1482512</v>
      </c>
      <c r="G174" s="5">
        <v>43161</v>
      </c>
    </row>
    <row r="175" spans="1:7" x14ac:dyDescent="0.4">
      <c r="A175">
        <v>74</v>
      </c>
      <c r="B175" t="s">
        <v>864</v>
      </c>
      <c r="C175" s="10">
        <v>7.59</v>
      </c>
      <c r="D175" s="10">
        <v>0.6</v>
      </c>
      <c r="E175" s="16">
        <v>8.58</v>
      </c>
      <c r="F175">
        <v>1686211</v>
      </c>
      <c r="G175" s="5">
        <v>43161</v>
      </c>
    </row>
    <row r="176" spans="1:7" x14ac:dyDescent="0.4">
      <c r="A176">
        <v>75</v>
      </c>
      <c r="B176" t="s">
        <v>980</v>
      </c>
      <c r="C176" s="10">
        <v>27.48</v>
      </c>
      <c r="D176" s="10">
        <v>2.17</v>
      </c>
      <c r="E176" s="16">
        <v>8.57</v>
      </c>
      <c r="F176">
        <v>876352</v>
      </c>
      <c r="G176" s="5">
        <v>43161</v>
      </c>
    </row>
    <row r="177" spans="1:7" x14ac:dyDescent="0.4">
      <c r="A177">
        <v>76</v>
      </c>
      <c r="B177" t="s">
        <v>1203</v>
      </c>
      <c r="C177" s="10">
        <v>2.29</v>
      </c>
      <c r="D177" s="10">
        <v>0.18</v>
      </c>
      <c r="E177" s="16">
        <v>8.5299999999999994</v>
      </c>
      <c r="F177">
        <v>216801</v>
      </c>
      <c r="G177" s="5">
        <v>43161</v>
      </c>
    </row>
    <row r="178" spans="1:7" x14ac:dyDescent="0.4">
      <c r="A178">
        <v>77</v>
      </c>
      <c r="B178" t="s">
        <v>1114</v>
      </c>
      <c r="C178" s="10">
        <v>34.25</v>
      </c>
      <c r="D178" s="10">
        <v>2.69</v>
      </c>
      <c r="E178" s="16">
        <v>8.52</v>
      </c>
      <c r="F178">
        <v>3069370</v>
      </c>
      <c r="G178" s="5">
        <v>43161</v>
      </c>
    </row>
    <row r="179" spans="1:7" x14ac:dyDescent="0.4">
      <c r="A179">
        <v>78</v>
      </c>
      <c r="B179" t="s">
        <v>1204</v>
      </c>
      <c r="C179" s="10">
        <v>12.14</v>
      </c>
      <c r="D179" s="10">
        <v>0.95</v>
      </c>
      <c r="E179" s="16">
        <v>8.49</v>
      </c>
      <c r="F179">
        <v>119291</v>
      </c>
      <c r="G179" s="5">
        <v>43161</v>
      </c>
    </row>
    <row r="180" spans="1:7" x14ac:dyDescent="0.4">
      <c r="A180">
        <v>79</v>
      </c>
      <c r="B180" t="s">
        <v>1205</v>
      </c>
      <c r="C180" s="10">
        <v>242</v>
      </c>
      <c r="D180" s="10">
        <v>18.899999999999999</v>
      </c>
      <c r="E180" s="16">
        <v>8.4700000000000006</v>
      </c>
      <c r="F180">
        <v>306602</v>
      </c>
      <c r="G180" s="5">
        <v>43161</v>
      </c>
    </row>
    <row r="181" spans="1:7" x14ac:dyDescent="0.4">
      <c r="A181">
        <v>80</v>
      </c>
      <c r="B181" t="s">
        <v>971</v>
      </c>
      <c r="C181" s="10">
        <v>18</v>
      </c>
      <c r="D181" s="10">
        <v>1.4</v>
      </c>
      <c r="E181" s="16">
        <v>8.43</v>
      </c>
      <c r="F181">
        <v>761721</v>
      </c>
      <c r="G181" s="5">
        <v>43161</v>
      </c>
    </row>
    <row r="182" spans="1:7" x14ac:dyDescent="0.4">
      <c r="A182">
        <v>81</v>
      </c>
      <c r="B182" t="s">
        <v>779</v>
      </c>
      <c r="C182" s="10">
        <v>2.6</v>
      </c>
      <c r="D182" s="10">
        <v>0.2</v>
      </c>
      <c r="E182" s="16">
        <v>8.33</v>
      </c>
      <c r="F182">
        <v>375770</v>
      </c>
      <c r="G182" s="5">
        <v>43161</v>
      </c>
    </row>
    <row r="183" spans="1:7" x14ac:dyDescent="0.4">
      <c r="A183">
        <v>82</v>
      </c>
      <c r="B183" t="s">
        <v>1115</v>
      </c>
      <c r="C183" s="10">
        <v>18.37</v>
      </c>
      <c r="D183" s="10">
        <v>1.41</v>
      </c>
      <c r="E183" s="16">
        <v>8.31</v>
      </c>
      <c r="F183">
        <v>741790</v>
      </c>
      <c r="G183" s="5">
        <v>43161</v>
      </c>
    </row>
    <row r="184" spans="1:7" x14ac:dyDescent="0.4">
      <c r="A184">
        <v>83</v>
      </c>
      <c r="B184" t="s">
        <v>1104</v>
      </c>
      <c r="C184" s="10">
        <v>8.39</v>
      </c>
      <c r="D184" s="10">
        <v>0.64</v>
      </c>
      <c r="E184" s="16">
        <v>8.26</v>
      </c>
      <c r="F184">
        <v>48699</v>
      </c>
      <c r="G184" s="5">
        <v>43161</v>
      </c>
    </row>
    <row r="185" spans="1:7" x14ac:dyDescent="0.4">
      <c r="A185">
        <v>84</v>
      </c>
      <c r="B185" t="s">
        <v>76</v>
      </c>
      <c r="C185" s="10">
        <v>3.67</v>
      </c>
      <c r="D185" s="10">
        <v>0.28000000000000003</v>
      </c>
      <c r="E185" s="16">
        <v>8.23</v>
      </c>
      <c r="F185">
        <v>8773</v>
      </c>
      <c r="G185" s="5">
        <v>43161</v>
      </c>
    </row>
    <row r="186" spans="1:7" x14ac:dyDescent="0.4">
      <c r="A186">
        <v>85</v>
      </c>
      <c r="B186" t="s">
        <v>1206</v>
      </c>
      <c r="C186" s="10">
        <v>2.9</v>
      </c>
      <c r="D186" s="10">
        <v>0.22</v>
      </c>
      <c r="E186" s="16">
        <v>8.2100000000000009</v>
      </c>
      <c r="F186">
        <v>205718</v>
      </c>
      <c r="G186" s="5">
        <v>43161</v>
      </c>
    </row>
    <row r="187" spans="1:7" x14ac:dyDescent="0.4">
      <c r="A187">
        <v>86</v>
      </c>
      <c r="B187" t="s">
        <v>1207</v>
      </c>
      <c r="C187" s="10">
        <v>2.38</v>
      </c>
      <c r="D187" s="10">
        <v>0.18</v>
      </c>
      <c r="E187" s="16">
        <v>8.18</v>
      </c>
      <c r="F187">
        <v>492963</v>
      </c>
      <c r="G187" s="5">
        <v>43161</v>
      </c>
    </row>
    <row r="188" spans="1:7" x14ac:dyDescent="0.4">
      <c r="A188">
        <v>87</v>
      </c>
      <c r="B188" t="s">
        <v>1208</v>
      </c>
      <c r="C188" s="10">
        <v>4.5</v>
      </c>
      <c r="D188" s="10">
        <v>0.34</v>
      </c>
      <c r="E188" s="16">
        <v>8.17</v>
      </c>
      <c r="F188">
        <v>3948094</v>
      </c>
      <c r="G188" s="5">
        <v>43161</v>
      </c>
    </row>
    <row r="189" spans="1:7" x14ac:dyDescent="0.4">
      <c r="A189">
        <v>88</v>
      </c>
      <c r="B189" t="s">
        <v>662</v>
      </c>
      <c r="C189" s="10">
        <v>82.76</v>
      </c>
      <c r="D189" s="10">
        <v>6.25</v>
      </c>
      <c r="E189" s="16">
        <v>8.17</v>
      </c>
      <c r="F189">
        <v>174285</v>
      </c>
      <c r="G189" s="5">
        <v>43161</v>
      </c>
    </row>
    <row r="190" spans="1:7" x14ac:dyDescent="0.4">
      <c r="A190">
        <v>89</v>
      </c>
      <c r="B190" t="s">
        <v>592</v>
      </c>
      <c r="C190" s="10">
        <v>3.99</v>
      </c>
      <c r="D190" s="10">
        <v>0.3</v>
      </c>
      <c r="E190" s="16">
        <v>8.1300000000000008</v>
      </c>
      <c r="F190">
        <v>821505</v>
      </c>
      <c r="G190" s="5">
        <v>43161</v>
      </c>
    </row>
    <row r="191" spans="1:7" x14ac:dyDescent="0.4">
      <c r="A191">
        <v>90</v>
      </c>
      <c r="B191" t="s">
        <v>1209</v>
      </c>
      <c r="C191" s="10">
        <v>6.26</v>
      </c>
      <c r="D191" s="10">
        <v>0.47</v>
      </c>
      <c r="E191" s="16">
        <v>8.1199999999999992</v>
      </c>
      <c r="F191">
        <v>158080</v>
      </c>
      <c r="G191" s="5">
        <v>43161</v>
      </c>
    </row>
    <row r="192" spans="1:7" x14ac:dyDescent="0.4">
      <c r="A192">
        <v>91</v>
      </c>
      <c r="B192" t="s">
        <v>1132</v>
      </c>
      <c r="C192" s="10">
        <v>16.809999999999999</v>
      </c>
      <c r="D192" s="10">
        <v>1.26</v>
      </c>
      <c r="E192" s="16">
        <v>8.1</v>
      </c>
      <c r="F192">
        <v>22344</v>
      </c>
      <c r="G192" s="5">
        <v>43161</v>
      </c>
    </row>
    <row r="193" spans="1:7" x14ac:dyDescent="0.4">
      <c r="A193">
        <v>92</v>
      </c>
      <c r="B193" t="s">
        <v>1077</v>
      </c>
      <c r="C193" s="10">
        <v>12.28</v>
      </c>
      <c r="D193" s="10">
        <v>0.92</v>
      </c>
      <c r="E193" s="16">
        <v>8.1</v>
      </c>
      <c r="F193">
        <v>37929</v>
      </c>
      <c r="G193" s="5">
        <v>43161</v>
      </c>
    </row>
    <row r="194" spans="1:7" x14ac:dyDescent="0.4">
      <c r="A194">
        <v>93</v>
      </c>
      <c r="B194" t="s">
        <v>896</v>
      </c>
      <c r="C194" s="10">
        <v>6.03</v>
      </c>
      <c r="D194" s="10">
        <v>0.45</v>
      </c>
      <c r="E194" s="16">
        <v>8.06</v>
      </c>
      <c r="F194">
        <v>1203559</v>
      </c>
      <c r="G194" s="5">
        <v>43161</v>
      </c>
    </row>
    <row r="195" spans="1:7" x14ac:dyDescent="0.4">
      <c r="A195">
        <v>94</v>
      </c>
      <c r="B195" t="s">
        <v>1210</v>
      </c>
      <c r="C195" s="10">
        <v>9.52</v>
      </c>
      <c r="D195" s="10">
        <v>0.71</v>
      </c>
      <c r="E195" s="16">
        <v>8.06</v>
      </c>
      <c r="F195">
        <v>706430</v>
      </c>
      <c r="G195" s="5">
        <v>43161</v>
      </c>
    </row>
    <row r="196" spans="1:7" x14ac:dyDescent="0.4">
      <c r="A196">
        <v>95</v>
      </c>
      <c r="B196" t="s">
        <v>329</v>
      </c>
      <c r="C196" s="10">
        <v>4.7</v>
      </c>
      <c r="D196" s="10">
        <v>0.35</v>
      </c>
      <c r="E196" s="16">
        <v>8.0500000000000007</v>
      </c>
      <c r="F196">
        <v>1020756</v>
      </c>
      <c r="G196" s="5">
        <v>43161</v>
      </c>
    </row>
    <row r="197" spans="1:7" x14ac:dyDescent="0.4">
      <c r="A197">
        <v>96</v>
      </c>
      <c r="B197" t="s">
        <v>930</v>
      </c>
      <c r="C197" s="10">
        <v>18.13</v>
      </c>
      <c r="D197" s="10">
        <v>1.35</v>
      </c>
      <c r="E197" s="16">
        <v>8.0500000000000007</v>
      </c>
      <c r="F197">
        <v>310188</v>
      </c>
      <c r="G197" s="5">
        <v>43161</v>
      </c>
    </row>
    <row r="198" spans="1:7" x14ac:dyDescent="0.4">
      <c r="A198">
        <v>97</v>
      </c>
      <c r="B198" t="s">
        <v>456</v>
      </c>
      <c r="C198" s="10">
        <v>17.23</v>
      </c>
      <c r="D198" s="10">
        <v>1.28</v>
      </c>
      <c r="E198" s="16">
        <v>8.0299999999999994</v>
      </c>
      <c r="F198">
        <v>73283</v>
      </c>
      <c r="G198" s="5">
        <v>43161</v>
      </c>
    </row>
    <row r="199" spans="1:7" x14ac:dyDescent="0.4">
      <c r="A199">
        <v>98</v>
      </c>
      <c r="B199" t="s">
        <v>263</v>
      </c>
      <c r="C199" s="10">
        <v>10.79</v>
      </c>
      <c r="D199" s="10">
        <v>0.8</v>
      </c>
      <c r="E199" s="16">
        <v>8.01</v>
      </c>
      <c r="F199">
        <v>549978</v>
      </c>
      <c r="G199" s="5">
        <v>43161</v>
      </c>
    </row>
    <row r="200" spans="1:7" x14ac:dyDescent="0.4">
      <c r="A200">
        <v>99</v>
      </c>
      <c r="B200" t="s">
        <v>362</v>
      </c>
      <c r="C200" s="10">
        <v>21.65</v>
      </c>
      <c r="D200" s="10">
        <v>1.6</v>
      </c>
      <c r="E200" s="16">
        <v>7.98</v>
      </c>
      <c r="F200">
        <v>46918</v>
      </c>
      <c r="G200" s="5">
        <v>43161</v>
      </c>
    </row>
    <row r="201" spans="1:7" x14ac:dyDescent="0.4">
      <c r="A201">
        <v>100</v>
      </c>
      <c r="B201" t="s">
        <v>1211</v>
      </c>
      <c r="C201" s="10">
        <v>2.44</v>
      </c>
      <c r="D201" s="10">
        <v>0.18</v>
      </c>
      <c r="E201" s="16">
        <v>7.96</v>
      </c>
      <c r="F201">
        <v>1429743</v>
      </c>
      <c r="G201" s="5">
        <v>43161</v>
      </c>
    </row>
    <row r="202" spans="1:7" x14ac:dyDescent="0.4">
      <c r="A202">
        <v>1</v>
      </c>
      <c r="B202" t="s">
        <v>22</v>
      </c>
      <c r="C202" s="10">
        <v>17.3</v>
      </c>
      <c r="D202" s="10">
        <v>7.82</v>
      </c>
      <c r="E202" s="16">
        <v>82.49</v>
      </c>
      <c r="F202">
        <v>4405751</v>
      </c>
      <c r="G202" s="5">
        <v>43164</v>
      </c>
    </row>
    <row r="203" spans="1:7" x14ac:dyDescent="0.4">
      <c r="A203">
        <v>2</v>
      </c>
      <c r="B203" t="s">
        <v>1131</v>
      </c>
      <c r="C203" s="10">
        <v>11.85</v>
      </c>
      <c r="D203" s="10">
        <v>3.5</v>
      </c>
      <c r="E203" s="16">
        <v>41.92</v>
      </c>
      <c r="F203">
        <v>9580466</v>
      </c>
      <c r="G203" s="5">
        <v>43164</v>
      </c>
    </row>
    <row r="204" spans="1:7" x14ac:dyDescent="0.4">
      <c r="A204">
        <v>3</v>
      </c>
      <c r="B204" t="s">
        <v>1132</v>
      </c>
      <c r="C204" s="10">
        <v>23.25</v>
      </c>
      <c r="D204" s="10">
        <v>6.44</v>
      </c>
      <c r="E204" s="16">
        <v>38.31</v>
      </c>
      <c r="F204">
        <v>923024</v>
      </c>
      <c r="G204" s="5">
        <v>43164</v>
      </c>
    </row>
    <row r="205" spans="1:7" x14ac:dyDescent="0.4">
      <c r="A205">
        <v>4</v>
      </c>
      <c r="B205" t="s">
        <v>1050</v>
      </c>
      <c r="C205" s="10">
        <v>10.33</v>
      </c>
      <c r="D205" s="10">
        <v>2.5099999999999998</v>
      </c>
      <c r="E205" s="16">
        <v>32.1</v>
      </c>
      <c r="F205">
        <v>14475647</v>
      </c>
      <c r="G205" s="5">
        <v>43164</v>
      </c>
    </row>
    <row r="206" spans="1:7" x14ac:dyDescent="0.4">
      <c r="A206">
        <v>5</v>
      </c>
      <c r="B206" t="s">
        <v>227</v>
      </c>
      <c r="C206" s="10">
        <v>2.72</v>
      </c>
      <c r="D206" s="10">
        <v>0.65</v>
      </c>
      <c r="E206" s="16">
        <v>31.4</v>
      </c>
      <c r="F206">
        <v>3924937</v>
      </c>
      <c r="G206" s="5">
        <v>43164</v>
      </c>
    </row>
    <row r="207" spans="1:7" x14ac:dyDescent="0.4">
      <c r="A207">
        <v>6</v>
      </c>
      <c r="B207" t="s">
        <v>1133</v>
      </c>
      <c r="C207" s="10">
        <v>55.92</v>
      </c>
      <c r="D207" s="10">
        <v>12.62</v>
      </c>
      <c r="E207" s="16">
        <v>29.15</v>
      </c>
      <c r="F207">
        <v>82493006</v>
      </c>
      <c r="G207" s="5">
        <v>43164</v>
      </c>
    </row>
    <row r="208" spans="1:7" x14ac:dyDescent="0.4">
      <c r="A208">
        <v>7</v>
      </c>
      <c r="B208" t="s">
        <v>67</v>
      </c>
      <c r="C208" s="10">
        <v>26.85</v>
      </c>
      <c r="D208" s="10">
        <v>5.35</v>
      </c>
      <c r="E208" s="16">
        <v>24.88</v>
      </c>
      <c r="F208">
        <v>11432</v>
      </c>
      <c r="G208" s="5">
        <v>43164</v>
      </c>
    </row>
    <row r="209" spans="1:7" x14ac:dyDescent="0.4">
      <c r="A209">
        <v>8</v>
      </c>
      <c r="B209" t="s">
        <v>1084</v>
      </c>
      <c r="C209" s="10">
        <v>36.96</v>
      </c>
      <c r="D209" s="10">
        <v>6.96</v>
      </c>
      <c r="E209" s="16">
        <v>23.2</v>
      </c>
      <c r="F209">
        <v>13309</v>
      </c>
      <c r="G209" s="5">
        <v>43164</v>
      </c>
    </row>
    <row r="210" spans="1:7" x14ac:dyDescent="0.4">
      <c r="A210">
        <v>9</v>
      </c>
      <c r="B210" t="s">
        <v>50</v>
      </c>
      <c r="C210" s="10">
        <v>3.84</v>
      </c>
      <c r="D210" s="10">
        <v>0.57999999999999996</v>
      </c>
      <c r="E210" s="16">
        <v>17.79</v>
      </c>
      <c r="F210">
        <v>869246</v>
      </c>
      <c r="G210" s="5">
        <v>43164</v>
      </c>
    </row>
    <row r="211" spans="1:7" x14ac:dyDescent="0.4">
      <c r="A211">
        <v>10</v>
      </c>
      <c r="B211" t="s">
        <v>932</v>
      </c>
      <c r="C211" s="10">
        <v>5.25</v>
      </c>
      <c r="D211" s="10">
        <v>0.78</v>
      </c>
      <c r="E211" s="16">
        <v>17.45</v>
      </c>
      <c r="F211">
        <v>1816062</v>
      </c>
      <c r="G211" s="5">
        <v>43164</v>
      </c>
    </row>
    <row r="212" spans="1:7" x14ac:dyDescent="0.4">
      <c r="A212">
        <v>11</v>
      </c>
      <c r="B212" t="s">
        <v>1029</v>
      </c>
      <c r="C212" s="10">
        <v>13.25</v>
      </c>
      <c r="D212" s="10">
        <v>1.93</v>
      </c>
      <c r="E212" s="16">
        <v>17.05</v>
      </c>
      <c r="F212">
        <v>43467</v>
      </c>
      <c r="G212" s="5">
        <v>43164</v>
      </c>
    </row>
    <row r="213" spans="1:7" x14ac:dyDescent="0.4">
      <c r="A213">
        <v>12</v>
      </c>
      <c r="B213" t="s">
        <v>283</v>
      </c>
      <c r="C213" s="10">
        <v>5.93</v>
      </c>
      <c r="D213" s="10">
        <v>0.84</v>
      </c>
      <c r="E213" s="16">
        <v>16.41</v>
      </c>
      <c r="F213">
        <v>255746</v>
      </c>
      <c r="G213" s="5">
        <v>43164</v>
      </c>
    </row>
    <row r="214" spans="1:7" x14ac:dyDescent="0.4">
      <c r="A214">
        <v>13</v>
      </c>
      <c r="B214" t="s">
        <v>699</v>
      </c>
      <c r="C214" s="10">
        <v>31</v>
      </c>
      <c r="D214" s="10">
        <v>3.79</v>
      </c>
      <c r="E214" s="16">
        <v>13.93</v>
      </c>
      <c r="F214">
        <v>140703</v>
      </c>
      <c r="G214" s="5">
        <v>43164</v>
      </c>
    </row>
    <row r="215" spans="1:7" x14ac:dyDescent="0.4">
      <c r="A215">
        <v>14</v>
      </c>
      <c r="B215" t="s">
        <v>96</v>
      </c>
      <c r="C215" s="10">
        <v>24.7</v>
      </c>
      <c r="D215" s="10">
        <v>2.94</v>
      </c>
      <c r="E215" s="16">
        <v>13.51</v>
      </c>
      <c r="F215">
        <v>1459405</v>
      </c>
      <c r="G215" s="5">
        <v>43164</v>
      </c>
    </row>
    <row r="216" spans="1:7" x14ac:dyDescent="0.4">
      <c r="A216">
        <v>15</v>
      </c>
      <c r="B216" t="s">
        <v>1134</v>
      </c>
      <c r="C216" s="10">
        <v>3.86</v>
      </c>
      <c r="D216" s="10">
        <v>0.43</v>
      </c>
      <c r="E216" s="16">
        <v>12.54</v>
      </c>
      <c r="F216">
        <v>69379</v>
      </c>
      <c r="G216" s="5">
        <v>43164</v>
      </c>
    </row>
    <row r="217" spans="1:7" x14ac:dyDescent="0.4">
      <c r="A217">
        <v>16</v>
      </c>
      <c r="B217" t="s">
        <v>963</v>
      </c>
      <c r="C217" s="10">
        <v>27.25</v>
      </c>
      <c r="D217" s="10">
        <v>2.96</v>
      </c>
      <c r="E217" s="16">
        <v>12.19</v>
      </c>
      <c r="F217">
        <v>1520804</v>
      </c>
      <c r="G217" s="5">
        <v>43164</v>
      </c>
    </row>
    <row r="218" spans="1:7" x14ac:dyDescent="0.4">
      <c r="A218">
        <v>17</v>
      </c>
      <c r="B218" t="s">
        <v>1135</v>
      </c>
      <c r="C218" s="10">
        <v>3.98</v>
      </c>
      <c r="D218" s="10">
        <v>0.42</v>
      </c>
      <c r="E218" s="16">
        <v>11.8</v>
      </c>
      <c r="F218">
        <v>2552290</v>
      </c>
      <c r="G218" s="5">
        <v>43164</v>
      </c>
    </row>
    <row r="219" spans="1:7" x14ac:dyDescent="0.4">
      <c r="A219">
        <v>18</v>
      </c>
      <c r="B219" t="s">
        <v>1136</v>
      </c>
      <c r="C219" s="10">
        <v>30.77</v>
      </c>
      <c r="D219" s="10">
        <v>3.23</v>
      </c>
      <c r="E219" s="16">
        <v>11.73</v>
      </c>
      <c r="F219">
        <v>481611</v>
      </c>
      <c r="G219" s="5">
        <v>43164</v>
      </c>
    </row>
    <row r="220" spans="1:7" x14ac:dyDescent="0.4">
      <c r="A220">
        <v>19</v>
      </c>
      <c r="B220" t="s">
        <v>128</v>
      </c>
      <c r="C220" s="10">
        <v>5.53</v>
      </c>
      <c r="D220" s="10">
        <v>0.57999999999999996</v>
      </c>
      <c r="E220" s="16">
        <v>11.72</v>
      </c>
      <c r="F220">
        <v>92330</v>
      </c>
      <c r="G220" s="5">
        <v>43164</v>
      </c>
    </row>
    <row r="221" spans="1:7" x14ac:dyDescent="0.4">
      <c r="A221">
        <v>20</v>
      </c>
      <c r="B221" t="s">
        <v>52</v>
      </c>
      <c r="C221" s="10">
        <v>4.1500000000000004</v>
      </c>
      <c r="D221" s="10">
        <v>0.42</v>
      </c>
      <c r="E221" s="16">
        <v>11.26</v>
      </c>
      <c r="F221">
        <v>6739978</v>
      </c>
      <c r="G221" s="5">
        <v>43164</v>
      </c>
    </row>
    <row r="222" spans="1:7" x14ac:dyDescent="0.4">
      <c r="A222">
        <v>21</v>
      </c>
      <c r="B222" t="s">
        <v>1137</v>
      </c>
      <c r="C222" s="10">
        <v>6.85</v>
      </c>
      <c r="D222" s="10">
        <v>0.69</v>
      </c>
      <c r="E222" s="16">
        <v>11.2</v>
      </c>
      <c r="F222">
        <v>441563</v>
      </c>
      <c r="G222" s="5">
        <v>43164</v>
      </c>
    </row>
    <row r="223" spans="1:7" x14ac:dyDescent="0.4">
      <c r="A223">
        <v>22</v>
      </c>
      <c r="B223" t="s">
        <v>1138</v>
      </c>
      <c r="C223" s="10">
        <v>14.52</v>
      </c>
      <c r="D223" s="10">
        <v>1.42</v>
      </c>
      <c r="E223" s="16">
        <v>10.84</v>
      </c>
      <c r="F223">
        <v>45213</v>
      </c>
      <c r="G223" s="5">
        <v>43164</v>
      </c>
    </row>
    <row r="224" spans="1:7" x14ac:dyDescent="0.4">
      <c r="A224">
        <v>23</v>
      </c>
      <c r="B224" t="s">
        <v>27</v>
      </c>
      <c r="C224" s="10">
        <v>3.1</v>
      </c>
      <c r="D224" s="10">
        <v>0.3</v>
      </c>
      <c r="E224" s="16">
        <v>10.71</v>
      </c>
      <c r="F224">
        <v>56272</v>
      </c>
      <c r="G224" s="5">
        <v>43164</v>
      </c>
    </row>
    <row r="225" spans="1:7" x14ac:dyDescent="0.4">
      <c r="A225">
        <v>24</v>
      </c>
      <c r="B225" t="s">
        <v>292</v>
      </c>
      <c r="C225" s="10">
        <v>2.92</v>
      </c>
      <c r="D225" s="10">
        <v>0.28000000000000003</v>
      </c>
      <c r="E225" s="16">
        <v>10.38</v>
      </c>
      <c r="F225">
        <v>533300</v>
      </c>
      <c r="G225" s="5">
        <v>43164</v>
      </c>
    </row>
    <row r="226" spans="1:7" x14ac:dyDescent="0.4">
      <c r="A226">
        <v>25</v>
      </c>
      <c r="B226" t="s">
        <v>1139</v>
      </c>
      <c r="C226" s="10">
        <v>21.4</v>
      </c>
      <c r="D226" s="10">
        <v>2</v>
      </c>
      <c r="E226" s="16">
        <v>10.31</v>
      </c>
      <c r="F226">
        <v>118316</v>
      </c>
      <c r="G226" s="5">
        <v>43164</v>
      </c>
    </row>
    <row r="227" spans="1:7" x14ac:dyDescent="0.4">
      <c r="A227">
        <v>26</v>
      </c>
      <c r="B227" t="s">
        <v>1014</v>
      </c>
      <c r="C227" s="10">
        <v>6.75</v>
      </c>
      <c r="D227" s="10">
        <v>0.63</v>
      </c>
      <c r="E227" s="16">
        <v>10.29</v>
      </c>
      <c r="F227">
        <v>1833545</v>
      </c>
      <c r="G227" s="5">
        <v>43164</v>
      </c>
    </row>
    <row r="228" spans="1:7" x14ac:dyDescent="0.4">
      <c r="A228">
        <v>27</v>
      </c>
      <c r="B228" t="s">
        <v>1140</v>
      </c>
      <c r="C228" s="10">
        <v>5.4</v>
      </c>
      <c r="D228" s="10">
        <v>0.49</v>
      </c>
      <c r="E228" s="16">
        <v>9.98</v>
      </c>
      <c r="F228">
        <v>1573317</v>
      </c>
      <c r="G228" s="5">
        <v>43164</v>
      </c>
    </row>
    <row r="229" spans="1:7" x14ac:dyDescent="0.4">
      <c r="A229">
        <v>28</v>
      </c>
      <c r="B229" t="s">
        <v>1141</v>
      </c>
      <c r="C229" s="10">
        <v>6.65</v>
      </c>
      <c r="D229" s="10">
        <v>0.6</v>
      </c>
      <c r="E229" s="16">
        <v>9.92</v>
      </c>
      <c r="F229">
        <v>308733</v>
      </c>
      <c r="G229" s="5">
        <v>43164</v>
      </c>
    </row>
    <row r="230" spans="1:7" x14ac:dyDescent="0.4">
      <c r="A230">
        <v>29</v>
      </c>
      <c r="B230" t="s">
        <v>1044</v>
      </c>
      <c r="C230" s="10">
        <v>7.3</v>
      </c>
      <c r="D230" s="10">
        <v>0.65</v>
      </c>
      <c r="E230" s="16">
        <v>9.77</v>
      </c>
      <c r="F230">
        <v>138081</v>
      </c>
      <c r="G230" s="5">
        <v>43164</v>
      </c>
    </row>
    <row r="231" spans="1:7" x14ac:dyDescent="0.4">
      <c r="A231">
        <v>30</v>
      </c>
      <c r="B231" t="s">
        <v>1012</v>
      </c>
      <c r="C231" s="10">
        <v>2.85</v>
      </c>
      <c r="D231" s="10">
        <v>0.25</v>
      </c>
      <c r="E231" s="16">
        <v>9.6199999999999992</v>
      </c>
      <c r="F231">
        <v>259940</v>
      </c>
      <c r="G231" s="5">
        <v>43164</v>
      </c>
    </row>
    <row r="232" spans="1:7" x14ac:dyDescent="0.4">
      <c r="A232">
        <v>31</v>
      </c>
      <c r="B232" t="s">
        <v>590</v>
      </c>
      <c r="C232" s="10">
        <v>2.74</v>
      </c>
      <c r="D232" s="10">
        <v>0.24</v>
      </c>
      <c r="E232" s="16">
        <v>9.6</v>
      </c>
      <c r="F232">
        <v>2188101</v>
      </c>
      <c r="G232" s="5">
        <v>43164</v>
      </c>
    </row>
    <row r="233" spans="1:7" x14ac:dyDescent="0.4">
      <c r="A233">
        <v>32</v>
      </c>
      <c r="B233" t="s">
        <v>337</v>
      </c>
      <c r="C233" s="10">
        <v>12.58</v>
      </c>
      <c r="D233" s="10">
        <v>1.1000000000000001</v>
      </c>
      <c r="E233" s="16">
        <v>9.58</v>
      </c>
      <c r="F233">
        <v>5690950</v>
      </c>
      <c r="G233" s="5">
        <v>43164</v>
      </c>
    </row>
    <row r="234" spans="1:7" x14ac:dyDescent="0.4">
      <c r="A234">
        <v>33</v>
      </c>
      <c r="B234" t="s">
        <v>267</v>
      </c>
      <c r="C234" s="10">
        <v>50.42</v>
      </c>
      <c r="D234" s="10">
        <v>4.4000000000000004</v>
      </c>
      <c r="E234" s="16">
        <v>9.56</v>
      </c>
      <c r="F234">
        <v>30455263</v>
      </c>
      <c r="G234" s="5">
        <v>43164</v>
      </c>
    </row>
    <row r="235" spans="1:7" x14ac:dyDescent="0.4">
      <c r="A235">
        <v>34</v>
      </c>
      <c r="B235" t="s">
        <v>250</v>
      </c>
      <c r="C235" s="10">
        <v>2.85</v>
      </c>
      <c r="D235" s="10">
        <v>0.25</v>
      </c>
      <c r="E235" s="16">
        <v>9.48</v>
      </c>
      <c r="F235">
        <v>45623</v>
      </c>
      <c r="G235" s="5">
        <v>43164</v>
      </c>
    </row>
    <row r="236" spans="1:7" x14ac:dyDescent="0.4">
      <c r="A236">
        <v>35</v>
      </c>
      <c r="B236" t="s">
        <v>1142</v>
      </c>
      <c r="C236" s="10">
        <v>17.3</v>
      </c>
      <c r="D236" s="10">
        <v>1.49</v>
      </c>
      <c r="E236" s="16">
        <v>9.42</v>
      </c>
      <c r="F236">
        <v>2709750</v>
      </c>
      <c r="G236" s="5">
        <v>43164</v>
      </c>
    </row>
    <row r="237" spans="1:7" x14ac:dyDescent="0.4">
      <c r="A237">
        <v>36</v>
      </c>
      <c r="B237" t="s">
        <v>961</v>
      </c>
      <c r="C237" s="10">
        <v>31.1</v>
      </c>
      <c r="D237" s="10">
        <v>2.65</v>
      </c>
      <c r="E237" s="16">
        <v>9.31</v>
      </c>
      <c r="F237">
        <v>614593</v>
      </c>
      <c r="G237" s="5">
        <v>43164</v>
      </c>
    </row>
    <row r="238" spans="1:7" x14ac:dyDescent="0.4">
      <c r="A238">
        <v>37</v>
      </c>
      <c r="B238" t="s">
        <v>940</v>
      </c>
      <c r="C238" s="10">
        <v>7.28</v>
      </c>
      <c r="D238" s="10">
        <v>0.62</v>
      </c>
      <c r="E238" s="16">
        <v>9.31</v>
      </c>
      <c r="F238">
        <v>3746264</v>
      </c>
      <c r="G238" s="5">
        <v>43164</v>
      </c>
    </row>
    <row r="239" spans="1:7" x14ac:dyDescent="0.4">
      <c r="A239">
        <v>38</v>
      </c>
      <c r="B239" t="s">
        <v>1143</v>
      </c>
      <c r="C239" s="10">
        <v>17.25</v>
      </c>
      <c r="D239" s="10">
        <v>1.45</v>
      </c>
      <c r="E239" s="16">
        <v>9.18</v>
      </c>
      <c r="F239">
        <v>99628</v>
      </c>
      <c r="G239" s="5">
        <v>43164</v>
      </c>
    </row>
    <row r="240" spans="1:7" x14ac:dyDescent="0.4">
      <c r="A240">
        <v>39</v>
      </c>
      <c r="B240" t="s">
        <v>663</v>
      </c>
      <c r="C240" s="10">
        <v>2.5</v>
      </c>
      <c r="D240" s="10">
        <v>0.21</v>
      </c>
      <c r="E240" s="16">
        <v>9.17</v>
      </c>
      <c r="F240">
        <v>994405</v>
      </c>
      <c r="G240" s="5">
        <v>43164</v>
      </c>
    </row>
    <row r="241" spans="1:7" x14ac:dyDescent="0.4">
      <c r="A241">
        <v>40</v>
      </c>
      <c r="B241" t="s">
        <v>1081</v>
      </c>
      <c r="C241" s="10">
        <v>4.7</v>
      </c>
      <c r="D241" s="10">
        <v>0.39</v>
      </c>
      <c r="E241" s="16">
        <v>9.0500000000000007</v>
      </c>
      <c r="F241">
        <v>47877</v>
      </c>
      <c r="G241" s="5">
        <v>43164</v>
      </c>
    </row>
    <row r="242" spans="1:7" x14ac:dyDescent="0.4">
      <c r="A242">
        <v>41</v>
      </c>
      <c r="B242" t="s">
        <v>544</v>
      </c>
      <c r="C242" s="10">
        <v>42.95</v>
      </c>
      <c r="D242" s="10">
        <v>3.55</v>
      </c>
      <c r="E242" s="16">
        <v>9.01</v>
      </c>
      <c r="F242">
        <v>1272397</v>
      </c>
      <c r="G242" s="5">
        <v>43164</v>
      </c>
    </row>
    <row r="243" spans="1:7" x14ac:dyDescent="0.4">
      <c r="A243">
        <v>42</v>
      </c>
      <c r="B243" t="s">
        <v>1144</v>
      </c>
      <c r="C243" s="10">
        <v>2.4500000000000002</v>
      </c>
      <c r="D243" s="10">
        <v>0.2</v>
      </c>
      <c r="E243" s="16">
        <v>8.89</v>
      </c>
      <c r="F243">
        <v>759034</v>
      </c>
      <c r="G243" s="5">
        <v>43164</v>
      </c>
    </row>
    <row r="244" spans="1:7" x14ac:dyDescent="0.4">
      <c r="A244">
        <v>43</v>
      </c>
      <c r="B244" t="s">
        <v>1145</v>
      </c>
      <c r="C244" s="10">
        <v>3.85</v>
      </c>
      <c r="D244" s="10">
        <v>0.31</v>
      </c>
      <c r="E244" s="16">
        <v>8.76</v>
      </c>
      <c r="F244">
        <v>50370</v>
      </c>
      <c r="G244" s="5">
        <v>43164</v>
      </c>
    </row>
    <row r="245" spans="1:7" x14ac:dyDescent="0.4">
      <c r="A245">
        <v>44</v>
      </c>
      <c r="B245" t="s">
        <v>1146</v>
      </c>
      <c r="C245" s="10">
        <v>50.31</v>
      </c>
      <c r="D245" s="10">
        <v>4.03</v>
      </c>
      <c r="E245" s="16">
        <v>8.7100000000000009</v>
      </c>
      <c r="F245">
        <v>204899</v>
      </c>
      <c r="G245" s="5">
        <v>43164</v>
      </c>
    </row>
    <row r="246" spans="1:7" x14ac:dyDescent="0.4">
      <c r="A246">
        <v>45</v>
      </c>
      <c r="B246" t="s">
        <v>278</v>
      </c>
      <c r="C246" s="10">
        <v>7.86</v>
      </c>
      <c r="D246" s="10">
        <v>0.62</v>
      </c>
      <c r="E246" s="16">
        <v>8.49</v>
      </c>
      <c r="F246">
        <v>165945</v>
      </c>
      <c r="G246" s="5">
        <v>43164</v>
      </c>
    </row>
    <row r="247" spans="1:7" x14ac:dyDescent="0.4">
      <c r="A247">
        <v>46</v>
      </c>
      <c r="B247" t="s">
        <v>443</v>
      </c>
      <c r="C247" s="10">
        <v>5.75</v>
      </c>
      <c r="D247" s="10">
        <v>0.45</v>
      </c>
      <c r="E247" s="16">
        <v>8.49</v>
      </c>
      <c r="F247">
        <v>17946</v>
      </c>
      <c r="G247" s="5">
        <v>43164</v>
      </c>
    </row>
    <row r="248" spans="1:7" x14ac:dyDescent="0.4">
      <c r="A248">
        <v>47</v>
      </c>
      <c r="B248" t="s">
        <v>568</v>
      </c>
      <c r="C248" s="10">
        <v>2.44</v>
      </c>
      <c r="D248" s="10">
        <v>0.19</v>
      </c>
      <c r="E248" s="16">
        <v>8.44</v>
      </c>
      <c r="F248">
        <v>2093849</v>
      </c>
      <c r="G248" s="5">
        <v>43164</v>
      </c>
    </row>
    <row r="249" spans="1:7" x14ac:dyDescent="0.4">
      <c r="A249">
        <v>48</v>
      </c>
      <c r="B249" t="s">
        <v>402</v>
      </c>
      <c r="C249" s="10">
        <v>10.41</v>
      </c>
      <c r="D249" s="10">
        <v>0.8</v>
      </c>
      <c r="E249" s="16">
        <v>8.32</v>
      </c>
      <c r="F249">
        <v>423743</v>
      </c>
      <c r="G249" s="5">
        <v>43164</v>
      </c>
    </row>
    <row r="250" spans="1:7" x14ac:dyDescent="0.4">
      <c r="A250">
        <v>49</v>
      </c>
      <c r="B250" t="s">
        <v>30</v>
      </c>
      <c r="C250" s="10">
        <v>4.4400000000000004</v>
      </c>
      <c r="D250" s="10">
        <v>0.34</v>
      </c>
      <c r="E250" s="16">
        <v>8.2899999999999991</v>
      </c>
      <c r="F250">
        <v>29214</v>
      </c>
      <c r="G250" s="5">
        <v>43164</v>
      </c>
    </row>
    <row r="251" spans="1:7" x14ac:dyDescent="0.4">
      <c r="A251">
        <v>50</v>
      </c>
      <c r="B251" t="s">
        <v>1147</v>
      </c>
      <c r="C251" s="10">
        <v>5.63</v>
      </c>
      <c r="D251" s="10">
        <v>0.43</v>
      </c>
      <c r="E251" s="16">
        <v>8.26</v>
      </c>
      <c r="F251">
        <v>34784</v>
      </c>
      <c r="G251" s="5">
        <v>43164</v>
      </c>
    </row>
    <row r="252" spans="1:7" x14ac:dyDescent="0.4">
      <c r="A252">
        <v>51</v>
      </c>
      <c r="B252" t="s">
        <v>985</v>
      </c>
      <c r="C252" s="10">
        <v>2.77</v>
      </c>
      <c r="D252" s="10">
        <v>0.21</v>
      </c>
      <c r="E252" s="16">
        <v>8.1999999999999993</v>
      </c>
      <c r="F252">
        <v>63757</v>
      </c>
      <c r="G252" s="5">
        <v>43164</v>
      </c>
    </row>
    <row r="253" spans="1:7" x14ac:dyDescent="0.4">
      <c r="A253">
        <v>52</v>
      </c>
      <c r="B253" t="s">
        <v>248</v>
      </c>
      <c r="C253" s="10">
        <v>3.71</v>
      </c>
      <c r="D253" s="10">
        <v>0.28000000000000003</v>
      </c>
      <c r="E253" s="16">
        <v>8.16</v>
      </c>
      <c r="F253">
        <v>3528238</v>
      </c>
      <c r="G253" s="5">
        <v>43164</v>
      </c>
    </row>
    <row r="254" spans="1:7" x14ac:dyDescent="0.4">
      <c r="A254">
        <v>53</v>
      </c>
      <c r="B254" t="s">
        <v>1148</v>
      </c>
      <c r="C254" s="10">
        <v>42.03</v>
      </c>
      <c r="D254" s="10">
        <v>3.16</v>
      </c>
      <c r="E254" s="16">
        <v>8.1300000000000008</v>
      </c>
      <c r="F254">
        <v>9938548</v>
      </c>
      <c r="G254" s="5">
        <v>43164</v>
      </c>
    </row>
    <row r="255" spans="1:7" x14ac:dyDescent="0.4">
      <c r="A255">
        <v>54</v>
      </c>
      <c r="B255" t="s">
        <v>1149</v>
      </c>
      <c r="C255" s="10">
        <v>15.93</v>
      </c>
      <c r="D255" s="10">
        <v>1.19</v>
      </c>
      <c r="E255" s="16">
        <v>8.07</v>
      </c>
      <c r="F255">
        <v>659673</v>
      </c>
      <c r="G255" s="5">
        <v>43164</v>
      </c>
    </row>
    <row r="256" spans="1:7" x14ac:dyDescent="0.4">
      <c r="A256">
        <v>55</v>
      </c>
      <c r="B256" t="s">
        <v>1150</v>
      </c>
      <c r="C256" s="10">
        <v>20.7</v>
      </c>
      <c r="D256" s="10">
        <v>1.52</v>
      </c>
      <c r="E256" s="16">
        <v>7.95</v>
      </c>
      <c r="F256">
        <v>15389</v>
      </c>
      <c r="G256" s="5">
        <v>43164</v>
      </c>
    </row>
    <row r="257" spans="1:7" x14ac:dyDescent="0.4">
      <c r="A257">
        <v>56</v>
      </c>
      <c r="B257" t="s">
        <v>1151</v>
      </c>
      <c r="C257" s="10">
        <v>6.32</v>
      </c>
      <c r="D257" s="10">
        <v>0.46</v>
      </c>
      <c r="E257" s="16">
        <v>7.85</v>
      </c>
      <c r="F257">
        <v>207377</v>
      </c>
      <c r="G257" s="5">
        <v>43164</v>
      </c>
    </row>
    <row r="258" spans="1:7" x14ac:dyDescent="0.4">
      <c r="A258">
        <v>57</v>
      </c>
      <c r="B258" t="s">
        <v>1152</v>
      </c>
      <c r="C258" s="10">
        <v>5.55</v>
      </c>
      <c r="D258" s="10">
        <v>0.4</v>
      </c>
      <c r="E258" s="16">
        <v>7.77</v>
      </c>
      <c r="F258">
        <v>202653</v>
      </c>
      <c r="G258" s="5">
        <v>43164</v>
      </c>
    </row>
    <row r="259" spans="1:7" x14ac:dyDescent="0.4">
      <c r="A259">
        <v>58</v>
      </c>
      <c r="B259" t="s">
        <v>1117</v>
      </c>
      <c r="C259" s="10">
        <v>2.52</v>
      </c>
      <c r="D259" s="10">
        <v>0.18</v>
      </c>
      <c r="E259" s="16">
        <v>7.69</v>
      </c>
      <c r="F259">
        <v>2953072</v>
      </c>
      <c r="G259" s="5">
        <v>43164</v>
      </c>
    </row>
    <row r="260" spans="1:7" x14ac:dyDescent="0.4">
      <c r="A260">
        <v>59</v>
      </c>
      <c r="B260" t="s">
        <v>1153</v>
      </c>
      <c r="C260" s="10">
        <v>2.38</v>
      </c>
      <c r="D260" s="10">
        <v>0.17</v>
      </c>
      <c r="E260" s="16">
        <v>7.69</v>
      </c>
      <c r="F260">
        <v>3351161</v>
      </c>
      <c r="G260" s="5">
        <v>43164</v>
      </c>
    </row>
    <row r="261" spans="1:7" x14ac:dyDescent="0.4">
      <c r="A261">
        <v>60</v>
      </c>
      <c r="B261" t="s">
        <v>1049</v>
      </c>
      <c r="C261" s="10">
        <v>7.58</v>
      </c>
      <c r="D261" s="10">
        <v>0.54</v>
      </c>
      <c r="E261" s="16">
        <v>7.67</v>
      </c>
      <c r="F261">
        <v>196154</v>
      </c>
      <c r="G261" s="5">
        <v>43164</v>
      </c>
    </row>
    <row r="262" spans="1:7" x14ac:dyDescent="0.4">
      <c r="A262">
        <v>61</v>
      </c>
      <c r="B262" t="s">
        <v>1154</v>
      </c>
      <c r="C262" s="10">
        <v>17.55</v>
      </c>
      <c r="D262" s="10">
        <v>1.24</v>
      </c>
      <c r="E262" s="16">
        <v>7.6</v>
      </c>
      <c r="F262">
        <v>6111894</v>
      </c>
      <c r="G262" s="5">
        <v>43164</v>
      </c>
    </row>
    <row r="263" spans="1:7" x14ac:dyDescent="0.4">
      <c r="A263">
        <v>62</v>
      </c>
      <c r="B263" t="s">
        <v>1155</v>
      </c>
      <c r="C263" s="10">
        <v>10.48</v>
      </c>
      <c r="D263" s="10">
        <v>0.74</v>
      </c>
      <c r="E263" s="16">
        <v>7.6</v>
      </c>
      <c r="F263">
        <v>238162</v>
      </c>
      <c r="G263" s="5">
        <v>43164</v>
      </c>
    </row>
    <row r="264" spans="1:7" x14ac:dyDescent="0.4">
      <c r="A264">
        <v>63</v>
      </c>
      <c r="B264" t="s">
        <v>1156</v>
      </c>
      <c r="C264" s="10">
        <v>135.75</v>
      </c>
      <c r="D264" s="10">
        <v>9.4600000000000009</v>
      </c>
      <c r="E264" s="16">
        <v>7.49</v>
      </c>
      <c r="F264">
        <v>591819</v>
      </c>
      <c r="G264" s="5">
        <v>43164</v>
      </c>
    </row>
    <row r="265" spans="1:7" x14ac:dyDescent="0.4">
      <c r="A265">
        <v>64</v>
      </c>
      <c r="B265" t="s">
        <v>1157</v>
      </c>
      <c r="C265" s="10">
        <v>11.15</v>
      </c>
      <c r="D265" s="10">
        <v>0.78</v>
      </c>
      <c r="E265" s="16">
        <v>7.47</v>
      </c>
      <c r="F265">
        <v>719294</v>
      </c>
      <c r="G265" s="5">
        <v>43164</v>
      </c>
    </row>
    <row r="266" spans="1:7" x14ac:dyDescent="0.4">
      <c r="A266">
        <v>65</v>
      </c>
      <c r="B266" t="s">
        <v>446</v>
      </c>
      <c r="C266" s="10">
        <v>42.16</v>
      </c>
      <c r="D266" s="10">
        <v>2.93</v>
      </c>
      <c r="E266" s="16">
        <v>7.47</v>
      </c>
      <c r="F266">
        <v>13509</v>
      </c>
      <c r="G266" s="5">
        <v>43164</v>
      </c>
    </row>
    <row r="267" spans="1:7" x14ac:dyDescent="0.4">
      <c r="A267">
        <v>66</v>
      </c>
      <c r="B267" t="s">
        <v>712</v>
      </c>
      <c r="C267" s="10">
        <v>2.46</v>
      </c>
      <c r="D267" s="10">
        <v>0.17</v>
      </c>
      <c r="E267" s="16">
        <v>7.42</v>
      </c>
      <c r="F267">
        <v>210482</v>
      </c>
      <c r="G267" s="5">
        <v>43164</v>
      </c>
    </row>
    <row r="268" spans="1:7" x14ac:dyDescent="0.4">
      <c r="A268">
        <v>67</v>
      </c>
      <c r="B268" t="s">
        <v>1158</v>
      </c>
      <c r="C268" s="10">
        <v>76.3</v>
      </c>
      <c r="D268" s="10">
        <v>5.25</v>
      </c>
      <c r="E268" s="16">
        <v>7.39</v>
      </c>
      <c r="F268">
        <v>1737317</v>
      </c>
      <c r="G268" s="5">
        <v>43164</v>
      </c>
    </row>
    <row r="269" spans="1:7" x14ac:dyDescent="0.4">
      <c r="A269">
        <v>68</v>
      </c>
      <c r="B269" t="s">
        <v>1159</v>
      </c>
      <c r="C269" s="10">
        <v>51.53</v>
      </c>
      <c r="D269" s="10">
        <v>3.51</v>
      </c>
      <c r="E269" s="16">
        <v>7.31</v>
      </c>
      <c r="F269">
        <v>1375790</v>
      </c>
      <c r="G269" s="5">
        <v>43164</v>
      </c>
    </row>
    <row r="270" spans="1:7" x14ac:dyDescent="0.4">
      <c r="A270">
        <v>69</v>
      </c>
      <c r="B270" t="s">
        <v>303</v>
      </c>
      <c r="C270" s="10">
        <v>2.36</v>
      </c>
      <c r="D270" s="10">
        <v>0.16</v>
      </c>
      <c r="E270" s="16">
        <v>7.27</v>
      </c>
      <c r="F270">
        <v>66418</v>
      </c>
      <c r="G270" s="5">
        <v>43164</v>
      </c>
    </row>
    <row r="271" spans="1:7" x14ac:dyDescent="0.4">
      <c r="A271">
        <v>70</v>
      </c>
      <c r="B271" t="s">
        <v>1160</v>
      </c>
      <c r="C271" s="10">
        <v>21.81</v>
      </c>
      <c r="D271" s="10">
        <v>1.47</v>
      </c>
      <c r="E271" s="16">
        <v>7.23</v>
      </c>
      <c r="F271">
        <v>1522326</v>
      </c>
      <c r="G271" s="5">
        <v>43164</v>
      </c>
    </row>
    <row r="272" spans="1:7" x14ac:dyDescent="0.4">
      <c r="A272">
        <v>71</v>
      </c>
      <c r="B272" t="s">
        <v>35</v>
      </c>
      <c r="C272" s="10">
        <v>5.22</v>
      </c>
      <c r="D272" s="10">
        <v>0.35</v>
      </c>
      <c r="E272" s="16">
        <v>7.19</v>
      </c>
      <c r="F272">
        <v>188204</v>
      </c>
      <c r="G272" s="5">
        <v>43164</v>
      </c>
    </row>
    <row r="273" spans="1:7" x14ac:dyDescent="0.4">
      <c r="A273">
        <v>72</v>
      </c>
      <c r="B273" t="s">
        <v>424</v>
      </c>
      <c r="C273" s="10">
        <v>3</v>
      </c>
      <c r="D273" s="10">
        <v>0.2</v>
      </c>
      <c r="E273" s="16">
        <v>7.14</v>
      </c>
      <c r="F273">
        <v>528384</v>
      </c>
      <c r="G273" s="5">
        <v>43164</v>
      </c>
    </row>
    <row r="274" spans="1:7" x14ac:dyDescent="0.4">
      <c r="A274">
        <v>73</v>
      </c>
      <c r="B274" t="s">
        <v>944</v>
      </c>
      <c r="C274" s="10">
        <v>31</v>
      </c>
      <c r="D274" s="10">
        <v>2.06</v>
      </c>
      <c r="E274" s="16">
        <v>7.12</v>
      </c>
      <c r="F274">
        <v>725311</v>
      </c>
      <c r="G274" s="5">
        <v>43164</v>
      </c>
    </row>
    <row r="275" spans="1:7" x14ac:dyDescent="0.4">
      <c r="A275">
        <v>74</v>
      </c>
      <c r="B275" t="s">
        <v>886</v>
      </c>
      <c r="C275" s="10">
        <v>7.55</v>
      </c>
      <c r="D275" s="10">
        <v>0.5</v>
      </c>
      <c r="E275" s="16">
        <v>7.09</v>
      </c>
      <c r="F275">
        <v>98859</v>
      </c>
      <c r="G275" s="5">
        <v>43164</v>
      </c>
    </row>
    <row r="276" spans="1:7" x14ac:dyDescent="0.4">
      <c r="A276">
        <v>75</v>
      </c>
      <c r="B276" t="s">
        <v>1161</v>
      </c>
      <c r="C276" s="10">
        <v>18.899999999999999</v>
      </c>
      <c r="D276" s="10">
        <v>1.25</v>
      </c>
      <c r="E276" s="16">
        <v>7.08</v>
      </c>
      <c r="F276">
        <v>17513</v>
      </c>
      <c r="G276" s="5">
        <v>43164</v>
      </c>
    </row>
    <row r="277" spans="1:7" x14ac:dyDescent="0.4">
      <c r="A277">
        <v>76</v>
      </c>
      <c r="B277" t="s">
        <v>1162</v>
      </c>
      <c r="C277" s="10">
        <v>6.05</v>
      </c>
      <c r="D277" s="10">
        <v>0.4</v>
      </c>
      <c r="E277" s="16">
        <v>7.08</v>
      </c>
      <c r="F277">
        <v>11214</v>
      </c>
      <c r="G277" s="5">
        <v>43164</v>
      </c>
    </row>
    <row r="278" spans="1:7" x14ac:dyDescent="0.4">
      <c r="A278">
        <v>77</v>
      </c>
      <c r="B278" t="s">
        <v>44</v>
      </c>
      <c r="C278" s="10">
        <v>23.5</v>
      </c>
      <c r="D278" s="10">
        <v>1.55</v>
      </c>
      <c r="E278" s="16">
        <v>7.06</v>
      </c>
      <c r="F278">
        <v>1145990</v>
      </c>
      <c r="G278" s="5">
        <v>43164</v>
      </c>
    </row>
    <row r="279" spans="1:7" x14ac:dyDescent="0.4">
      <c r="A279">
        <v>78</v>
      </c>
      <c r="B279" t="s">
        <v>1097</v>
      </c>
      <c r="C279" s="10">
        <v>5.03</v>
      </c>
      <c r="D279" s="10">
        <v>0.33</v>
      </c>
      <c r="E279" s="16">
        <v>7.03</v>
      </c>
      <c r="F279">
        <v>80645</v>
      </c>
      <c r="G279" s="5">
        <v>43164</v>
      </c>
    </row>
    <row r="280" spans="1:7" x14ac:dyDescent="0.4">
      <c r="A280">
        <v>79</v>
      </c>
      <c r="B280" t="s">
        <v>161</v>
      </c>
      <c r="C280" s="10">
        <v>4.57</v>
      </c>
      <c r="D280" s="10">
        <v>0.3</v>
      </c>
      <c r="E280" s="16">
        <v>7.03</v>
      </c>
      <c r="F280">
        <v>380653</v>
      </c>
      <c r="G280" s="5">
        <v>43164</v>
      </c>
    </row>
    <row r="281" spans="1:7" x14ac:dyDescent="0.4">
      <c r="A281">
        <v>80</v>
      </c>
      <c r="B281" t="s">
        <v>1163</v>
      </c>
      <c r="C281" s="10">
        <v>2.14</v>
      </c>
      <c r="D281" s="10">
        <v>0.14000000000000001</v>
      </c>
      <c r="E281" s="16">
        <v>7</v>
      </c>
      <c r="F281">
        <v>181680</v>
      </c>
      <c r="G281" s="5">
        <v>43164</v>
      </c>
    </row>
    <row r="282" spans="1:7" x14ac:dyDescent="0.4">
      <c r="A282">
        <v>81</v>
      </c>
      <c r="B282" t="s">
        <v>1164</v>
      </c>
      <c r="C282" s="10">
        <v>3.68</v>
      </c>
      <c r="D282" s="10">
        <v>0.24</v>
      </c>
      <c r="E282" s="16">
        <v>6.98</v>
      </c>
      <c r="F282">
        <v>589905</v>
      </c>
      <c r="G282" s="5">
        <v>43164</v>
      </c>
    </row>
    <row r="283" spans="1:7" x14ac:dyDescent="0.4">
      <c r="A283">
        <v>82</v>
      </c>
      <c r="B283" t="s">
        <v>520</v>
      </c>
      <c r="C283" s="10">
        <v>26.48</v>
      </c>
      <c r="D283" s="10">
        <v>1.72</v>
      </c>
      <c r="E283" s="16">
        <v>6.95</v>
      </c>
      <c r="F283">
        <v>8504</v>
      </c>
      <c r="G283" s="5">
        <v>43164</v>
      </c>
    </row>
    <row r="284" spans="1:7" x14ac:dyDescent="0.4">
      <c r="A284">
        <v>83</v>
      </c>
      <c r="B284" t="s">
        <v>1165</v>
      </c>
      <c r="C284" s="10">
        <v>134.13999999999999</v>
      </c>
      <c r="D284" s="10">
        <v>8.7100000000000009</v>
      </c>
      <c r="E284" s="16">
        <v>6.94</v>
      </c>
      <c r="F284">
        <v>202557</v>
      </c>
      <c r="G284" s="5">
        <v>43164</v>
      </c>
    </row>
    <row r="285" spans="1:7" x14ac:dyDescent="0.4">
      <c r="A285">
        <v>84</v>
      </c>
      <c r="B285" t="s">
        <v>1166</v>
      </c>
      <c r="C285" s="10">
        <v>16.14</v>
      </c>
      <c r="D285" s="10">
        <v>1.04</v>
      </c>
      <c r="E285" s="16">
        <v>6.89</v>
      </c>
      <c r="F285">
        <v>186608</v>
      </c>
      <c r="G285" s="5">
        <v>43164</v>
      </c>
    </row>
    <row r="286" spans="1:7" x14ac:dyDescent="0.4">
      <c r="A286">
        <v>85</v>
      </c>
      <c r="B286" t="s">
        <v>1167</v>
      </c>
      <c r="C286" s="10">
        <v>4.84</v>
      </c>
      <c r="D286" s="10">
        <v>0.31</v>
      </c>
      <c r="E286" s="16">
        <v>6.84</v>
      </c>
      <c r="F286">
        <v>1767445</v>
      </c>
      <c r="G286" s="5">
        <v>43164</v>
      </c>
    </row>
    <row r="287" spans="1:7" x14ac:dyDescent="0.4">
      <c r="A287">
        <v>86</v>
      </c>
      <c r="B287" t="s">
        <v>1091</v>
      </c>
      <c r="C287" s="10">
        <v>16.66</v>
      </c>
      <c r="D287" s="10">
        <v>1.06</v>
      </c>
      <c r="E287" s="16">
        <v>6.83</v>
      </c>
      <c r="F287">
        <v>2440</v>
      </c>
      <c r="G287" s="5">
        <v>43164</v>
      </c>
    </row>
    <row r="288" spans="1:7" x14ac:dyDescent="0.4">
      <c r="A288">
        <v>87</v>
      </c>
      <c r="B288" t="s">
        <v>1168</v>
      </c>
      <c r="C288" s="10">
        <v>2.5299999999999998</v>
      </c>
      <c r="D288" s="10">
        <v>0.16</v>
      </c>
      <c r="E288" s="16">
        <v>6.75</v>
      </c>
      <c r="F288">
        <v>66576</v>
      </c>
      <c r="G288" s="5">
        <v>43164</v>
      </c>
    </row>
    <row r="289" spans="1:7" x14ac:dyDescent="0.4">
      <c r="A289">
        <v>88</v>
      </c>
      <c r="B289" t="s">
        <v>899</v>
      </c>
      <c r="C289" s="10">
        <v>20.56</v>
      </c>
      <c r="D289" s="10">
        <v>1.3</v>
      </c>
      <c r="E289" s="16">
        <v>6.75</v>
      </c>
      <c r="F289">
        <v>729177</v>
      </c>
      <c r="G289" s="5">
        <v>43164</v>
      </c>
    </row>
    <row r="290" spans="1:7" x14ac:dyDescent="0.4">
      <c r="A290">
        <v>89</v>
      </c>
      <c r="B290" t="s">
        <v>472</v>
      </c>
      <c r="C290" s="10">
        <v>99.91</v>
      </c>
      <c r="D290" s="10">
        <v>6.27</v>
      </c>
      <c r="E290" s="16">
        <v>6.7</v>
      </c>
      <c r="F290">
        <v>89951</v>
      </c>
      <c r="G290" s="5">
        <v>43164</v>
      </c>
    </row>
    <row r="291" spans="1:7" x14ac:dyDescent="0.4">
      <c r="A291">
        <v>90</v>
      </c>
      <c r="B291" t="s">
        <v>1113</v>
      </c>
      <c r="C291" s="10">
        <v>11.25</v>
      </c>
      <c r="D291" s="10">
        <v>0.7</v>
      </c>
      <c r="E291" s="16">
        <v>6.64</v>
      </c>
      <c r="F291">
        <v>56509</v>
      </c>
      <c r="G291" s="5">
        <v>43164</v>
      </c>
    </row>
    <row r="292" spans="1:7" x14ac:dyDescent="0.4">
      <c r="A292">
        <v>91</v>
      </c>
      <c r="B292" t="s">
        <v>748</v>
      </c>
      <c r="C292" s="10">
        <v>62.83</v>
      </c>
      <c r="D292" s="10">
        <v>3.91</v>
      </c>
      <c r="E292" s="16">
        <v>6.63</v>
      </c>
      <c r="F292">
        <v>93706</v>
      </c>
      <c r="G292" s="5">
        <v>43164</v>
      </c>
    </row>
    <row r="293" spans="1:7" x14ac:dyDescent="0.4">
      <c r="A293">
        <v>92</v>
      </c>
      <c r="B293" t="s">
        <v>1169</v>
      </c>
      <c r="C293" s="10">
        <v>14.74</v>
      </c>
      <c r="D293" s="10">
        <v>0.91</v>
      </c>
      <c r="E293" s="16">
        <v>6.58</v>
      </c>
      <c r="F293">
        <v>106567</v>
      </c>
      <c r="G293" s="5">
        <v>43164</v>
      </c>
    </row>
    <row r="294" spans="1:7" x14ac:dyDescent="0.4">
      <c r="A294">
        <v>93</v>
      </c>
      <c r="B294" t="s">
        <v>1170</v>
      </c>
      <c r="C294" s="10">
        <v>5.36</v>
      </c>
      <c r="D294" s="10">
        <v>0.33</v>
      </c>
      <c r="E294" s="16">
        <v>6.56</v>
      </c>
      <c r="F294">
        <v>1124862</v>
      </c>
      <c r="G294" s="5">
        <v>43164</v>
      </c>
    </row>
    <row r="295" spans="1:7" x14ac:dyDescent="0.4">
      <c r="A295">
        <v>94</v>
      </c>
      <c r="B295" t="s">
        <v>1171</v>
      </c>
      <c r="C295" s="10">
        <v>6.01</v>
      </c>
      <c r="D295" s="10">
        <v>0.37</v>
      </c>
      <c r="E295" s="16">
        <v>6.56</v>
      </c>
      <c r="F295">
        <v>7053493</v>
      </c>
      <c r="G295" s="5">
        <v>43164</v>
      </c>
    </row>
    <row r="296" spans="1:7" x14ac:dyDescent="0.4">
      <c r="A296">
        <v>95</v>
      </c>
      <c r="B296" t="s">
        <v>1172</v>
      </c>
      <c r="C296" s="10">
        <v>9.75</v>
      </c>
      <c r="D296" s="10">
        <v>0.6</v>
      </c>
      <c r="E296" s="16">
        <v>6.56</v>
      </c>
      <c r="F296">
        <v>598799</v>
      </c>
      <c r="G296" s="5">
        <v>43164</v>
      </c>
    </row>
    <row r="297" spans="1:7" x14ac:dyDescent="0.4">
      <c r="A297">
        <v>96</v>
      </c>
      <c r="B297" t="s">
        <v>296</v>
      </c>
      <c r="C297" s="10">
        <v>5.69</v>
      </c>
      <c r="D297" s="10">
        <v>0.35</v>
      </c>
      <c r="E297" s="16">
        <v>6.55</v>
      </c>
      <c r="F297">
        <v>75969</v>
      </c>
      <c r="G297" s="5">
        <v>43164</v>
      </c>
    </row>
    <row r="298" spans="1:7" x14ac:dyDescent="0.4">
      <c r="A298">
        <v>97</v>
      </c>
      <c r="B298" t="s">
        <v>1173</v>
      </c>
      <c r="C298" s="10">
        <v>16.3</v>
      </c>
      <c r="D298" s="10">
        <v>1</v>
      </c>
      <c r="E298" s="16">
        <v>6.54</v>
      </c>
      <c r="F298">
        <v>1682995</v>
      </c>
      <c r="G298" s="5">
        <v>43164</v>
      </c>
    </row>
    <row r="299" spans="1:7" x14ac:dyDescent="0.4">
      <c r="A299">
        <v>98</v>
      </c>
      <c r="B299" t="s">
        <v>39</v>
      </c>
      <c r="C299" s="10">
        <v>2.77</v>
      </c>
      <c r="D299" s="10">
        <v>0.17</v>
      </c>
      <c r="E299" s="16">
        <v>6.53</v>
      </c>
      <c r="F299">
        <v>1266042</v>
      </c>
      <c r="G299" s="5">
        <v>43164</v>
      </c>
    </row>
    <row r="300" spans="1:7" x14ac:dyDescent="0.4">
      <c r="A300">
        <v>99</v>
      </c>
      <c r="B300" t="s">
        <v>1174</v>
      </c>
      <c r="C300" s="10">
        <v>3.45</v>
      </c>
      <c r="D300" s="10">
        <v>0.21</v>
      </c>
      <c r="E300" s="16">
        <v>6.48</v>
      </c>
      <c r="F300">
        <v>81576</v>
      </c>
      <c r="G300" s="5">
        <v>43164</v>
      </c>
    </row>
    <row r="301" spans="1:7" x14ac:dyDescent="0.4">
      <c r="A301">
        <v>100</v>
      </c>
      <c r="B301" t="s">
        <v>1175</v>
      </c>
      <c r="C301" s="10">
        <v>9.1999999999999993</v>
      </c>
      <c r="D301" s="10">
        <v>0.56000000000000005</v>
      </c>
      <c r="E301" s="16">
        <v>6.48</v>
      </c>
      <c r="F301">
        <v>14559</v>
      </c>
      <c r="G301" s="5">
        <v>43164</v>
      </c>
    </row>
    <row r="302" spans="1:7" x14ac:dyDescent="0.4">
      <c r="A302">
        <v>1</v>
      </c>
      <c r="B302" t="s">
        <v>278</v>
      </c>
      <c r="C302" s="10">
        <v>11</v>
      </c>
      <c r="D302" s="10">
        <v>3.15</v>
      </c>
      <c r="E302" s="16">
        <v>40.04</v>
      </c>
      <c r="F302">
        <v>1208564</v>
      </c>
      <c r="G302" s="5">
        <v>43165</v>
      </c>
    </row>
    <row r="303" spans="1:7" x14ac:dyDescent="0.4">
      <c r="A303">
        <v>2</v>
      </c>
      <c r="B303" t="s">
        <v>518</v>
      </c>
      <c r="C303" s="10">
        <v>48.21</v>
      </c>
      <c r="D303" s="10">
        <v>11.44</v>
      </c>
      <c r="E303" s="16">
        <v>31.11</v>
      </c>
      <c r="F303">
        <v>19006366</v>
      </c>
      <c r="G303" s="5">
        <v>43165</v>
      </c>
    </row>
    <row r="304" spans="1:7" x14ac:dyDescent="0.4">
      <c r="A304">
        <v>3</v>
      </c>
      <c r="B304" t="s">
        <v>1079</v>
      </c>
      <c r="C304" s="10">
        <v>22.42</v>
      </c>
      <c r="D304" s="10">
        <v>4.95</v>
      </c>
      <c r="E304" s="16">
        <v>28.33</v>
      </c>
      <c r="F304">
        <v>4077747</v>
      </c>
      <c r="G304" s="5">
        <v>43165</v>
      </c>
    </row>
    <row r="305" spans="1:7" x14ac:dyDescent="0.4">
      <c r="A305">
        <v>4</v>
      </c>
      <c r="B305" t="s">
        <v>1050</v>
      </c>
      <c r="C305" s="10">
        <v>12.95</v>
      </c>
      <c r="D305" s="10">
        <v>2.62</v>
      </c>
      <c r="E305" s="16">
        <v>25.36</v>
      </c>
      <c r="F305">
        <v>7900086</v>
      </c>
      <c r="G305" s="5">
        <v>43165</v>
      </c>
    </row>
    <row r="306" spans="1:7" x14ac:dyDescent="0.4">
      <c r="A306">
        <v>5</v>
      </c>
      <c r="B306" t="s">
        <v>139</v>
      </c>
      <c r="C306" s="10">
        <v>9.2799999999999994</v>
      </c>
      <c r="D306" s="10">
        <v>1.83</v>
      </c>
      <c r="E306" s="16">
        <v>24.56</v>
      </c>
      <c r="F306">
        <v>3215826</v>
      </c>
      <c r="G306" s="5">
        <v>43165</v>
      </c>
    </row>
    <row r="307" spans="1:7" x14ac:dyDescent="0.4">
      <c r="A307">
        <v>6</v>
      </c>
      <c r="B307" t="s">
        <v>1080</v>
      </c>
      <c r="C307" s="10">
        <v>22.5</v>
      </c>
      <c r="D307" s="10">
        <v>4.2300000000000004</v>
      </c>
      <c r="E307" s="16">
        <v>23.15</v>
      </c>
      <c r="F307">
        <v>5412416</v>
      </c>
      <c r="G307" s="5">
        <v>43165</v>
      </c>
    </row>
    <row r="308" spans="1:7" x14ac:dyDescent="0.4">
      <c r="A308">
        <v>7</v>
      </c>
      <c r="B308" t="s">
        <v>250</v>
      </c>
      <c r="C308" s="10">
        <v>3.4</v>
      </c>
      <c r="D308" s="10">
        <v>0.55000000000000004</v>
      </c>
      <c r="E308" s="16">
        <v>19.45</v>
      </c>
      <c r="F308">
        <v>118262</v>
      </c>
      <c r="G308" s="5">
        <v>43165</v>
      </c>
    </row>
    <row r="309" spans="1:7" x14ac:dyDescent="0.4">
      <c r="A309">
        <v>8</v>
      </c>
      <c r="B309" t="s">
        <v>1081</v>
      </c>
      <c r="C309" s="10">
        <v>5.6</v>
      </c>
      <c r="D309" s="10">
        <v>0.9</v>
      </c>
      <c r="E309" s="16">
        <v>19.149999999999999</v>
      </c>
      <c r="F309">
        <v>230547</v>
      </c>
      <c r="G309" s="5">
        <v>43165</v>
      </c>
    </row>
    <row r="310" spans="1:7" x14ac:dyDescent="0.4">
      <c r="A310">
        <v>9</v>
      </c>
      <c r="B310" t="s">
        <v>917</v>
      </c>
      <c r="C310" s="10">
        <v>9.9</v>
      </c>
      <c r="D310" s="10">
        <v>1.55</v>
      </c>
      <c r="E310" s="16">
        <v>18.559999999999999</v>
      </c>
      <c r="F310">
        <v>488797</v>
      </c>
      <c r="G310" s="5">
        <v>43165</v>
      </c>
    </row>
    <row r="311" spans="1:7" x14ac:dyDescent="0.4">
      <c r="A311">
        <v>10</v>
      </c>
      <c r="B311" t="s">
        <v>739</v>
      </c>
      <c r="C311" s="10">
        <v>9.35</v>
      </c>
      <c r="D311" s="10">
        <v>1.41</v>
      </c>
      <c r="E311" s="16">
        <v>17.760000000000002</v>
      </c>
      <c r="F311">
        <v>251915</v>
      </c>
      <c r="G311" s="5">
        <v>43165</v>
      </c>
    </row>
    <row r="312" spans="1:7" x14ac:dyDescent="0.4">
      <c r="A312">
        <v>11</v>
      </c>
      <c r="B312" t="s">
        <v>1082</v>
      </c>
      <c r="C312" s="10">
        <v>2.33</v>
      </c>
      <c r="D312" s="10">
        <v>0.33</v>
      </c>
      <c r="E312" s="16">
        <v>16.5</v>
      </c>
      <c r="F312">
        <v>9616600</v>
      </c>
      <c r="G312" s="5">
        <v>43165</v>
      </c>
    </row>
    <row r="313" spans="1:7" x14ac:dyDescent="0.4">
      <c r="A313">
        <v>12</v>
      </c>
      <c r="B313" t="s">
        <v>913</v>
      </c>
      <c r="C313" s="10">
        <v>4.43</v>
      </c>
      <c r="D313" s="10">
        <v>0.6</v>
      </c>
      <c r="E313" s="16">
        <v>15.52</v>
      </c>
      <c r="F313">
        <v>25067</v>
      </c>
      <c r="G313" s="5">
        <v>43165</v>
      </c>
    </row>
    <row r="314" spans="1:7" x14ac:dyDescent="0.4">
      <c r="A314">
        <v>13</v>
      </c>
      <c r="B314" t="s">
        <v>1083</v>
      </c>
      <c r="C314" s="10">
        <v>6</v>
      </c>
      <c r="D314" s="10">
        <v>0.73</v>
      </c>
      <c r="E314" s="16">
        <v>13.85</v>
      </c>
      <c r="F314">
        <v>222806</v>
      </c>
      <c r="G314" s="5">
        <v>43165</v>
      </c>
    </row>
    <row r="315" spans="1:7" x14ac:dyDescent="0.4">
      <c r="A315">
        <v>14</v>
      </c>
      <c r="B315" t="s">
        <v>740</v>
      </c>
      <c r="C315" s="10">
        <v>2.9</v>
      </c>
      <c r="D315" s="10">
        <v>0.35</v>
      </c>
      <c r="E315" s="16">
        <v>13.73</v>
      </c>
      <c r="F315">
        <v>446604</v>
      </c>
      <c r="G315" s="5">
        <v>43165</v>
      </c>
    </row>
    <row r="316" spans="1:7" x14ac:dyDescent="0.4">
      <c r="A316">
        <v>15</v>
      </c>
      <c r="B316" t="s">
        <v>1084</v>
      </c>
      <c r="C316" s="10">
        <v>41.98</v>
      </c>
      <c r="D316" s="10">
        <v>5.0199999999999996</v>
      </c>
      <c r="E316" s="16">
        <v>13.58</v>
      </c>
      <c r="F316">
        <v>19132</v>
      </c>
      <c r="G316" s="5">
        <v>43165</v>
      </c>
    </row>
    <row r="317" spans="1:7" x14ac:dyDescent="0.4">
      <c r="A317">
        <v>16</v>
      </c>
      <c r="B317" t="s">
        <v>908</v>
      </c>
      <c r="C317" s="10">
        <v>40.15</v>
      </c>
      <c r="D317" s="10">
        <v>4.7</v>
      </c>
      <c r="E317" s="16">
        <v>13.26</v>
      </c>
      <c r="F317">
        <v>293292</v>
      </c>
      <c r="G317" s="5">
        <v>43165</v>
      </c>
    </row>
    <row r="318" spans="1:7" x14ac:dyDescent="0.4">
      <c r="A318">
        <v>17</v>
      </c>
      <c r="B318" t="s">
        <v>1085</v>
      </c>
      <c r="C318" s="10">
        <v>3.25</v>
      </c>
      <c r="D318" s="10">
        <v>0.35</v>
      </c>
      <c r="E318" s="16">
        <v>12.07</v>
      </c>
      <c r="F318">
        <v>289211</v>
      </c>
      <c r="G318" s="5">
        <v>43165</v>
      </c>
    </row>
    <row r="319" spans="1:7" x14ac:dyDescent="0.4">
      <c r="A319">
        <v>18</v>
      </c>
      <c r="B319" t="s">
        <v>779</v>
      </c>
      <c r="C319" s="10">
        <v>2.93</v>
      </c>
      <c r="D319" s="10">
        <v>0.31</v>
      </c>
      <c r="E319" s="16">
        <v>11.83</v>
      </c>
      <c r="F319">
        <v>488992</v>
      </c>
      <c r="G319" s="5">
        <v>43165</v>
      </c>
    </row>
    <row r="320" spans="1:7" x14ac:dyDescent="0.4">
      <c r="A320">
        <v>19</v>
      </c>
      <c r="B320" t="s">
        <v>1086</v>
      </c>
      <c r="C320" s="10">
        <v>26.77</v>
      </c>
      <c r="D320" s="10">
        <v>2.74</v>
      </c>
      <c r="E320" s="16">
        <v>11.4</v>
      </c>
      <c r="F320">
        <v>1656442</v>
      </c>
      <c r="G320" s="5">
        <v>43165</v>
      </c>
    </row>
    <row r="321" spans="1:7" x14ac:dyDescent="0.4">
      <c r="A321">
        <v>20</v>
      </c>
      <c r="B321" t="s">
        <v>78</v>
      </c>
      <c r="C321" s="10">
        <v>7.04</v>
      </c>
      <c r="D321" s="10">
        <v>0.71</v>
      </c>
      <c r="E321" s="16">
        <v>11.22</v>
      </c>
      <c r="F321">
        <v>5289020</v>
      </c>
      <c r="G321" s="5">
        <v>43165</v>
      </c>
    </row>
    <row r="322" spans="1:7" x14ac:dyDescent="0.4">
      <c r="A322">
        <v>21</v>
      </c>
      <c r="B322" t="s">
        <v>47</v>
      </c>
      <c r="C322" s="10">
        <v>9.5</v>
      </c>
      <c r="D322" s="10">
        <v>0.91</v>
      </c>
      <c r="E322" s="16">
        <v>10.59</v>
      </c>
      <c r="F322">
        <v>7463475</v>
      </c>
      <c r="G322" s="5">
        <v>43165</v>
      </c>
    </row>
    <row r="323" spans="1:7" x14ac:dyDescent="0.4">
      <c r="A323">
        <v>22</v>
      </c>
      <c r="B323" t="s">
        <v>1087</v>
      </c>
      <c r="C323" s="10">
        <v>93.9</v>
      </c>
      <c r="D323" s="10">
        <v>8.9499999999999993</v>
      </c>
      <c r="E323" s="16">
        <v>10.54</v>
      </c>
      <c r="F323">
        <v>872131</v>
      </c>
      <c r="G323" s="5">
        <v>43165</v>
      </c>
    </row>
    <row r="324" spans="1:7" x14ac:dyDescent="0.4">
      <c r="A324">
        <v>23</v>
      </c>
      <c r="B324" t="s">
        <v>305</v>
      </c>
      <c r="C324" s="10">
        <v>4.12</v>
      </c>
      <c r="D324" s="10">
        <v>0.39</v>
      </c>
      <c r="E324" s="16">
        <v>10.46</v>
      </c>
      <c r="F324">
        <v>23995</v>
      </c>
      <c r="G324" s="5">
        <v>43165</v>
      </c>
    </row>
    <row r="325" spans="1:7" x14ac:dyDescent="0.4">
      <c r="A325">
        <v>24</v>
      </c>
      <c r="B325" t="s">
        <v>747</v>
      </c>
      <c r="C325" s="10">
        <v>57.81</v>
      </c>
      <c r="D325" s="10">
        <v>5.43</v>
      </c>
      <c r="E325" s="16">
        <v>10.37</v>
      </c>
      <c r="F325">
        <v>48510</v>
      </c>
      <c r="G325" s="5">
        <v>43165</v>
      </c>
    </row>
    <row r="326" spans="1:7" x14ac:dyDescent="0.4">
      <c r="A326">
        <v>25</v>
      </c>
      <c r="B326" t="s">
        <v>627</v>
      </c>
      <c r="C326" s="10">
        <v>3.22</v>
      </c>
      <c r="D326" s="10">
        <v>0.3</v>
      </c>
      <c r="E326" s="16">
        <v>10.27</v>
      </c>
      <c r="F326">
        <v>9176339</v>
      </c>
      <c r="G326" s="5">
        <v>43165</v>
      </c>
    </row>
    <row r="327" spans="1:7" x14ac:dyDescent="0.4">
      <c r="A327">
        <v>26</v>
      </c>
      <c r="B327" t="s">
        <v>1088</v>
      </c>
      <c r="C327" s="10">
        <v>25.71</v>
      </c>
      <c r="D327" s="10">
        <v>2.35</v>
      </c>
      <c r="E327" s="16">
        <v>10.06</v>
      </c>
      <c r="F327">
        <v>17750816</v>
      </c>
      <c r="G327" s="5">
        <v>43165</v>
      </c>
    </row>
    <row r="328" spans="1:7" x14ac:dyDescent="0.4">
      <c r="A328">
        <v>27</v>
      </c>
      <c r="B328" t="s">
        <v>1089</v>
      </c>
      <c r="C328" s="10">
        <v>37</v>
      </c>
      <c r="D328" s="10">
        <v>3.38</v>
      </c>
      <c r="E328" s="16">
        <v>10.050000000000001</v>
      </c>
      <c r="F328">
        <v>325271</v>
      </c>
      <c r="G328" s="5">
        <v>43165</v>
      </c>
    </row>
    <row r="329" spans="1:7" x14ac:dyDescent="0.4">
      <c r="A329">
        <v>28</v>
      </c>
      <c r="B329" t="s">
        <v>1090</v>
      </c>
      <c r="C329" s="10">
        <v>27.84</v>
      </c>
      <c r="D329" s="10">
        <v>2.54</v>
      </c>
      <c r="E329" s="16">
        <v>10.039999999999999</v>
      </c>
      <c r="F329">
        <v>1773692</v>
      </c>
      <c r="G329" s="5">
        <v>43165</v>
      </c>
    </row>
    <row r="330" spans="1:7" x14ac:dyDescent="0.4">
      <c r="A330">
        <v>29</v>
      </c>
      <c r="B330" t="s">
        <v>1091</v>
      </c>
      <c r="C330" s="10">
        <v>18.32</v>
      </c>
      <c r="D330" s="10">
        <v>1.66</v>
      </c>
      <c r="E330" s="16">
        <v>9.9600000000000009</v>
      </c>
      <c r="F330">
        <v>2078</v>
      </c>
      <c r="G330" s="5">
        <v>43165</v>
      </c>
    </row>
    <row r="331" spans="1:7" x14ac:dyDescent="0.4">
      <c r="A331">
        <v>30</v>
      </c>
      <c r="B331" t="s">
        <v>1092</v>
      </c>
      <c r="C331" s="10">
        <v>4.4400000000000004</v>
      </c>
      <c r="D331" s="10">
        <v>0.4</v>
      </c>
      <c r="E331" s="16">
        <v>9.9</v>
      </c>
      <c r="F331">
        <v>1455916</v>
      </c>
      <c r="G331" s="5">
        <v>43165</v>
      </c>
    </row>
    <row r="332" spans="1:7" x14ac:dyDescent="0.4">
      <c r="A332">
        <v>31</v>
      </c>
      <c r="B332" t="s">
        <v>1093</v>
      </c>
      <c r="C332" s="10">
        <v>41.76</v>
      </c>
      <c r="D332" s="10">
        <v>3.7</v>
      </c>
      <c r="E332" s="16">
        <v>9.7200000000000006</v>
      </c>
      <c r="F332">
        <v>6350451</v>
      </c>
      <c r="G332" s="5">
        <v>43165</v>
      </c>
    </row>
    <row r="333" spans="1:7" x14ac:dyDescent="0.4">
      <c r="A333">
        <v>32</v>
      </c>
      <c r="B333" t="s">
        <v>50</v>
      </c>
      <c r="C333" s="10">
        <v>4.21</v>
      </c>
      <c r="D333" s="10">
        <v>0.37</v>
      </c>
      <c r="E333" s="16">
        <v>9.64</v>
      </c>
      <c r="F333">
        <v>1283695</v>
      </c>
      <c r="G333" s="5">
        <v>43165</v>
      </c>
    </row>
    <row r="334" spans="1:7" x14ac:dyDescent="0.4">
      <c r="A334">
        <v>33</v>
      </c>
      <c r="B334" t="s">
        <v>251</v>
      </c>
      <c r="C334" s="10">
        <v>2.85</v>
      </c>
      <c r="D334" s="10">
        <v>0.25</v>
      </c>
      <c r="E334" s="16">
        <v>9.6199999999999992</v>
      </c>
      <c r="F334">
        <v>19573</v>
      </c>
      <c r="G334" s="5">
        <v>43165</v>
      </c>
    </row>
    <row r="335" spans="1:7" x14ac:dyDescent="0.4">
      <c r="A335">
        <v>34</v>
      </c>
      <c r="B335" t="s">
        <v>1094</v>
      </c>
      <c r="C335" s="10">
        <v>21.24</v>
      </c>
      <c r="D335" s="10">
        <v>1.84</v>
      </c>
      <c r="E335" s="16">
        <v>9.48</v>
      </c>
      <c r="F335">
        <v>5231</v>
      </c>
      <c r="G335" s="5">
        <v>43165</v>
      </c>
    </row>
    <row r="336" spans="1:7" x14ac:dyDescent="0.4">
      <c r="A336">
        <v>35</v>
      </c>
      <c r="B336" t="s">
        <v>1095</v>
      </c>
      <c r="C336" s="10">
        <v>19.95</v>
      </c>
      <c r="D336" s="10">
        <v>1.72</v>
      </c>
      <c r="E336" s="16">
        <v>9.43</v>
      </c>
      <c r="F336">
        <v>1666869</v>
      </c>
      <c r="G336" s="5">
        <v>43165</v>
      </c>
    </row>
    <row r="337" spans="1:7" x14ac:dyDescent="0.4">
      <c r="A337">
        <v>36</v>
      </c>
      <c r="B337" t="s">
        <v>568</v>
      </c>
      <c r="C337" s="10">
        <v>2.67</v>
      </c>
      <c r="D337" s="10">
        <v>0.23</v>
      </c>
      <c r="E337" s="16">
        <v>9.43</v>
      </c>
      <c r="F337">
        <v>3339392</v>
      </c>
      <c r="G337" s="5">
        <v>43165</v>
      </c>
    </row>
    <row r="338" spans="1:7" x14ac:dyDescent="0.4">
      <c r="A338">
        <v>37</v>
      </c>
      <c r="B338" t="s">
        <v>1096</v>
      </c>
      <c r="C338" s="10">
        <v>4.54</v>
      </c>
      <c r="D338" s="10">
        <v>0.39</v>
      </c>
      <c r="E338" s="16">
        <v>9.4</v>
      </c>
      <c r="F338">
        <v>88085</v>
      </c>
      <c r="G338" s="5">
        <v>43165</v>
      </c>
    </row>
    <row r="339" spans="1:7" x14ac:dyDescent="0.4">
      <c r="A339">
        <v>38</v>
      </c>
      <c r="B339" t="s">
        <v>137</v>
      </c>
      <c r="C339" s="10">
        <v>3.51</v>
      </c>
      <c r="D339" s="10">
        <v>0.28999999999999998</v>
      </c>
      <c r="E339" s="16">
        <v>9.01</v>
      </c>
      <c r="F339">
        <v>1321807</v>
      </c>
      <c r="G339" s="5">
        <v>43165</v>
      </c>
    </row>
    <row r="340" spans="1:7" x14ac:dyDescent="0.4">
      <c r="A340">
        <v>39</v>
      </c>
      <c r="B340" t="s">
        <v>1097</v>
      </c>
      <c r="C340" s="10">
        <v>5.48</v>
      </c>
      <c r="D340" s="10">
        <v>0.45</v>
      </c>
      <c r="E340" s="16">
        <v>8.9499999999999993</v>
      </c>
      <c r="F340">
        <v>1826669</v>
      </c>
      <c r="G340" s="5">
        <v>43165</v>
      </c>
    </row>
    <row r="341" spans="1:7" x14ac:dyDescent="0.4">
      <c r="A341">
        <v>40</v>
      </c>
      <c r="B341" t="s">
        <v>399</v>
      </c>
      <c r="C341" s="10">
        <v>5.55</v>
      </c>
      <c r="D341" s="10">
        <v>0.45</v>
      </c>
      <c r="E341" s="16">
        <v>8.82</v>
      </c>
      <c r="F341">
        <v>187521</v>
      </c>
      <c r="G341" s="5">
        <v>43165</v>
      </c>
    </row>
    <row r="342" spans="1:7" x14ac:dyDescent="0.4">
      <c r="A342">
        <v>41</v>
      </c>
      <c r="B342" t="s">
        <v>1098</v>
      </c>
      <c r="C342" s="10">
        <v>4.13</v>
      </c>
      <c r="D342" s="10">
        <v>0.33</v>
      </c>
      <c r="E342" s="16">
        <v>8.68</v>
      </c>
      <c r="F342">
        <v>3636537</v>
      </c>
      <c r="G342" s="5">
        <v>43165</v>
      </c>
    </row>
    <row r="343" spans="1:7" x14ac:dyDescent="0.4">
      <c r="A343">
        <v>42</v>
      </c>
      <c r="B343" t="s">
        <v>1099</v>
      </c>
      <c r="C343" s="10">
        <v>43.1</v>
      </c>
      <c r="D343" s="10">
        <v>3.4</v>
      </c>
      <c r="E343" s="16">
        <v>8.56</v>
      </c>
      <c r="F343">
        <v>24190</v>
      </c>
      <c r="G343" s="5">
        <v>43165</v>
      </c>
    </row>
    <row r="344" spans="1:7" x14ac:dyDescent="0.4">
      <c r="A344">
        <v>43</v>
      </c>
      <c r="B344" t="s">
        <v>1100</v>
      </c>
      <c r="C344" s="10">
        <v>4.45</v>
      </c>
      <c r="D344" s="10">
        <v>0.35</v>
      </c>
      <c r="E344" s="16">
        <v>8.5399999999999991</v>
      </c>
      <c r="F344">
        <v>39304</v>
      </c>
      <c r="G344" s="5">
        <v>43165</v>
      </c>
    </row>
    <row r="345" spans="1:7" x14ac:dyDescent="0.4">
      <c r="A345">
        <v>44</v>
      </c>
      <c r="B345" t="s">
        <v>663</v>
      </c>
      <c r="C345" s="10">
        <v>2.71</v>
      </c>
      <c r="D345" s="10">
        <v>0.21</v>
      </c>
      <c r="E345" s="16">
        <v>8.4</v>
      </c>
      <c r="F345">
        <v>642753</v>
      </c>
      <c r="G345" s="5">
        <v>43165</v>
      </c>
    </row>
    <row r="346" spans="1:7" x14ac:dyDescent="0.4">
      <c r="A346">
        <v>45</v>
      </c>
      <c r="B346" t="s">
        <v>1101</v>
      </c>
      <c r="C346" s="10">
        <v>2.33</v>
      </c>
      <c r="D346" s="10">
        <v>0.18</v>
      </c>
      <c r="E346" s="16">
        <v>8.3699999999999992</v>
      </c>
      <c r="F346">
        <v>365127</v>
      </c>
      <c r="G346" s="5">
        <v>43165</v>
      </c>
    </row>
    <row r="347" spans="1:7" x14ac:dyDescent="0.4">
      <c r="A347">
        <v>46</v>
      </c>
      <c r="B347" t="s">
        <v>1102</v>
      </c>
      <c r="C347" s="10">
        <v>12.82</v>
      </c>
      <c r="D347" s="10">
        <v>0.99</v>
      </c>
      <c r="E347" s="16">
        <v>8.3699999999999992</v>
      </c>
      <c r="F347">
        <v>443098</v>
      </c>
      <c r="G347" s="5">
        <v>43165</v>
      </c>
    </row>
    <row r="348" spans="1:7" x14ac:dyDescent="0.4">
      <c r="A348">
        <v>47</v>
      </c>
      <c r="B348" t="s">
        <v>29</v>
      </c>
      <c r="C348" s="10">
        <v>13.85</v>
      </c>
      <c r="D348" s="10">
        <v>1.06</v>
      </c>
      <c r="E348" s="16">
        <v>8.2899999999999991</v>
      </c>
      <c r="F348">
        <v>149808</v>
      </c>
      <c r="G348" s="5">
        <v>43165</v>
      </c>
    </row>
    <row r="349" spans="1:7" x14ac:dyDescent="0.4">
      <c r="A349">
        <v>48</v>
      </c>
      <c r="B349" t="s">
        <v>144</v>
      </c>
      <c r="C349" s="10">
        <v>14.87</v>
      </c>
      <c r="D349" s="10">
        <v>1.1299999999999999</v>
      </c>
      <c r="E349" s="16">
        <v>8.2200000000000006</v>
      </c>
      <c r="F349">
        <v>4550</v>
      </c>
      <c r="G349" s="5">
        <v>43165</v>
      </c>
    </row>
    <row r="350" spans="1:7" x14ac:dyDescent="0.4">
      <c r="A350">
        <v>49</v>
      </c>
      <c r="B350" t="s">
        <v>18</v>
      </c>
      <c r="C350" s="10">
        <v>5.7</v>
      </c>
      <c r="D350" s="10">
        <v>0.43</v>
      </c>
      <c r="E350" s="16">
        <v>8.16</v>
      </c>
      <c r="F350">
        <v>191728</v>
      </c>
      <c r="G350" s="5">
        <v>43165</v>
      </c>
    </row>
    <row r="351" spans="1:7" x14ac:dyDescent="0.4">
      <c r="A351">
        <v>50</v>
      </c>
      <c r="B351" t="s">
        <v>71</v>
      </c>
      <c r="C351" s="10">
        <v>29.76</v>
      </c>
      <c r="D351" s="10">
        <v>2.23</v>
      </c>
      <c r="E351" s="16">
        <v>8.1</v>
      </c>
      <c r="F351">
        <v>15460</v>
      </c>
      <c r="G351" s="5">
        <v>43165</v>
      </c>
    </row>
    <row r="352" spans="1:7" x14ac:dyDescent="0.4">
      <c r="A352">
        <v>51</v>
      </c>
      <c r="B352" t="s">
        <v>67</v>
      </c>
      <c r="C352" s="10">
        <v>29</v>
      </c>
      <c r="D352" s="10">
        <v>2.15</v>
      </c>
      <c r="E352" s="16">
        <v>8.01</v>
      </c>
      <c r="F352">
        <v>25183</v>
      </c>
      <c r="G352" s="5">
        <v>43165</v>
      </c>
    </row>
    <row r="353" spans="1:7" x14ac:dyDescent="0.4">
      <c r="A353">
        <v>52</v>
      </c>
      <c r="B353" t="s">
        <v>1103</v>
      </c>
      <c r="C353" s="10">
        <v>3.73</v>
      </c>
      <c r="D353" s="10">
        <v>0.28000000000000003</v>
      </c>
      <c r="E353" s="16">
        <v>7.97</v>
      </c>
      <c r="F353">
        <v>18705</v>
      </c>
      <c r="G353" s="5">
        <v>43165</v>
      </c>
    </row>
    <row r="354" spans="1:7" x14ac:dyDescent="0.4">
      <c r="A354">
        <v>53</v>
      </c>
      <c r="B354" t="s">
        <v>1104</v>
      </c>
      <c r="C354" s="10">
        <v>9</v>
      </c>
      <c r="D354" s="10">
        <v>0.66</v>
      </c>
      <c r="E354" s="16">
        <v>7.91</v>
      </c>
      <c r="F354">
        <v>148029</v>
      </c>
      <c r="G354" s="5">
        <v>43165</v>
      </c>
    </row>
    <row r="355" spans="1:7" x14ac:dyDescent="0.4">
      <c r="A355">
        <v>54</v>
      </c>
      <c r="B355" t="s">
        <v>1105</v>
      </c>
      <c r="C355" s="10">
        <v>7.92</v>
      </c>
      <c r="D355" s="10">
        <v>0.57999999999999996</v>
      </c>
      <c r="E355" s="16">
        <v>7.9</v>
      </c>
      <c r="F355">
        <v>1762657</v>
      </c>
      <c r="G355" s="5">
        <v>43165</v>
      </c>
    </row>
    <row r="356" spans="1:7" x14ac:dyDescent="0.4">
      <c r="A356">
        <v>55</v>
      </c>
      <c r="B356" t="s">
        <v>210</v>
      </c>
      <c r="C356" s="10">
        <v>2.75</v>
      </c>
      <c r="D356" s="10">
        <v>0.2</v>
      </c>
      <c r="E356" s="16">
        <v>7.84</v>
      </c>
      <c r="F356">
        <v>394977</v>
      </c>
      <c r="G356" s="5">
        <v>43165</v>
      </c>
    </row>
    <row r="357" spans="1:7" x14ac:dyDescent="0.4">
      <c r="A357">
        <v>56</v>
      </c>
      <c r="B357" t="s">
        <v>1106</v>
      </c>
      <c r="C357" s="10">
        <v>15.63</v>
      </c>
      <c r="D357" s="10">
        <v>1.1200000000000001</v>
      </c>
      <c r="E357" s="16">
        <v>7.72</v>
      </c>
      <c r="F357">
        <v>318254</v>
      </c>
      <c r="G357" s="5">
        <v>43165</v>
      </c>
    </row>
    <row r="358" spans="1:7" x14ac:dyDescent="0.4">
      <c r="A358">
        <v>57</v>
      </c>
      <c r="B358" t="s">
        <v>1107</v>
      </c>
      <c r="C358" s="10">
        <v>31.82</v>
      </c>
      <c r="D358" s="10">
        <v>2.2799999999999998</v>
      </c>
      <c r="E358" s="16">
        <v>7.72</v>
      </c>
      <c r="F358">
        <v>291157</v>
      </c>
      <c r="G358" s="5">
        <v>43165</v>
      </c>
    </row>
    <row r="359" spans="1:7" x14ac:dyDescent="0.4">
      <c r="A359">
        <v>58</v>
      </c>
      <c r="B359" t="s">
        <v>312</v>
      </c>
      <c r="C359" s="10">
        <v>11.9</v>
      </c>
      <c r="D359" s="10">
        <v>0.85</v>
      </c>
      <c r="E359" s="16">
        <v>7.69</v>
      </c>
      <c r="F359">
        <v>2727</v>
      </c>
      <c r="G359" s="5">
        <v>43165</v>
      </c>
    </row>
    <row r="360" spans="1:7" x14ac:dyDescent="0.4">
      <c r="A360">
        <v>59</v>
      </c>
      <c r="B360" t="s">
        <v>1108</v>
      </c>
      <c r="C360" s="10">
        <v>8.5</v>
      </c>
      <c r="D360" s="10">
        <v>0.6</v>
      </c>
      <c r="E360" s="16">
        <v>7.59</v>
      </c>
      <c r="F360">
        <v>104036</v>
      </c>
      <c r="G360" s="5">
        <v>43165</v>
      </c>
    </row>
    <row r="361" spans="1:7" x14ac:dyDescent="0.4">
      <c r="A361">
        <v>60</v>
      </c>
      <c r="B361" t="s">
        <v>1109</v>
      </c>
      <c r="C361" s="10">
        <v>18.61</v>
      </c>
      <c r="D361" s="10">
        <v>1.3</v>
      </c>
      <c r="E361" s="16">
        <v>7.51</v>
      </c>
      <c r="F361">
        <v>588197</v>
      </c>
      <c r="G361" s="5">
        <v>43165</v>
      </c>
    </row>
    <row r="362" spans="1:7" x14ac:dyDescent="0.4">
      <c r="A362">
        <v>61</v>
      </c>
      <c r="B362" t="s">
        <v>199</v>
      </c>
      <c r="C362" s="10">
        <v>3.18</v>
      </c>
      <c r="D362" s="10">
        <v>0.22</v>
      </c>
      <c r="E362" s="16">
        <v>7.43</v>
      </c>
      <c r="F362">
        <v>363376</v>
      </c>
      <c r="G362" s="5">
        <v>43165</v>
      </c>
    </row>
    <row r="363" spans="1:7" x14ac:dyDescent="0.4">
      <c r="A363">
        <v>62</v>
      </c>
      <c r="B363" t="s">
        <v>106</v>
      </c>
      <c r="C363" s="10">
        <v>59.84</v>
      </c>
      <c r="D363" s="10">
        <v>4.12</v>
      </c>
      <c r="E363" s="16">
        <v>7.39</v>
      </c>
      <c r="F363">
        <v>1685030</v>
      </c>
      <c r="G363" s="5">
        <v>43165</v>
      </c>
    </row>
    <row r="364" spans="1:7" x14ac:dyDescent="0.4">
      <c r="A364">
        <v>63</v>
      </c>
      <c r="B364" t="s">
        <v>1110</v>
      </c>
      <c r="C364" s="10">
        <v>11.75</v>
      </c>
      <c r="D364" s="10">
        <v>0.8</v>
      </c>
      <c r="E364" s="16">
        <v>7.31</v>
      </c>
      <c r="F364">
        <v>884378</v>
      </c>
      <c r="G364" s="5">
        <v>43165</v>
      </c>
    </row>
    <row r="365" spans="1:7" x14ac:dyDescent="0.4">
      <c r="A365">
        <v>64</v>
      </c>
      <c r="B365" t="s">
        <v>1111</v>
      </c>
      <c r="C365" s="10">
        <v>2.67</v>
      </c>
      <c r="D365" s="10">
        <v>0.18</v>
      </c>
      <c r="E365" s="16">
        <v>7.23</v>
      </c>
      <c r="F365">
        <v>293700</v>
      </c>
      <c r="G365" s="5">
        <v>43165</v>
      </c>
    </row>
    <row r="366" spans="1:7" x14ac:dyDescent="0.4">
      <c r="A366">
        <v>65</v>
      </c>
      <c r="B366" t="s">
        <v>593</v>
      </c>
      <c r="C366" s="10">
        <v>3.96</v>
      </c>
      <c r="D366" s="10">
        <v>0.26</v>
      </c>
      <c r="E366" s="16">
        <v>7.03</v>
      </c>
      <c r="F366">
        <v>4857368</v>
      </c>
      <c r="G366" s="5">
        <v>43165</v>
      </c>
    </row>
    <row r="367" spans="1:7" x14ac:dyDescent="0.4">
      <c r="A367">
        <v>66</v>
      </c>
      <c r="B367" t="s">
        <v>760</v>
      </c>
      <c r="C367" s="10">
        <v>3.83</v>
      </c>
      <c r="D367" s="10">
        <v>0.25</v>
      </c>
      <c r="E367" s="16">
        <v>6.98</v>
      </c>
      <c r="F367">
        <v>243301</v>
      </c>
      <c r="G367" s="5">
        <v>43165</v>
      </c>
    </row>
    <row r="368" spans="1:7" x14ac:dyDescent="0.4">
      <c r="A368">
        <v>67</v>
      </c>
      <c r="B368" t="s">
        <v>532</v>
      </c>
      <c r="C368" s="10">
        <v>33.130000000000003</v>
      </c>
      <c r="D368" s="10">
        <v>2.16</v>
      </c>
      <c r="E368" s="16">
        <v>6.97</v>
      </c>
      <c r="F368">
        <v>376061</v>
      </c>
      <c r="G368" s="5">
        <v>43165</v>
      </c>
    </row>
    <row r="369" spans="1:7" x14ac:dyDescent="0.4">
      <c r="A369">
        <v>68</v>
      </c>
      <c r="B369" t="s">
        <v>336</v>
      </c>
      <c r="C369" s="10">
        <v>37.93</v>
      </c>
      <c r="D369" s="10">
        <v>2.4700000000000002</v>
      </c>
      <c r="E369" s="16">
        <v>6.97</v>
      </c>
      <c r="F369">
        <v>506433</v>
      </c>
      <c r="G369" s="5">
        <v>43165</v>
      </c>
    </row>
    <row r="370" spans="1:7" x14ac:dyDescent="0.4">
      <c r="A370">
        <v>69</v>
      </c>
      <c r="B370" t="s">
        <v>296</v>
      </c>
      <c r="C370" s="10">
        <v>6.08</v>
      </c>
      <c r="D370" s="10">
        <v>0.39</v>
      </c>
      <c r="E370" s="16">
        <v>6.85</v>
      </c>
      <c r="F370">
        <v>406660</v>
      </c>
      <c r="G370" s="5">
        <v>43165</v>
      </c>
    </row>
    <row r="371" spans="1:7" x14ac:dyDescent="0.4">
      <c r="A371">
        <v>70</v>
      </c>
      <c r="B371" t="s">
        <v>1112</v>
      </c>
      <c r="C371" s="10">
        <v>7.88</v>
      </c>
      <c r="D371" s="10">
        <v>0.5</v>
      </c>
      <c r="E371" s="16">
        <v>6.78</v>
      </c>
      <c r="F371">
        <v>3598227</v>
      </c>
      <c r="G371" s="5">
        <v>43165</v>
      </c>
    </row>
    <row r="372" spans="1:7" x14ac:dyDescent="0.4">
      <c r="A372">
        <v>71</v>
      </c>
      <c r="B372" t="s">
        <v>453</v>
      </c>
      <c r="C372" s="10">
        <v>2.68</v>
      </c>
      <c r="D372" s="10">
        <v>0.17</v>
      </c>
      <c r="E372" s="16">
        <v>6.77</v>
      </c>
      <c r="F372">
        <v>23310</v>
      </c>
      <c r="G372" s="5">
        <v>43165</v>
      </c>
    </row>
    <row r="373" spans="1:7" x14ac:dyDescent="0.4">
      <c r="A373">
        <v>72</v>
      </c>
      <c r="B373" t="s">
        <v>1113</v>
      </c>
      <c r="C373" s="10">
        <v>12</v>
      </c>
      <c r="D373" s="10">
        <v>0.75</v>
      </c>
      <c r="E373" s="16">
        <v>6.67</v>
      </c>
      <c r="F373">
        <v>122789</v>
      </c>
      <c r="G373" s="5">
        <v>43165</v>
      </c>
    </row>
    <row r="374" spans="1:7" x14ac:dyDescent="0.4">
      <c r="A374">
        <v>73</v>
      </c>
      <c r="B374" t="s">
        <v>821</v>
      </c>
      <c r="C374" s="10">
        <v>11.2</v>
      </c>
      <c r="D374" s="10">
        <v>0.7</v>
      </c>
      <c r="E374" s="16">
        <v>6.67</v>
      </c>
      <c r="F374">
        <v>20177</v>
      </c>
      <c r="G374" s="5">
        <v>43165</v>
      </c>
    </row>
    <row r="375" spans="1:7" x14ac:dyDescent="0.4">
      <c r="A375">
        <v>74</v>
      </c>
      <c r="B375" t="s">
        <v>916</v>
      </c>
      <c r="C375" s="10">
        <v>5.15</v>
      </c>
      <c r="D375" s="10">
        <v>0.32</v>
      </c>
      <c r="E375" s="16">
        <v>6.63</v>
      </c>
      <c r="F375">
        <v>197081</v>
      </c>
      <c r="G375" s="5">
        <v>43165</v>
      </c>
    </row>
    <row r="376" spans="1:7" x14ac:dyDescent="0.4">
      <c r="A376">
        <v>75</v>
      </c>
      <c r="B376" t="s">
        <v>970</v>
      </c>
      <c r="C376" s="10">
        <v>3.63</v>
      </c>
      <c r="D376" s="10">
        <v>0.23</v>
      </c>
      <c r="E376" s="16">
        <v>6.62</v>
      </c>
      <c r="F376">
        <v>1149498</v>
      </c>
      <c r="G376" s="5">
        <v>43165</v>
      </c>
    </row>
    <row r="377" spans="1:7" x14ac:dyDescent="0.4">
      <c r="A377">
        <v>76</v>
      </c>
      <c r="B377" t="s">
        <v>1114</v>
      </c>
      <c r="C377" s="10">
        <v>37.29</v>
      </c>
      <c r="D377" s="10">
        <v>2.31</v>
      </c>
      <c r="E377" s="16">
        <v>6.6</v>
      </c>
      <c r="F377">
        <v>2458010</v>
      </c>
      <c r="G377" s="5">
        <v>43165</v>
      </c>
    </row>
    <row r="378" spans="1:7" x14ac:dyDescent="0.4">
      <c r="A378">
        <v>77</v>
      </c>
      <c r="B378" t="s">
        <v>472</v>
      </c>
      <c r="C378" s="10">
        <v>106.5</v>
      </c>
      <c r="D378" s="10">
        <v>6.59</v>
      </c>
      <c r="E378" s="16">
        <v>6.6</v>
      </c>
      <c r="F378">
        <v>56720</v>
      </c>
      <c r="G378" s="5">
        <v>43165</v>
      </c>
    </row>
    <row r="379" spans="1:7" x14ac:dyDescent="0.4">
      <c r="A379">
        <v>78</v>
      </c>
      <c r="B379" t="s">
        <v>522</v>
      </c>
      <c r="C379" s="10">
        <v>7.3</v>
      </c>
      <c r="D379" s="10">
        <v>0.45</v>
      </c>
      <c r="E379" s="16">
        <v>6.57</v>
      </c>
      <c r="F379">
        <v>3614008</v>
      </c>
      <c r="G379" s="5">
        <v>43165</v>
      </c>
    </row>
    <row r="380" spans="1:7" x14ac:dyDescent="0.4">
      <c r="A380">
        <v>79</v>
      </c>
      <c r="B380" t="s">
        <v>1115</v>
      </c>
      <c r="C380" s="10">
        <v>19.41</v>
      </c>
      <c r="D380" s="10">
        <v>1.19</v>
      </c>
      <c r="E380" s="16">
        <v>6.53</v>
      </c>
      <c r="F380">
        <v>449688</v>
      </c>
      <c r="G380" s="5">
        <v>43165</v>
      </c>
    </row>
    <row r="381" spans="1:7" x14ac:dyDescent="0.4">
      <c r="A381">
        <v>80</v>
      </c>
      <c r="B381" t="s">
        <v>1116</v>
      </c>
      <c r="C381" s="10">
        <v>5.82</v>
      </c>
      <c r="D381" s="10">
        <v>0.35</v>
      </c>
      <c r="E381" s="16">
        <v>6.4</v>
      </c>
      <c r="F381">
        <v>98280</v>
      </c>
      <c r="G381" s="5">
        <v>43165</v>
      </c>
    </row>
    <row r="382" spans="1:7" x14ac:dyDescent="0.4">
      <c r="A382">
        <v>81</v>
      </c>
      <c r="B382" t="s">
        <v>1117</v>
      </c>
      <c r="C382" s="10">
        <v>2.68</v>
      </c>
      <c r="D382" s="10">
        <v>0.16</v>
      </c>
      <c r="E382" s="16">
        <v>6.35</v>
      </c>
      <c r="F382">
        <v>2765888</v>
      </c>
      <c r="G382" s="5">
        <v>43165</v>
      </c>
    </row>
    <row r="383" spans="1:7" x14ac:dyDescent="0.4">
      <c r="A383">
        <v>82</v>
      </c>
      <c r="B383" t="s">
        <v>1118</v>
      </c>
      <c r="C383" s="10">
        <v>4.03</v>
      </c>
      <c r="D383" s="10">
        <v>0.24</v>
      </c>
      <c r="E383" s="16">
        <v>6.33</v>
      </c>
      <c r="F383">
        <v>240772</v>
      </c>
      <c r="G383" s="5">
        <v>43165</v>
      </c>
    </row>
    <row r="384" spans="1:7" x14ac:dyDescent="0.4">
      <c r="A384">
        <v>83</v>
      </c>
      <c r="B384" t="s">
        <v>622</v>
      </c>
      <c r="C384" s="10">
        <v>31.25</v>
      </c>
      <c r="D384" s="10">
        <v>1.85</v>
      </c>
      <c r="E384" s="16">
        <v>6.29</v>
      </c>
      <c r="F384">
        <v>374461</v>
      </c>
      <c r="G384" s="5">
        <v>43165</v>
      </c>
    </row>
    <row r="385" spans="1:7" x14ac:dyDescent="0.4">
      <c r="A385">
        <v>84</v>
      </c>
      <c r="B385" t="s">
        <v>378</v>
      </c>
      <c r="C385" s="10">
        <v>2.37</v>
      </c>
      <c r="D385" s="10">
        <v>0.14000000000000001</v>
      </c>
      <c r="E385" s="16">
        <v>6.28</v>
      </c>
      <c r="F385">
        <v>205346</v>
      </c>
      <c r="G385" s="5">
        <v>43165</v>
      </c>
    </row>
    <row r="386" spans="1:7" x14ac:dyDescent="0.4">
      <c r="A386">
        <v>85</v>
      </c>
      <c r="B386" t="s">
        <v>36</v>
      </c>
      <c r="C386" s="10">
        <v>3.22</v>
      </c>
      <c r="D386" s="10">
        <v>0.19</v>
      </c>
      <c r="E386" s="16">
        <v>6.27</v>
      </c>
      <c r="F386">
        <v>91958</v>
      </c>
      <c r="G386" s="5">
        <v>43165</v>
      </c>
    </row>
    <row r="387" spans="1:7" x14ac:dyDescent="0.4">
      <c r="A387">
        <v>86</v>
      </c>
      <c r="B387" t="s">
        <v>1119</v>
      </c>
      <c r="C387" s="10">
        <v>6.63</v>
      </c>
      <c r="D387" s="10">
        <v>0.39</v>
      </c>
      <c r="E387" s="16">
        <v>6.25</v>
      </c>
      <c r="F387">
        <v>52775</v>
      </c>
      <c r="G387" s="5">
        <v>43165</v>
      </c>
    </row>
    <row r="388" spans="1:7" x14ac:dyDescent="0.4">
      <c r="A388">
        <v>87</v>
      </c>
      <c r="B388" t="s">
        <v>1120</v>
      </c>
      <c r="C388" s="10">
        <v>12</v>
      </c>
      <c r="D388" s="10">
        <v>0.7</v>
      </c>
      <c r="E388" s="16">
        <v>6.19</v>
      </c>
      <c r="F388">
        <v>340828</v>
      </c>
      <c r="G388" s="5">
        <v>43165</v>
      </c>
    </row>
    <row r="389" spans="1:7" x14ac:dyDescent="0.4">
      <c r="A389">
        <v>88</v>
      </c>
      <c r="B389" t="s">
        <v>1121</v>
      </c>
      <c r="C389" s="10">
        <v>105.6</v>
      </c>
      <c r="D389" s="10">
        <v>6.15</v>
      </c>
      <c r="E389" s="16">
        <v>6.18</v>
      </c>
      <c r="F389">
        <v>546120</v>
      </c>
      <c r="G389" s="5">
        <v>43165</v>
      </c>
    </row>
    <row r="390" spans="1:7" x14ac:dyDescent="0.4">
      <c r="A390">
        <v>89</v>
      </c>
      <c r="B390" t="s">
        <v>201</v>
      </c>
      <c r="C390" s="10">
        <v>9.83</v>
      </c>
      <c r="D390" s="10">
        <v>0.56999999999999995</v>
      </c>
      <c r="E390" s="16">
        <v>6.16</v>
      </c>
      <c r="F390">
        <v>5530</v>
      </c>
      <c r="G390" s="5">
        <v>43165</v>
      </c>
    </row>
    <row r="391" spans="1:7" x14ac:dyDescent="0.4">
      <c r="A391">
        <v>90</v>
      </c>
      <c r="B391" t="s">
        <v>128</v>
      </c>
      <c r="C391" s="10">
        <v>5.87</v>
      </c>
      <c r="D391" s="10">
        <v>0.34</v>
      </c>
      <c r="E391" s="16">
        <v>6.15</v>
      </c>
      <c r="F391">
        <v>96696</v>
      </c>
      <c r="G391" s="5">
        <v>43165</v>
      </c>
    </row>
    <row r="392" spans="1:7" x14ac:dyDescent="0.4">
      <c r="A392">
        <v>91</v>
      </c>
      <c r="B392" t="s">
        <v>1122</v>
      </c>
      <c r="C392" s="10">
        <v>20.11</v>
      </c>
      <c r="D392" s="10">
        <v>1.1599999999999999</v>
      </c>
      <c r="E392" s="16">
        <v>6.12</v>
      </c>
      <c r="F392">
        <v>2058492</v>
      </c>
      <c r="G392" s="5">
        <v>43165</v>
      </c>
    </row>
    <row r="393" spans="1:7" x14ac:dyDescent="0.4">
      <c r="A393">
        <v>92</v>
      </c>
      <c r="B393" t="s">
        <v>1123</v>
      </c>
      <c r="C393" s="10">
        <v>7.66</v>
      </c>
      <c r="D393" s="10">
        <v>0.44</v>
      </c>
      <c r="E393" s="16">
        <v>6.09</v>
      </c>
      <c r="F393">
        <v>83601</v>
      </c>
      <c r="G393" s="5">
        <v>43165</v>
      </c>
    </row>
    <row r="394" spans="1:7" x14ac:dyDescent="0.4">
      <c r="A394">
        <v>93</v>
      </c>
      <c r="B394" t="s">
        <v>1124</v>
      </c>
      <c r="C394" s="10">
        <v>7.87</v>
      </c>
      <c r="D394" s="10">
        <v>0.45</v>
      </c>
      <c r="E394" s="16">
        <v>6.06</v>
      </c>
      <c r="F394">
        <v>1633025</v>
      </c>
      <c r="G394" s="5">
        <v>43165</v>
      </c>
    </row>
    <row r="395" spans="1:7" x14ac:dyDescent="0.4">
      <c r="A395">
        <v>94</v>
      </c>
      <c r="B395" t="s">
        <v>1125</v>
      </c>
      <c r="C395" s="10">
        <v>10</v>
      </c>
      <c r="D395" s="10">
        <v>0.56999999999999995</v>
      </c>
      <c r="E395" s="16">
        <v>6.04</v>
      </c>
      <c r="F395">
        <v>63430</v>
      </c>
      <c r="G395" s="5">
        <v>43165</v>
      </c>
    </row>
    <row r="396" spans="1:7" x14ac:dyDescent="0.4">
      <c r="A396">
        <v>95</v>
      </c>
      <c r="B396" t="s">
        <v>1126</v>
      </c>
      <c r="C396" s="10">
        <v>22.64</v>
      </c>
      <c r="D396" s="10">
        <v>1.29</v>
      </c>
      <c r="E396" s="16">
        <v>6.04</v>
      </c>
      <c r="F396">
        <v>3544651</v>
      </c>
      <c r="G396" s="5">
        <v>43165</v>
      </c>
    </row>
    <row r="397" spans="1:7" x14ac:dyDescent="0.4">
      <c r="A397">
        <v>96</v>
      </c>
      <c r="B397" t="s">
        <v>1127</v>
      </c>
      <c r="C397" s="10">
        <v>3.52</v>
      </c>
      <c r="D397" s="10">
        <v>0.2</v>
      </c>
      <c r="E397" s="16">
        <v>6.02</v>
      </c>
      <c r="F397">
        <v>213533</v>
      </c>
      <c r="G397" s="5">
        <v>43165</v>
      </c>
    </row>
    <row r="398" spans="1:7" x14ac:dyDescent="0.4">
      <c r="A398">
        <v>97</v>
      </c>
      <c r="B398" t="s">
        <v>1128</v>
      </c>
      <c r="C398" s="10">
        <v>18.5</v>
      </c>
      <c r="D398" s="10">
        <v>1.05</v>
      </c>
      <c r="E398" s="16">
        <v>6.02</v>
      </c>
      <c r="F398">
        <v>592299</v>
      </c>
      <c r="G398" s="5">
        <v>43165</v>
      </c>
    </row>
    <row r="399" spans="1:7" x14ac:dyDescent="0.4">
      <c r="A399">
        <v>98</v>
      </c>
      <c r="B399" t="s">
        <v>1129</v>
      </c>
      <c r="C399" s="10">
        <v>16.920000000000002</v>
      </c>
      <c r="D399" s="10">
        <v>0.96</v>
      </c>
      <c r="E399" s="16">
        <v>6.02</v>
      </c>
      <c r="F399">
        <v>4429086</v>
      </c>
      <c r="G399" s="5">
        <v>43165</v>
      </c>
    </row>
    <row r="400" spans="1:7" x14ac:dyDescent="0.4">
      <c r="A400">
        <v>99</v>
      </c>
      <c r="B400" t="s">
        <v>153</v>
      </c>
      <c r="C400" s="10">
        <v>6.89</v>
      </c>
      <c r="D400" s="10">
        <v>0.39</v>
      </c>
      <c r="E400" s="16">
        <v>6</v>
      </c>
      <c r="F400">
        <v>55656</v>
      </c>
      <c r="G400" s="5">
        <v>43165</v>
      </c>
    </row>
    <row r="401" spans="1:7" x14ac:dyDescent="0.4">
      <c r="A401">
        <v>100</v>
      </c>
      <c r="B401" t="s">
        <v>1130</v>
      </c>
      <c r="C401" s="10">
        <v>10.44</v>
      </c>
      <c r="D401" s="10">
        <v>0.59</v>
      </c>
      <c r="E401" s="16">
        <v>5.99</v>
      </c>
      <c r="F401">
        <v>2721</v>
      </c>
      <c r="G401" s="5">
        <v>43165</v>
      </c>
    </row>
    <row r="402" spans="1:7" x14ac:dyDescent="0.4">
      <c r="A402">
        <v>1</v>
      </c>
      <c r="B402" t="s">
        <v>823</v>
      </c>
      <c r="C402" s="10">
        <v>4.2699999999999996</v>
      </c>
      <c r="D402" s="10">
        <v>1.7</v>
      </c>
      <c r="E402" s="16">
        <v>66.150000000000006</v>
      </c>
      <c r="F402">
        <v>9189024</v>
      </c>
      <c r="G402" s="5">
        <v>43166</v>
      </c>
    </row>
    <row r="403" spans="1:7" x14ac:dyDescent="0.4">
      <c r="A403">
        <v>2</v>
      </c>
      <c r="B403" t="s">
        <v>139</v>
      </c>
      <c r="C403" s="10">
        <v>14.53</v>
      </c>
      <c r="D403" s="10">
        <v>5.25</v>
      </c>
      <c r="E403" s="16">
        <v>56.57</v>
      </c>
      <c r="F403">
        <v>8721699</v>
      </c>
      <c r="G403" s="5">
        <v>43166</v>
      </c>
    </row>
    <row r="404" spans="1:7" x14ac:dyDescent="0.4">
      <c r="A404">
        <v>3</v>
      </c>
      <c r="B404" t="s">
        <v>1034</v>
      </c>
      <c r="C404" s="10">
        <v>88.36</v>
      </c>
      <c r="D404" s="10">
        <v>20.85</v>
      </c>
      <c r="E404" s="16">
        <v>30.88</v>
      </c>
      <c r="F404">
        <v>1400732</v>
      </c>
      <c r="G404" s="5">
        <v>43166</v>
      </c>
    </row>
    <row r="405" spans="1:7" x14ac:dyDescent="0.4">
      <c r="A405">
        <v>4</v>
      </c>
      <c r="B405" t="s">
        <v>1035</v>
      </c>
      <c r="C405" s="10">
        <v>37.5</v>
      </c>
      <c r="D405" s="10">
        <v>7.95</v>
      </c>
      <c r="E405" s="16">
        <v>26.9</v>
      </c>
      <c r="F405">
        <v>1353393</v>
      </c>
      <c r="G405" s="5">
        <v>43166</v>
      </c>
    </row>
    <row r="406" spans="1:7" x14ac:dyDescent="0.4">
      <c r="A406">
        <v>5</v>
      </c>
      <c r="B406" t="s">
        <v>1036</v>
      </c>
      <c r="C406" s="10">
        <v>2.4900000000000002</v>
      </c>
      <c r="D406" s="10">
        <v>0.41</v>
      </c>
      <c r="E406" s="16">
        <v>19.71</v>
      </c>
      <c r="F406">
        <v>2017870</v>
      </c>
      <c r="G406" s="5">
        <v>43166</v>
      </c>
    </row>
    <row r="407" spans="1:7" x14ac:dyDescent="0.4">
      <c r="A407">
        <v>6</v>
      </c>
      <c r="B407" t="s">
        <v>910</v>
      </c>
      <c r="C407" s="10">
        <v>8.36</v>
      </c>
      <c r="D407" s="10">
        <v>1.33</v>
      </c>
      <c r="E407" s="16">
        <v>18.920000000000002</v>
      </c>
      <c r="F407">
        <v>594315</v>
      </c>
      <c r="G407" s="5">
        <v>43166</v>
      </c>
    </row>
    <row r="408" spans="1:7" x14ac:dyDescent="0.4">
      <c r="A408">
        <v>7</v>
      </c>
      <c r="B408" t="s">
        <v>434</v>
      </c>
      <c r="C408" s="10">
        <v>5.0999999999999996</v>
      </c>
      <c r="D408" s="10">
        <v>0.71</v>
      </c>
      <c r="E408" s="16">
        <v>16.170000000000002</v>
      </c>
      <c r="F408">
        <v>3173938</v>
      </c>
      <c r="G408" s="5">
        <v>43166</v>
      </c>
    </row>
    <row r="409" spans="1:7" x14ac:dyDescent="0.4">
      <c r="A409">
        <v>8</v>
      </c>
      <c r="B409" t="s">
        <v>1037</v>
      </c>
      <c r="C409" s="10">
        <v>4.46</v>
      </c>
      <c r="D409" s="10">
        <v>0.59</v>
      </c>
      <c r="E409" s="16">
        <v>15.25</v>
      </c>
      <c r="F409">
        <v>4496645</v>
      </c>
      <c r="G409" s="5">
        <v>43166</v>
      </c>
    </row>
    <row r="410" spans="1:7" x14ac:dyDescent="0.4">
      <c r="A410">
        <v>9</v>
      </c>
      <c r="B410" t="s">
        <v>1038</v>
      </c>
      <c r="C410" s="10">
        <v>137.69999999999999</v>
      </c>
      <c r="D410" s="10">
        <v>17.829999999999998</v>
      </c>
      <c r="E410" s="16">
        <v>14.87</v>
      </c>
      <c r="F410">
        <v>12481340</v>
      </c>
      <c r="G410" s="5">
        <v>43166</v>
      </c>
    </row>
    <row r="411" spans="1:7" x14ac:dyDescent="0.4">
      <c r="A411">
        <v>10</v>
      </c>
      <c r="B411" t="s">
        <v>952</v>
      </c>
      <c r="C411" s="10">
        <v>3.87</v>
      </c>
      <c r="D411" s="10">
        <v>0.49</v>
      </c>
      <c r="E411" s="16">
        <v>14.5</v>
      </c>
      <c r="F411">
        <v>120821</v>
      </c>
      <c r="G411" s="5">
        <v>43166</v>
      </c>
    </row>
    <row r="412" spans="1:7" x14ac:dyDescent="0.4">
      <c r="A412">
        <v>11</v>
      </c>
      <c r="B412" t="s">
        <v>136</v>
      </c>
      <c r="C412" s="10">
        <v>30.21</v>
      </c>
      <c r="D412" s="10">
        <v>3.79</v>
      </c>
      <c r="E412" s="16">
        <v>14.35</v>
      </c>
      <c r="F412">
        <v>813727</v>
      </c>
      <c r="G412" s="5">
        <v>43166</v>
      </c>
    </row>
    <row r="413" spans="1:7" x14ac:dyDescent="0.4">
      <c r="A413">
        <v>12</v>
      </c>
      <c r="B413" t="s">
        <v>1039</v>
      </c>
      <c r="C413" s="10">
        <v>3.19</v>
      </c>
      <c r="D413" s="10">
        <v>0.39</v>
      </c>
      <c r="E413" s="16">
        <v>13.93</v>
      </c>
      <c r="F413">
        <v>3286797</v>
      </c>
      <c r="G413" s="5">
        <v>43166</v>
      </c>
    </row>
    <row r="414" spans="1:7" x14ac:dyDescent="0.4">
      <c r="A414">
        <v>13</v>
      </c>
      <c r="B414" t="s">
        <v>1040</v>
      </c>
      <c r="C414" s="10">
        <v>41.81</v>
      </c>
      <c r="D414" s="10">
        <v>5.1100000000000003</v>
      </c>
      <c r="E414" s="16">
        <v>13.92</v>
      </c>
      <c r="F414">
        <v>547647</v>
      </c>
      <c r="G414" s="5">
        <v>43166</v>
      </c>
    </row>
    <row r="415" spans="1:7" x14ac:dyDescent="0.4">
      <c r="A415">
        <v>14</v>
      </c>
      <c r="B415" t="s">
        <v>115</v>
      </c>
      <c r="C415" s="10">
        <v>4.67</v>
      </c>
      <c r="D415" s="10">
        <v>0.56999999999999995</v>
      </c>
      <c r="E415" s="16">
        <v>13.9</v>
      </c>
      <c r="F415">
        <v>179389</v>
      </c>
      <c r="G415" s="5">
        <v>43166</v>
      </c>
    </row>
    <row r="416" spans="1:7" x14ac:dyDescent="0.4">
      <c r="A416">
        <v>15</v>
      </c>
      <c r="B416" t="s">
        <v>1041</v>
      </c>
      <c r="C416" s="10">
        <v>4.37</v>
      </c>
      <c r="D416" s="10">
        <v>0.51</v>
      </c>
      <c r="E416" s="16">
        <v>13.21</v>
      </c>
      <c r="F416">
        <v>234439</v>
      </c>
      <c r="G416" s="5">
        <v>43166</v>
      </c>
    </row>
    <row r="417" spans="1:7" x14ac:dyDescent="0.4">
      <c r="A417">
        <v>16</v>
      </c>
      <c r="B417" t="s">
        <v>166</v>
      </c>
      <c r="C417" s="10">
        <v>4.9000000000000004</v>
      </c>
      <c r="D417" s="10">
        <v>0.56999999999999995</v>
      </c>
      <c r="E417" s="16">
        <v>13.16</v>
      </c>
      <c r="F417">
        <v>690651</v>
      </c>
      <c r="G417" s="5">
        <v>43166</v>
      </c>
    </row>
    <row r="418" spans="1:7" x14ac:dyDescent="0.4">
      <c r="A418">
        <v>17</v>
      </c>
      <c r="B418" t="s">
        <v>1042</v>
      </c>
      <c r="C418" s="10">
        <v>48.86</v>
      </c>
      <c r="D418" s="10">
        <v>5.53</v>
      </c>
      <c r="E418" s="16">
        <v>12.76</v>
      </c>
      <c r="F418">
        <v>1678238</v>
      </c>
      <c r="G418" s="5">
        <v>43166</v>
      </c>
    </row>
    <row r="419" spans="1:7" x14ac:dyDescent="0.4">
      <c r="A419">
        <v>18</v>
      </c>
      <c r="B419" t="s">
        <v>1043</v>
      </c>
      <c r="C419" s="10">
        <v>9.0500000000000007</v>
      </c>
      <c r="D419" s="10">
        <v>1</v>
      </c>
      <c r="E419" s="16">
        <v>12.42</v>
      </c>
      <c r="F419">
        <v>1023883</v>
      </c>
      <c r="G419" s="5">
        <v>43166</v>
      </c>
    </row>
    <row r="420" spans="1:7" x14ac:dyDescent="0.4">
      <c r="A420">
        <v>19</v>
      </c>
      <c r="B420" t="s">
        <v>125</v>
      </c>
      <c r="C420" s="10">
        <v>7.04</v>
      </c>
      <c r="D420" s="10">
        <v>0.76</v>
      </c>
      <c r="E420" s="16">
        <v>12.1</v>
      </c>
      <c r="F420">
        <v>105565</v>
      </c>
      <c r="G420" s="5">
        <v>43166</v>
      </c>
    </row>
    <row r="421" spans="1:7" x14ac:dyDescent="0.4">
      <c r="A421">
        <v>20</v>
      </c>
      <c r="B421" t="s">
        <v>1044</v>
      </c>
      <c r="C421" s="10">
        <v>7.9</v>
      </c>
      <c r="D421" s="10">
        <v>0.85</v>
      </c>
      <c r="E421" s="16">
        <v>12.06</v>
      </c>
      <c r="F421">
        <v>232871</v>
      </c>
      <c r="G421" s="5">
        <v>43166</v>
      </c>
    </row>
    <row r="422" spans="1:7" x14ac:dyDescent="0.4">
      <c r="A422">
        <v>21</v>
      </c>
      <c r="B422" t="s">
        <v>123</v>
      </c>
      <c r="C422" s="10">
        <v>5.96</v>
      </c>
      <c r="D422" s="10">
        <v>0.64</v>
      </c>
      <c r="E422" s="16">
        <v>12.03</v>
      </c>
      <c r="F422">
        <v>135820</v>
      </c>
      <c r="G422" s="5">
        <v>43166</v>
      </c>
    </row>
    <row r="423" spans="1:7" x14ac:dyDescent="0.4">
      <c r="A423">
        <v>22</v>
      </c>
      <c r="B423" t="s">
        <v>1045</v>
      </c>
      <c r="C423" s="10">
        <v>23.52</v>
      </c>
      <c r="D423" s="10">
        <v>2.52</v>
      </c>
      <c r="E423" s="16">
        <v>12</v>
      </c>
      <c r="F423">
        <v>405941</v>
      </c>
      <c r="G423" s="5">
        <v>43166</v>
      </c>
    </row>
    <row r="424" spans="1:7" x14ac:dyDescent="0.4">
      <c r="A424">
        <v>23</v>
      </c>
      <c r="B424" t="s">
        <v>1046</v>
      </c>
      <c r="C424" s="10">
        <v>23.89</v>
      </c>
      <c r="D424" s="10">
        <v>2.54</v>
      </c>
      <c r="E424" s="16">
        <v>11.9</v>
      </c>
      <c r="F424">
        <v>13938844</v>
      </c>
      <c r="G424" s="5">
        <v>43166</v>
      </c>
    </row>
    <row r="425" spans="1:7" x14ac:dyDescent="0.4">
      <c r="A425">
        <v>24</v>
      </c>
      <c r="B425" t="s">
        <v>726</v>
      </c>
      <c r="C425" s="10">
        <v>2.4700000000000002</v>
      </c>
      <c r="D425" s="10">
        <v>0.26</v>
      </c>
      <c r="E425" s="16">
        <v>11.76</v>
      </c>
      <c r="F425">
        <v>177927</v>
      </c>
      <c r="G425" s="5">
        <v>43166</v>
      </c>
    </row>
    <row r="426" spans="1:7" x14ac:dyDescent="0.4">
      <c r="A426">
        <v>25</v>
      </c>
      <c r="B426" t="s">
        <v>28</v>
      </c>
      <c r="C426" s="10">
        <v>9.6</v>
      </c>
      <c r="D426" s="10">
        <v>1</v>
      </c>
      <c r="E426" s="16">
        <v>11.63</v>
      </c>
      <c r="F426">
        <v>143380</v>
      </c>
      <c r="G426" s="5">
        <v>43166</v>
      </c>
    </row>
    <row r="427" spans="1:7" x14ac:dyDescent="0.4">
      <c r="A427">
        <v>26</v>
      </c>
      <c r="B427" t="s">
        <v>1047</v>
      </c>
      <c r="C427" s="10">
        <v>28.73</v>
      </c>
      <c r="D427" s="10">
        <v>2.96</v>
      </c>
      <c r="E427" s="16">
        <v>11.49</v>
      </c>
      <c r="F427">
        <v>9235574</v>
      </c>
      <c r="G427" s="5">
        <v>43166</v>
      </c>
    </row>
    <row r="428" spans="1:7" x14ac:dyDescent="0.4">
      <c r="A428">
        <v>27</v>
      </c>
      <c r="B428" t="s">
        <v>142</v>
      </c>
      <c r="C428" s="10">
        <v>4.2</v>
      </c>
      <c r="D428" s="10">
        <v>0.43</v>
      </c>
      <c r="E428" s="16">
        <v>11.41</v>
      </c>
      <c r="F428">
        <v>69319</v>
      </c>
      <c r="G428" s="5">
        <v>43166</v>
      </c>
    </row>
    <row r="429" spans="1:7" x14ac:dyDescent="0.4">
      <c r="A429">
        <v>28</v>
      </c>
      <c r="B429" t="s">
        <v>210</v>
      </c>
      <c r="C429" s="10">
        <v>3.06</v>
      </c>
      <c r="D429" s="10">
        <v>0.31</v>
      </c>
      <c r="E429" s="16">
        <v>11.27</v>
      </c>
      <c r="F429">
        <v>383478</v>
      </c>
      <c r="G429" s="5">
        <v>43166</v>
      </c>
    </row>
    <row r="430" spans="1:7" x14ac:dyDescent="0.4">
      <c r="A430">
        <v>29</v>
      </c>
      <c r="B430" t="s">
        <v>160</v>
      </c>
      <c r="C430" s="10">
        <v>4.72</v>
      </c>
      <c r="D430" s="10">
        <v>0.46</v>
      </c>
      <c r="E430" s="16">
        <v>10.8</v>
      </c>
      <c r="F430">
        <v>337949</v>
      </c>
      <c r="G430" s="5">
        <v>43166</v>
      </c>
    </row>
    <row r="431" spans="1:7" x14ac:dyDescent="0.4">
      <c r="A431">
        <v>30</v>
      </c>
      <c r="B431" t="s">
        <v>1048</v>
      </c>
      <c r="C431" s="10">
        <v>15.05</v>
      </c>
      <c r="D431" s="10">
        <v>1.45</v>
      </c>
      <c r="E431" s="16">
        <v>10.66</v>
      </c>
      <c r="F431">
        <v>5199813</v>
      </c>
      <c r="G431" s="5">
        <v>43166</v>
      </c>
    </row>
    <row r="432" spans="1:7" x14ac:dyDescent="0.4">
      <c r="A432">
        <v>31</v>
      </c>
      <c r="B432" t="s">
        <v>451</v>
      </c>
      <c r="C432" s="10">
        <v>9.09</v>
      </c>
      <c r="D432" s="10">
        <v>0.86</v>
      </c>
      <c r="E432" s="16">
        <v>10.45</v>
      </c>
      <c r="F432">
        <v>253313</v>
      </c>
      <c r="G432" s="5">
        <v>43166</v>
      </c>
    </row>
    <row r="433" spans="1:7" x14ac:dyDescent="0.4">
      <c r="A433">
        <v>32</v>
      </c>
      <c r="B433" t="s">
        <v>1011</v>
      </c>
      <c r="C433" s="10">
        <v>2.65</v>
      </c>
      <c r="D433" s="10">
        <v>0.25</v>
      </c>
      <c r="E433" s="16">
        <v>10.42</v>
      </c>
      <c r="F433">
        <v>656993</v>
      </c>
      <c r="G433" s="5">
        <v>43166</v>
      </c>
    </row>
    <row r="434" spans="1:7" x14ac:dyDescent="0.4">
      <c r="A434">
        <v>33</v>
      </c>
      <c r="B434" t="s">
        <v>324</v>
      </c>
      <c r="C434" s="10">
        <v>6.26</v>
      </c>
      <c r="D434" s="10">
        <v>0.59</v>
      </c>
      <c r="E434" s="16">
        <v>10.41</v>
      </c>
      <c r="F434">
        <v>139486</v>
      </c>
      <c r="G434" s="5">
        <v>43166</v>
      </c>
    </row>
    <row r="435" spans="1:7" x14ac:dyDescent="0.4">
      <c r="A435">
        <v>34</v>
      </c>
      <c r="B435" t="s">
        <v>286</v>
      </c>
      <c r="C435" s="10">
        <v>2.67</v>
      </c>
      <c r="D435" s="10">
        <v>0.25</v>
      </c>
      <c r="E435" s="16">
        <v>10.33</v>
      </c>
      <c r="F435">
        <v>330214</v>
      </c>
      <c r="G435" s="5">
        <v>43166</v>
      </c>
    </row>
    <row r="436" spans="1:7" x14ac:dyDescent="0.4">
      <c r="A436">
        <v>35</v>
      </c>
      <c r="B436" t="s">
        <v>1049</v>
      </c>
      <c r="C436" s="10">
        <v>8.25</v>
      </c>
      <c r="D436" s="10">
        <v>0.77</v>
      </c>
      <c r="E436" s="16">
        <v>10.29</v>
      </c>
      <c r="F436">
        <v>173171</v>
      </c>
      <c r="G436" s="5">
        <v>43166</v>
      </c>
    </row>
    <row r="437" spans="1:7" x14ac:dyDescent="0.4">
      <c r="A437">
        <v>36</v>
      </c>
      <c r="B437" t="s">
        <v>1050</v>
      </c>
      <c r="C437" s="10">
        <v>14.28</v>
      </c>
      <c r="D437" s="10">
        <v>1.33</v>
      </c>
      <c r="E437" s="16">
        <v>10.27</v>
      </c>
      <c r="F437">
        <v>5249627</v>
      </c>
      <c r="G437" s="5">
        <v>43166</v>
      </c>
    </row>
    <row r="438" spans="1:7" x14ac:dyDescent="0.4">
      <c r="A438">
        <v>37</v>
      </c>
      <c r="B438" t="s">
        <v>237</v>
      </c>
      <c r="C438" s="10">
        <v>38.020000000000003</v>
      </c>
      <c r="D438" s="10">
        <v>3.5</v>
      </c>
      <c r="E438" s="16">
        <v>10.14</v>
      </c>
      <c r="F438">
        <v>787097</v>
      </c>
      <c r="G438" s="5">
        <v>43166</v>
      </c>
    </row>
    <row r="439" spans="1:7" x14ac:dyDescent="0.4">
      <c r="A439">
        <v>38</v>
      </c>
      <c r="B439" t="s">
        <v>1051</v>
      </c>
      <c r="C439" s="10">
        <v>42.28</v>
      </c>
      <c r="D439" s="10">
        <v>3.84</v>
      </c>
      <c r="E439" s="16">
        <v>9.99</v>
      </c>
      <c r="F439">
        <v>4383808</v>
      </c>
      <c r="G439" s="5">
        <v>43166</v>
      </c>
    </row>
    <row r="440" spans="1:7" x14ac:dyDescent="0.4">
      <c r="A440">
        <v>39</v>
      </c>
      <c r="B440" t="s">
        <v>916</v>
      </c>
      <c r="C440" s="10">
        <v>5.66</v>
      </c>
      <c r="D440" s="10">
        <v>0.51</v>
      </c>
      <c r="E440" s="16">
        <v>9.9</v>
      </c>
      <c r="F440">
        <v>554198</v>
      </c>
      <c r="G440" s="5">
        <v>43166</v>
      </c>
    </row>
    <row r="441" spans="1:7" x14ac:dyDescent="0.4">
      <c r="A441">
        <v>40</v>
      </c>
      <c r="B441" t="s">
        <v>1052</v>
      </c>
      <c r="C441" s="10">
        <v>2.67</v>
      </c>
      <c r="D441" s="10">
        <v>0.24</v>
      </c>
      <c r="E441" s="16">
        <v>9.8800000000000008</v>
      </c>
      <c r="F441">
        <v>1968714</v>
      </c>
      <c r="G441" s="5">
        <v>43166</v>
      </c>
    </row>
    <row r="442" spans="1:7" x14ac:dyDescent="0.4">
      <c r="A442">
        <v>41</v>
      </c>
      <c r="B442" t="s">
        <v>509</v>
      </c>
      <c r="C442" s="10">
        <v>29.98</v>
      </c>
      <c r="D442" s="10">
        <v>2.69</v>
      </c>
      <c r="E442" s="16">
        <v>9.86</v>
      </c>
      <c r="F442">
        <v>768926</v>
      </c>
      <c r="G442" s="5">
        <v>43166</v>
      </c>
    </row>
    <row r="443" spans="1:7" x14ac:dyDescent="0.4">
      <c r="A443">
        <v>42</v>
      </c>
      <c r="B443" t="s">
        <v>1053</v>
      </c>
      <c r="C443" s="10">
        <v>4.4800000000000004</v>
      </c>
      <c r="D443" s="10">
        <v>0.4</v>
      </c>
      <c r="E443" s="16">
        <v>9.8000000000000007</v>
      </c>
      <c r="F443">
        <v>1753905</v>
      </c>
      <c r="G443" s="5">
        <v>43166</v>
      </c>
    </row>
    <row r="444" spans="1:7" x14ac:dyDescent="0.4">
      <c r="A444">
        <v>43</v>
      </c>
      <c r="B444" t="s">
        <v>83</v>
      </c>
      <c r="C444" s="10">
        <v>14.69</v>
      </c>
      <c r="D444" s="10">
        <v>1.27</v>
      </c>
      <c r="E444" s="16">
        <v>9.4600000000000009</v>
      </c>
      <c r="F444">
        <v>282769</v>
      </c>
      <c r="G444" s="5">
        <v>43166</v>
      </c>
    </row>
    <row r="445" spans="1:7" x14ac:dyDescent="0.4">
      <c r="A445">
        <v>44</v>
      </c>
      <c r="B445" t="s">
        <v>886</v>
      </c>
      <c r="C445" s="10">
        <v>8.1</v>
      </c>
      <c r="D445" s="10">
        <v>0.7</v>
      </c>
      <c r="E445" s="16">
        <v>9.4600000000000009</v>
      </c>
      <c r="F445">
        <v>224105</v>
      </c>
      <c r="G445" s="5">
        <v>43166</v>
      </c>
    </row>
    <row r="446" spans="1:7" x14ac:dyDescent="0.4">
      <c r="A446">
        <v>45</v>
      </c>
      <c r="B446" t="s">
        <v>1054</v>
      </c>
      <c r="C446" s="10">
        <v>2.92</v>
      </c>
      <c r="D446" s="10">
        <v>0.25</v>
      </c>
      <c r="E446" s="16">
        <v>9.36</v>
      </c>
      <c r="F446">
        <v>2530</v>
      </c>
      <c r="G446" s="5">
        <v>43166</v>
      </c>
    </row>
    <row r="447" spans="1:7" x14ac:dyDescent="0.4">
      <c r="A447">
        <v>46</v>
      </c>
      <c r="B447" t="s">
        <v>516</v>
      </c>
      <c r="C447" s="10">
        <v>29.33</v>
      </c>
      <c r="D447" s="10">
        <v>2.4900000000000002</v>
      </c>
      <c r="E447" s="16">
        <v>9.2799999999999994</v>
      </c>
      <c r="F447">
        <v>1977512</v>
      </c>
      <c r="G447" s="5">
        <v>43166</v>
      </c>
    </row>
    <row r="448" spans="1:7" x14ac:dyDescent="0.4">
      <c r="A448">
        <v>47</v>
      </c>
      <c r="B448" t="s">
        <v>1055</v>
      </c>
      <c r="C448" s="10">
        <v>10.15</v>
      </c>
      <c r="D448" s="10">
        <v>0.85</v>
      </c>
      <c r="E448" s="16">
        <v>9.14</v>
      </c>
      <c r="F448">
        <v>343556</v>
      </c>
      <c r="G448" s="5">
        <v>43166</v>
      </c>
    </row>
    <row r="449" spans="1:7" x14ac:dyDescent="0.4">
      <c r="A449">
        <v>48</v>
      </c>
      <c r="B449" t="s">
        <v>278</v>
      </c>
      <c r="C449" s="10">
        <v>11.99</v>
      </c>
      <c r="D449" s="10">
        <v>0.99</v>
      </c>
      <c r="E449" s="16">
        <v>9</v>
      </c>
      <c r="F449">
        <v>293150</v>
      </c>
      <c r="G449" s="5">
        <v>43166</v>
      </c>
    </row>
    <row r="450" spans="1:7" x14ac:dyDescent="0.4">
      <c r="A450">
        <v>49</v>
      </c>
      <c r="B450" t="s">
        <v>559</v>
      </c>
      <c r="C450" s="10">
        <v>37.020000000000003</v>
      </c>
      <c r="D450" s="10">
        <v>3.05</v>
      </c>
      <c r="E450" s="16">
        <v>8.98</v>
      </c>
      <c r="F450">
        <v>23346503</v>
      </c>
      <c r="G450" s="5">
        <v>43166</v>
      </c>
    </row>
    <row r="451" spans="1:7" x14ac:dyDescent="0.4">
      <c r="A451">
        <v>50</v>
      </c>
      <c r="B451" t="s">
        <v>291</v>
      </c>
      <c r="C451" s="10">
        <v>19.579999999999998</v>
      </c>
      <c r="D451" s="10">
        <v>1.58</v>
      </c>
      <c r="E451" s="16">
        <v>8.7799999999999994</v>
      </c>
      <c r="F451">
        <v>601596</v>
      </c>
      <c r="G451" s="5">
        <v>43166</v>
      </c>
    </row>
    <row r="452" spans="1:7" x14ac:dyDescent="0.4">
      <c r="A452">
        <v>51</v>
      </c>
      <c r="B452" t="s">
        <v>155</v>
      </c>
      <c r="C452" s="10">
        <v>13.86</v>
      </c>
      <c r="D452" s="10">
        <v>1.1100000000000001</v>
      </c>
      <c r="E452" s="16">
        <v>8.7100000000000009</v>
      </c>
      <c r="F452">
        <v>199723</v>
      </c>
      <c r="G452" s="5">
        <v>43166</v>
      </c>
    </row>
    <row r="453" spans="1:7" x14ac:dyDescent="0.4">
      <c r="A453">
        <v>52</v>
      </c>
      <c r="B453" t="s">
        <v>1056</v>
      </c>
      <c r="C453" s="10">
        <v>5.69</v>
      </c>
      <c r="D453" s="10">
        <v>0.45</v>
      </c>
      <c r="E453" s="16">
        <v>8.59</v>
      </c>
      <c r="F453">
        <v>91415</v>
      </c>
      <c r="G453" s="5">
        <v>43166</v>
      </c>
    </row>
    <row r="454" spans="1:7" x14ac:dyDescent="0.4">
      <c r="A454">
        <v>53</v>
      </c>
      <c r="B454" t="s">
        <v>816</v>
      </c>
      <c r="C454" s="10">
        <v>4.5</v>
      </c>
      <c r="D454" s="10">
        <v>0.35</v>
      </c>
      <c r="E454" s="16">
        <v>8.43</v>
      </c>
      <c r="F454">
        <v>958322</v>
      </c>
      <c r="G454" s="5">
        <v>43166</v>
      </c>
    </row>
    <row r="455" spans="1:7" x14ac:dyDescent="0.4">
      <c r="A455">
        <v>54</v>
      </c>
      <c r="B455" t="s">
        <v>344</v>
      </c>
      <c r="C455" s="10">
        <v>10.95</v>
      </c>
      <c r="D455" s="10">
        <v>0.85</v>
      </c>
      <c r="E455" s="16">
        <v>8.42</v>
      </c>
      <c r="F455">
        <v>202015</v>
      </c>
      <c r="G455" s="5">
        <v>43166</v>
      </c>
    </row>
    <row r="456" spans="1:7" x14ac:dyDescent="0.4">
      <c r="A456">
        <v>55</v>
      </c>
      <c r="B456" t="s">
        <v>464</v>
      </c>
      <c r="C456" s="10">
        <v>4.2300000000000004</v>
      </c>
      <c r="D456" s="10">
        <v>0.32</v>
      </c>
      <c r="E456" s="16">
        <v>8.18</v>
      </c>
      <c r="F456">
        <v>181948</v>
      </c>
      <c r="G456" s="5">
        <v>43166</v>
      </c>
    </row>
    <row r="457" spans="1:7" x14ac:dyDescent="0.4">
      <c r="A457">
        <v>56</v>
      </c>
      <c r="B457" t="s">
        <v>1057</v>
      </c>
      <c r="C457" s="10">
        <v>61.52</v>
      </c>
      <c r="D457" s="10">
        <v>4.63</v>
      </c>
      <c r="E457" s="16">
        <v>8.14</v>
      </c>
      <c r="F457">
        <v>1257712</v>
      </c>
      <c r="G457" s="5">
        <v>43166</v>
      </c>
    </row>
    <row r="458" spans="1:7" x14ac:dyDescent="0.4">
      <c r="A458">
        <v>57</v>
      </c>
      <c r="B458" t="s">
        <v>272</v>
      </c>
      <c r="C458" s="10">
        <v>7.4</v>
      </c>
      <c r="D458" s="10">
        <v>0.55000000000000004</v>
      </c>
      <c r="E458" s="16">
        <v>8.0299999999999994</v>
      </c>
      <c r="F458">
        <v>690320</v>
      </c>
      <c r="G458" s="5">
        <v>43166</v>
      </c>
    </row>
    <row r="459" spans="1:7" x14ac:dyDescent="0.4">
      <c r="A459">
        <v>58</v>
      </c>
      <c r="B459" t="s">
        <v>494</v>
      </c>
      <c r="C459" s="10">
        <v>17.75</v>
      </c>
      <c r="D459" s="10">
        <v>1.3</v>
      </c>
      <c r="E459" s="16">
        <v>7.9</v>
      </c>
      <c r="F459">
        <v>439431</v>
      </c>
      <c r="G459" s="5">
        <v>43166</v>
      </c>
    </row>
    <row r="460" spans="1:7" x14ac:dyDescent="0.4">
      <c r="A460">
        <v>59</v>
      </c>
      <c r="B460" t="s">
        <v>1058</v>
      </c>
      <c r="C460" s="10">
        <v>28.55</v>
      </c>
      <c r="D460" s="10">
        <v>2.06</v>
      </c>
      <c r="E460" s="16">
        <v>7.78</v>
      </c>
      <c r="F460">
        <v>172601</v>
      </c>
      <c r="G460" s="5">
        <v>43166</v>
      </c>
    </row>
    <row r="461" spans="1:7" x14ac:dyDescent="0.4">
      <c r="A461">
        <v>60</v>
      </c>
      <c r="B461" t="s">
        <v>102</v>
      </c>
      <c r="C461" s="10">
        <v>6.28</v>
      </c>
      <c r="D461" s="10">
        <v>0.44</v>
      </c>
      <c r="E461" s="16">
        <v>7.53</v>
      </c>
      <c r="F461">
        <v>79734</v>
      </c>
      <c r="G461" s="5">
        <v>43166</v>
      </c>
    </row>
    <row r="462" spans="1:7" x14ac:dyDescent="0.4">
      <c r="A462">
        <v>61</v>
      </c>
      <c r="B462" t="s">
        <v>1059</v>
      </c>
      <c r="C462" s="10">
        <v>7.85</v>
      </c>
      <c r="D462" s="10">
        <v>0.55000000000000004</v>
      </c>
      <c r="E462" s="16">
        <v>7.53</v>
      </c>
      <c r="F462">
        <v>717416</v>
      </c>
      <c r="G462" s="5">
        <v>43166</v>
      </c>
    </row>
    <row r="463" spans="1:7" x14ac:dyDescent="0.4">
      <c r="A463">
        <v>62</v>
      </c>
      <c r="B463" t="s">
        <v>1000</v>
      </c>
      <c r="C463" s="10">
        <v>5.15</v>
      </c>
      <c r="D463" s="10">
        <v>0.35</v>
      </c>
      <c r="E463" s="16">
        <v>7.29</v>
      </c>
      <c r="F463">
        <v>114221</v>
      </c>
      <c r="G463" s="5">
        <v>43166</v>
      </c>
    </row>
    <row r="464" spans="1:7" x14ac:dyDescent="0.4">
      <c r="A464">
        <v>63</v>
      </c>
      <c r="B464" t="s">
        <v>18</v>
      </c>
      <c r="C464" s="10">
        <v>6.11</v>
      </c>
      <c r="D464" s="10">
        <v>0.41</v>
      </c>
      <c r="E464" s="16">
        <v>7.19</v>
      </c>
      <c r="F464">
        <v>181077</v>
      </c>
      <c r="G464" s="5">
        <v>43166</v>
      </c>
    </row>
    <row r="465" spans="1:7" x14ac:dyDescent="0.4">
      <c r="A465">
        <v>64</v>
      </c>
      <c r="B465" t="s">
        <v>972</v>
      </c>
      <c r="C465" s="10">
        <v>11.2</v>
      </c>
      <c r="D465" s="10">
        <v>0.75</v>
      </c>
      <c r="E465" s="16">
        <v>7.18</v>
      </c>
      <c r="F465">
        <v>426981</v>
      </c>
      <c r="G465" s="5">
        <v>43166</v>
      </c>
    </row>
    <row r="466" spans="1:7" x14ac:dyDescent="0.4">
      <c r="A466">
        <v>65</v>
      </c>
      <c r="B466" t="s">
        <v>402</v>
      </c>
      <c r="C466" s="10">
        <v>10.85</v>
      </c>
      <c r="D466" s="10">
        <v>0.72</v>
      </c>
      <c r="E466" s="16">
        <v>7.11</v>
      </c>
      <c r="F466">
        <v>228130</v>
      </c>
      <c r="G466" s="5">
        <v>43166</v>
      </c>
    </row>
    <row r="467" spans="1:7" x14ac:dyDescent="0.4">
      <c r="A467">
        <v>66</v>
      </c>
      <c r="B467" t="s">
        <v>519</v>
      </c>
      <c r="C467" s="10">
        <v>7.4</v>
      </c>
      <c r="D467" s="10">
        <v>0.49</v>
      </c>
      <c r="E467" s="16">
        <v>7.09</v>
      </c>
      <c r="F467">
        <v>206188</v>
      </c>
      <c r="G467" s="5">
        <v>43166</v>
      </c>
    </row>
    <row r="468" spans="1:7" x14ac:dyDescent="0.4">
      <c r="A468">
        <v>67</v>
      </c>
      <c r="B468" t="s">
        <v>829</v>
      </c>
      <c r="C468" s="10">
        <v>58.18</v>
      </c>
      <c r="D468" s="10">
        <v>3.83</v>
      </c>
      <c r="E468" s="16">
        <v>7.05</v>
      </c>
      <c r="F468">
        <v>1721524</v>
      </c>
      <c r="G468" s="5">
        <v>43166</v>
      </c>
    </row>
    <row r="469" spans="1:7" x14ac:dyDescent="0.4">
      <c r="A469">
        <v>68</v>
      </c>
      <c r="B469" t="s">
        <v>433</v>
      </c>
      <c r="C469" s="10">
        <v>11.02</v>
      </c>
      <c r="D469" s="10">
        <v>0.72</v>
      </c>
      <c r="E469" s="16">
        <v>6.99</v>
      </c>
      <c r="F469">
        <v>64715</v>
      </c>
      <c r="G469" s="5">
        <v>43166</v>
      </c>
    </row>
    <row r="470" spans="1:7" x14ac:dyDescent="0.4">
      <c r="A470">
        <v>69</v>
      </c>
      <c r="B470" t="s">
        <v>1060</v>
      </c>
      <c r="C470" s="10">
        <v>91.17</v>
      </c>
      <c r="D470" s="10">
        <v>5.94</v>
      </c>
      <c r="E470" s="16">
        <v>6.97</v>
      </c>
      <c r="F470">
        <v>1974748</v>
      </c>
      <c r="G470" s="5">
        <v>43166</v>
      </c>
    </row>
    <row r="471" spans="1:7" x14ac:dyDescent="0.4">
      <c r="A471">
        <v>70</v>
      </c>
      <c r="B471" t="s">
        <v>1061</v>
      </c>
      <c r="C471" s="10">
        <v>13.75</v>
      </c>
      <c r="D471" s="10">
        <v>0.88</v>
      </c>
      <c r="E471" s="16">
        <v>6.8</v>
      </c>
      <c r="F471">
        <v>1531926</v>
      </c>
      <c r="G471" s="5">
        <v>43166</v>
      </c>
    </row>
    <row r="472" spans="1:7" x14ac:dyDescent="0.4">
      <c r="A472">
        <v>71</v>
      </c>
      <c r="B472" t="s">
        <v>347</v>
      </c>
      <c r="C472" s="10">
        <v>4.4000000000000004</v>
      </c>
      <c r="D472" s="10">
        <v>0.28000000000000003</v>
      </c>
      <c r="E472" s="16">
        <v>6.75</v>
      </c>
      <c r="F472">
        <v>8854</v>
      </c>
      <c r="G472" s="5">
        <v>43166</v>
      </c>
    </row>
    <row r="473" spans="1:7" x14ac:dyDescent="0.4">
      <c r="A473">
        <v>72</v>
      </c>
      <c r="B473" t="s">
        <v>1062</v>
      </c>
      <c r="C473" s="10">
        <v>4.75</v>
      </c>
      <c r="D473" s="10">
        <v>0.3</v>
      </c>
      <c r="E473" s="16">
        <v>6.74</v>
      </c>
      <c r="F473">
        <v>287706</v>
      </c>
      <c r="G473" s="5">
        <v>43166</v>
      </c>
    </row>
    <row r="474" spans="1:7" x14ac:dyDescent="0.4">
      <c r="A474">
        <v>73</v>
      </c>
      <c r="B474" t="s">
        <v>146</v>
      </c>
      <c r="C474" s="10">
        <v>7.34</v>
      </c>
      <c r="D474" s="10">
        <v>0.46</v>
      </c>
      <c r="E474" s="16">
        <v>6.69</v>
      </c>
      <c r="F474">
        <v>104481</v>
      </c>
      <c r="G474" s="5">
        <v>43166</v>
      </c>
    </row>
    <row r="475" spans="1:7" x14ac:dyDescent="0.4">
      <c r="A475">
        <v>74</v>
      </c>
      <c r="B475" t="s">
        <v>619</v>
      </c>
      <c r="C475" s="10">
        <v>14.45</v>
      </c>
      <c r="D475" s="10">
        <v>0.9</v>
      </c>
      <c r="E475" s="16">
        <v>6.64</v>
      </c>
      <c r="F475">
        <v>30897</v>
      </c>
      <c r="G475" s="5">
        <v>43166</v>
      </c>
    </row>
    <row r="476" spans="1:7" x14ac:dyDescent="0.4">
      <c r="A476">
        <v>75</v>
      </c>
      <c r="B476" t="s">
        <v>1063</v>
      </c>
      <c r="C476" s="10">
        <v>10.5</v>
      </c>
      <c r="D476" s="10">
        <v>0.65</v>
      </c>
      <c r="E476" s="16">
        <v>6.6</v>
      </c>
      <c r="F476">
        <v>111231</v>
      </c>
      <c r="G476" s="5">
        <v>43166</v>
      </c>
    </row>
    <row r="477" spans="1:7" x14ac:dyDescent="0.4">
      <c r="A477">
        <v>76</v>
      </c>
      <c r="B477" t="s">
        <v>369</v>
      </c>
      <c r="C477" s="10">
        <v>8.2799999999999994</v>
      </c>
      <c r="D477" s="10">
        <v>0.51</v>
      </c>
      <c r="E477" s="16">
        <v>6.56</v>
      </c>
      <c r="F477">
        <v>1379330</v>
      </c>
      <c r="G477" s="5">
        <v>43166</v>
      </c>
    </row>
    <row r="478" spans="1:7" x14ac:dyDescent="0.4">
      <c r="A478">
        <v>77</v>
      </c>
      <c r="B478" t="s">
        <v>1064</v>
      </c>
      <c r="C478" s="10">
        <v>33.72</v>
      </c>
      <c r="D478" s="10">
        <v>2.0299999999999998</v>
      </c>
      <c r="E478" s="16">
        <v>6.41</v>
      </c>
      <c r="F478">
        <v>764432</v>
      </c>
      <c r="G478" s="5">
        <v>43166</v>
      </c>
    </row>
    <row r="479" spans="1:7" x14ac:dyDescent="0.4">
      <c r="A479">
        <v>78</v>
      </c>
      <c r="B479" t="s">
        <v>512</v>
      </c>
      <c r="C479" s="10">
        <v>126.33</v>
      </c>
      <c r="D479" s="10">
        <v>7.57</v>
      </c>
      <c r="E479" s="16">
        <v>6.37</v>
      </c>
      <c r="F479">
        <v>3372696</v>
      </c>
      <c r="G479" s="5">
        <v>43166</v>
      </c>
    </row>
    <row r="480" spans="1:7" x14ac:dyDescent="0.4">
      <c r="A480">
        <v>79</v>
      </c>
      <c r="B480" t="s">
        <v>1065</v>
      </c>
      <c r="C480" s="10">
        <v>12.36</v>
      </c>
      <c r="D480" s="10">
        <v>0.74</v>
      </c>
      <c r="E480" s="16">
        <v>6.37</v>
      </c>
      <c r="F480">
        <v>328186</v>
      </c>
      <c r="G480" s="5">
        <v>43166</v>
      </c>
    </row>
    <row r="481" spans="1:7" x14ac:dyDescent="0.4">
      <c r="A481">
        <v>80</v>
      </c>
      <c r="B481" t="s">
        <v>1066</v>
      </c>
      <c r="C481" s="10">
        <v>8.52</v>
      </c>
      <c r="D481" s="10">
        <v>0.51</v>
      </c>
      <c r="E481" s="16">
        <v>6.37</v>
      </c>
      <c r="F481">
        <v>573224</v>
      </c>
      <c r="G481" s="5">
        <v>43166</v>
      </c>
    </row>
    <row r="482" spans="1:7" x14ac:dyDescent="0.4">
      <c r="A482">
        <v>81</v>
      </c>
      <c r="B482" t="s">
        <v>686</v>
      </c>
      <c r="C482" s="10">
        <v>27.69</v>
      </c>
      <c r="D482" s="10">
        <v>1.63</v>
      </c>
      <c r="E482" s="16">
        <v>6.25</v>
      </c>
      <c r="F482">
        <v>3981399</v>
      </c>
      <c r="G482" s="5">
        <v>43166</v>
      </c>
    </row>
    <row r="483" spans="1:7" x14ac:dyDescent="0.4">
      <c r="A483">
        <v>82</v>
      </c>
      <c r="B483" t="s">
        <v>326</v>
      </c>
      <c r="C483" s="10">
        <v>4.43</v>
      </c>
      <c r="D483" s="10">
        <v>0.26</v>
      </c>
      <c r="E483" s="16">
        <v>6.24</v>
      </c>
      <c r="F483">
        <v>717447</v>
      </c>
      <c r="G483" s="5">
        <v>43166</v>
      </c>
    </row>
    <row r="484" spans="1:7" x14ac:dyDescent="0.4">
      <c r="A484">
        <v>83</v>
      </c>
      <c r="B484" t="s">
        <v>227</v>
      </c>
      <c r="C484" s="10">
        <v>2.39</v>
      </c>
      <c r="D484" s="10">
        <v>0.14000000000000001</v>
      </c>
      <c r="E484" s="16">
        <v>6.22</v>
      </c>
      <c r="F484">
        <v>1190639</v>
      </c>
      <c r="G484" s="5">
        <v>43166</v>
      </c>
    </row>
    <row r="485" spans="1:7" x14ac:dyDescent="0.4">
      <c r="A485">
        <v>84</v>
      </c>
      <c r="B485" t="s">
        <v>1067</v>
      </c>
      <c r="C485" s="10">
        <v>23.5</v>
      </c>
      <c r="D485" s="10">
        <v>1.37</v>
      </c>
      <c r="E485" s="16">
        <v>6.19</v>
      </c>
      <c r="F485">
        <v>108804</v>
      </c>
      <c r="G485" s="5">
        <v>43166</v>
      </c>
    </row>
    <row r="486" spans="1:7" x14ac:dyDescent="0.4">
      <c r="A486">
        <v>85</v>
      </c>
      <c r="B486" t="s">
        <v>165</v>
      </c>
      <c r="C486" s="10">
        <v>2.92</v>
      </c>
      <c r="D486" s="10">
        <v>0.17</v>
      </c>
      <c r="E486" s="16">
        <v>6.18</v>
      </c>
      <c r="F486">
        <v>145056</v>
      </c>
      <c r="G486" s="5">
        <v>43166</v>
      </c>
    </row>
    <row r="487" spans="1:7" x14ac:dyDescent="0.4">
      <c r="A487">
        <v>86</v>
      </c>
      <c r="B487" t="s">
        <v>1068</v>
      </c>
      <c r="C487" s="10">
        <v>4.3</v>
      </c>
      <c r="D487" s="10">
        <v>0.25</v>
      </c>
      <c r="E487" s="16">
        <v>6.17</v>
      </c>
      <c r="F487">
        <v>74774</v>
      </c>
      <c r="G487" s="5">
        <v>43166</v>
      </c>
    </row>
    <row r="488" spans="1:7" x14ac:dyDescent="0.4">
      <c r="A488">
        <v>87</v>
      </c>
      <c r="B488" t="s">
        <v>356</v>
      </c>
      <c r="C488" s="10">
        <v>34.51</v>
      </c>
      <c r="D488" s="10">
        <v>2</v>
      </c>
      <c r="E488" s="16">
        <v>6.15</v>
      </c>
      <c r="F488">
        <v>26430</v>
      </c>
      <c r="G488" s="5">
        <v>43166</v>
      </c>
    </row>
    <row r="489" spans="1:7" x14ac:dyDescent="0.4">
      <c r="A489">
        <v>88</v>
      </c>
      <c r="B489" t="s">
        <v>1069</v>
      </c>
      <c r="C489" s="10">
        <v>8.11</v>
      </c>
      <c r="D489" s="10">
        <v>0.47</v>
      </c>
      <c r="E489" s="16">
        <v>6.15</v>
      </c>
      <c r="F489">
        <v>135675</v>
      </c>
      <c r="G489" s="5">
        <v>43166</v>
      </c>
    </row>
    <row r="490" spans="1:7" x14ac:dyDescent="0.4">
      <c r="A490">
        <v>89</v>
      </c>
      <c r="B490" t="s">
        <v>1070</v>
      </c>
      <c r="C490" s="10">
        <v>31.59</v>
      </c>
      <c r="D490" s="10">
        <v>1.82</v>
      </c>
      <c r="E490" s="16">
        <v>6.11</v>
      </c>
      <c r="F490">
        <v>529445</v>
      </c>
      <c r="G490" s="5">
        <v>43166</v>
      </c>
    </row>
    <row r="491" spans="1:7" x14ac:dyDescent="0.4">
      <c r="A491">
        <v>90</v>
      </c>
      <c r="B491" t="s">
        <v>320</v>
      </c>
      <c r="C491" s="10">
        <v>3.85</v>
      </c>
      <c r="D491" s="10">
        <v>0.22</v>
      </c>
      <c r="E491" s="16">
        <v>6.06</v>
      </c>
      <c r="F491">
        <v>2529145</v>
      </c>
      <c r="G491" s="5">
        <v>43166</v>
      </c>
    </row>
    <row r="492" spans="1:7" x14ac:dyDescent="0.4">
      <c r="A492">
        <v>91</v>
      </c>
      <c r="B492" t="s">
        <v>1071</v>
      </c>
      <c r="C492" s="10">
        <v>6.65</v>
      </c>
      <c r="D492" s="10">
        <v>0.38</v>
      </c>
      <c r="E492" s="16">
        <v>6.06</v>
      </c>
      <c r="F492">
        <v>191613</v>
      </c>
      <c r="G492" s="5">
        <v>43166</v>
      </c>
    </row>
    <row r="493" spans="1:7" x14ac:dyDescent="0.4">
      <c r="A493">
        <v>92</v>
      </c>
      <c r="B493" t="s">
        <v>229</v>
      </c>
      <c r="C493" s="10">
        <v>2.8</v>
      </c>
      <c r="D493" s="10">
        <v>0.16</v>
      </c>
      <c r="E493" s="16">
        <v>6.06</v>
      </c>
      <c r="F493">
        <v>146188</v>
      </c>
      <c r="G493" s="5">
        <v>43166</v>
      </c>
    </row>
    <row r="494" spans="1:7" x14ac:dyDescent="0.4">
      <c r="A494">
        <v>93</v>
      </c>
      <c r="B494" t="s">
        <v>1072</v>
      </c>
      <c r="C494" s="10">
        <v>11.59</v>
      </c>
      <c r="D494" s="10">
        <v>0.66</v>
      </c>
      <c r="E494" s="16">
        <v>6.04</v>
      </c>
      <c r="F494">
        <v>688523</v>
      </c>
      <c r="G494" s="5">
        <v>43166</v>
      </c>
    </row>
    <row r="495" spans="1:7" x14ac:dyDescent="0.4">
      <c r="A495">
        <v>94</v>
      </c>
      <c r="B495" t="s">
        <v>1073</v>
      </c>
      <c r="C495" s="10">
        <v>16.010000000000002</v>
      </c>
      <c r="D495" s="10">
        <v>0.91</v>
      </c>
      <c r="E495" s="16">
        <v>6.03</v>
      </c>
      <c r="F495">
        <v>582183</v>
      </c>
      <c r="G495" s="5">
        <v>43166</v>
      </c>
    </row>
    <row r="496" spans="1:7" x14ac:dyDescent="0.4">
      <c r="A496">
        <v>95</v>
      </c>
      <c r="B496" t="s">
        <v>256</v>
      </c>
      <c r="C496" s="10">
        <v>55.85</v>
      </c>
      <c r="D496" s="10">
        <v>3.15</v>
      </c>
      <c r="E496" s="16">
        <v>5.98</v>
      </c>
      <c r="F496">
        <v>411956</v>
      </c>
      <c r="G496" s="5">
        <v>43166</v>
      </c>
    </row>
    <row r="497" spans="1:7" x14ac:dyDescent="0.4">
      <c r="A497">
        <v>96</v>
      </c>
      <c r="B497" t="s">
        <v>1074</v>
      </c>
      <c r="C497" s="10">
        <v>26.6</v>
      </c>
      <c r="D497" s="10">
        <v>1.5</v>
      </c>
      <c r="E497" s="16">
        <v>5.98</v>
      </c>
      <c r="F497">
        <v>144202</v>
      </c>
      <c r="G497" s="5">
        <v>43166</v>
      </c>
    </row>
    <row r="498" spans="1:7" x14ac:dyDescent="0.4">
      <c r="A498">
        <v>97</v>
      </c>
      <c r="B498" t="s">
        <v>1075</v>
      </c>
      <c r="C498" s="10">
        <v>17.899999999999999</v>
      </c>
      <c r="D498" s="10">
        <v>1</v>
      </c>
      <c r="E498" s="16">
        <v>5.92</v>
      </c>
      <c r="F498">
        <v>34436</v>
      </c>
      <c r="G498" s="5">
        <v>43166</v>
      </c>
    </row>
    <row r="499" spans="1:7" x14ac:dyDescent="0.4">
      <c r="A499">
        <v>98</v>
      </c>
      <c r="B499" t="s">
        <v>1076</v>
      </c>
      <c r="C499" s="10">
        <v>28.5</v>
      </c>
      <c r="D499" s="10">
        <v>1.59</v>
      </c>
      <c r="E499" s="16">
        <v>5.91</v>
      </c>
      <c r="F499">
        <v>13592</v>
      </c>
      <c r="G499" s="5">
        <v>43166</v>
      </c>
    </row>
    <row r="500" spans="1:7" x14ac:dyDescent="0.4">
      <c r="A500">
        <v>99</v>
      </c>
      <c r="B500" t="s">
        <v>1077</v>
      </c>
      <c r="C500" s="10">
        <v>13.4</v>
      </c>
      <c r="D500" s="10">
        <v>0.74</v>
      </c>
      <c r="E500" s="16">
        <v>5.85</v>
      </c>
      <c r="F500">
        <v>61473</v>
      </c>
      <c r="G500" s="5">
        <v>43166</v>
      </c>
    </row>
    <row r="501" spans="1:7" x14ac:dyDescent="0.4">
      <c r="A501">
        <v>100</v>
      </c>
      <c r="B501" t="s">
        <v>1078</v>
      </c>
      <c r="C501" s="10">
        <v>41.9</v>
      </c>
      <c r="D501" s="10">
        <v>2.2999999999999998</v>
      </c>
      <c r="E501" s="16">
        <v>5.81</v>
      </c>
      <c r="F501">
        <v>544960</v>
      </c>
      <c r="G501" s="5">
        <v>43166</v>
      </c>
    </row>
    <row r="502" spans="1:7" x14ac:dyDescent="0.4">
      <c r="A502">
        <v>1</v>
      </c>
      <c r="B502" t="s">
        <v>209</v>
      </c>
      <c r="C502" s="10">
        <v>6.55</v>
      </c>
      <c r="D502" s="10">
        <v>2.84</v>
      </c>
      <c r="E502" s="16">
        <v>76.73</v>
      </c>
      <c r="F502">
        <v>549202</v>
      </c>
      <c r="G502" s="5">
        <v>43167</v>
      </c>
    </row>
    <row r="503" spans="1:7" x14ac:dyDescent="0.4">
      <c r="A503">
        <v>2</v>
      </c>
      <c r="B503" t="s">
        <v>18</v>
      </c>
      <c r="C503" s="10">
        <v>10.49</v>
      </c>
      <c r="D503" s="10">
        <v>4.38</v>
      </c>
      <c r="E503" s="16">
        <v>71.69</v>
      </c>
      <c r="F503">
        <v>8593751</v>
      </c>
      <c r="G503" s="5">
        <v>43167</v>
      </c>
    </row>
    <row r="504" spans="1:7" x14ac:dyDescent="0.4">
      <c r="A504">
        <v>3</v>
      </c>
      <c r="B504" t="s">
        <v>120</v>
      </c>
      <c r="C504" s="10">
        <v>13.69</v>
      </c>
      <c r="D504" s="10">
        <v>5.24</v>
      </c>
      <c r="E504" s="16">
        <v>61.96</v>
      </c>
      <c r="F504">
        <v>231893</v>
      </c>
      <c r="G504" s="5">
        <v>43167</v>
      </c>
    </row>
    <row r="505" spans="1:7" x14ac:dyDescent="0.4">
      <c r="A505">
        <v>4</v>
      </c>
      <c r="B505" t="s">
        <v>886</v>
      </c>
      <c r="C505" s="10">
        <v>11.1</v>
      </c>
      <c r="D505" s="10">
        <v>3</v>
      </c>
      <c r="E505" s="16">
        <v>37.04</v>
      </c>
      <c r="F505">
        <v>2631019</v>
      </c>
      <c r="G505" s="5">
        <v>43167</v>
      </c>
    </row>
    <row r="506" spans="1:7" x14ac:dyDescent="0.4">
      <c r="A506">
        <v>5</v>
      </c>
      <c r="B506" t="s">
        <v>139</v>
      </c>
      <c r="C506" s="10">
        <v>18.489999999999998</v>
      </c>
      <c r="D506" s="10">
        <v>3.96</v>
      </c>
      <c r="E506" s="16">
        <v>27.25</v>
      </c>
      <c r="F506">
        <v>13839559</v>
      </c>
      <c r="G506" s="5">
        <v>43167</v>
      </c>
    </row>
    <row r="507" spans="1:7" x14ac:dyDescent="0.4">
      <c r="A507">
        <v>6</v>
      </c>
      <c r="B507" t="s">
        <v>994</v>
      </c>
      <c r="C507" s="10">
        <v>32.5</v>
      </c>
      <c r="D507" s="10">
        <v>6.5</v>
      </c>
      <c r="E507" s="16">
        <v>25</v>
      </c>
      <c r="F507">
        <v>2257</v>
      </c>
      <c r="G507" s="5">
        <v>43167</v>
      </c>
    </row>
    <row r="508" spans="1:7" x14ac:dyDescent="0.4">
      <c r="A508">
        <v>7</v>
      </c>
      <c r="B508" t="s">
        <v>995</v>
      </c>
      <c r="C508" s="10">
        <v>30.03</v>
      </c>
      <c r="D508" s="10">
        <v>5.76</v>
      </c>
      <c r="E508" s="16">
        <v>23.73</v>
      </c>
      <c r="F508">
        <v>1370947</v>
      </c>
      <c r="G508" s="5">
        <v>43167</v>
      </c>
    </row>
    <row r="509" spans="1:7" x14ac:dyDescent="0.4">
      <c r="A509">
        <v>8</v>
      </c>
      <c r="B509" t="s">
        <v>191</v>
      </c>
      <c r="C509" s="10">
        <v>29.21</v>
      </c>
      <c r="D509" s="10">
        <v>5.45</v>
      </c>
      <c r="E509" s="16">
        <v>22.94</v>
      </c>
      <c r="F509">
        <v>2131072</v>
      </c>
      <c r="G509" s="5">
        <v>43167</v>
      </c>
    </row>
    <row r="510" spans="1:7" x14ac:dyDescent="0.4">
      <c r="A510">
        <v>9</v>
      </c>
      <c r="B510" t="s">
        <v>242</v>
      </c>
      <c r="C510" s="10">
        <v>3.17</v>
      </c>
      <c r="D510" s="10">
        <v>0.56000000000000005</v>
      </c>
      <c r="E510" s="16">
        <v>21.46</v>
      </c>
      <c r="F510">
        <v>2741899</v>
      </c>
      <c r="G510" s="5">
        <v>43167</v>
      </c>
    </row>
    <row r="511" spans="1:7" x14ac:dyDescent="0.4">
      <c r="A511">
        <v>10</v>
      </c>
      <c r="B511" t="s">
        <v>68</v>
      </c>
      <c r="C511" s="10">
        <v>26.08</v>
      </c>
      <c r="D511" s="10">
        <v>4.24</v>
      </c>
      <c r="E511" s="16">
        <v>19.41</v>
      </c>
      <c r="F511">
        <v>2194883</v>
      </c>
      <c r="G511" s="5">
        <v>43167</v>
      </c>
    </row>
    <row r="512" spans="1:7" x14ac:dyDescent="0.4">
      <c r="A512">
        <v>11</v>
      </c>
      <c r="B512" t="s">
        <v>328</v>
      </c>
      <c r="C512" s="10">
        <v>8.85</v>
      </c>
      <c r="D512" s="10">
        <v>1.25</v>
      </c>
      <c r="E512" s="16">
        <v>16.45</v>
      </c>
      <c r="F512">
        <v>232345</v>
      </c>
      <c r="G512" s="5">
        <v>43167</v>
      </c>
    </row>
    <row r="513" spans="1:7" x14ac:dyDescent="0.4">
      <c r="A513">
        <v>12</v>
      </c>
      <c r="B513" t="s">
        <v>996</v>
      </c>
      <c r="C513" s="10">
        <v>4.03</v>
      </c>
      <c r="D513" s="10">
        <v>0.56000000000000005</v>
      </c>
      <c r="E513" s="16">
        <v>16.07</v>
      </c>
      <c r="F513">
        <v>1353609</v>
      </c>
      <c r="G513" s="5">
        <v>43167</v>
      </c>
    </row>
    <row r="514" spans="1:7" x14ac:dyDescent="0.4">
      <c r="A514">
        <v>13</v>
      </c>
      <c r="B514" t="s">
        <v>997</v>
      </c>
      <c r="C514" s="10">
        <v>8.32</v>
      </c>
      <c r="D514" s="10">
        <v>1.1000000000000001</v>
      </c>
      <c r="E514" s="16">
        <v>15.24</v>
      </c>
      <c r="F514">
        <v>5379556</v>
      </c>
      <c r="G514" s="5">
        <v>43167</v>
      </c>
    </row>
    <row r="515" spans="1:7" x14ac:dyDescent="0.4">
      <c r="A515">
        <v>14</v>
      </c>
      <c r="B515" t="s">
        <v>977</v>
      </c>
      <c r="C515" s="10">
        <v>7.85</v>
      </c>
      <c r="D515" s="10">
        <v>0.97</v>
      </c>
      <c r="E515" s="16">
        <v>14.1</v>
      </c>
      <c r="F515">
        <v>934886</v>
      </c>
      <c r="G515" s="5">
        <v>43167</v>
      </c>
    </row>
    <row r="516" spans="1:7" x14ac:dyDescent="0.4">
      <c r="A516">
        <v>15</v>
      </c>
      <c r="B516" t="s">
        <v>115</v>
      </c>
      <c r="C516" s="10">
        <v>5.32</v>
      </c>
      <c r="D516" s="10">
        <v>0.65</v>
      </c>
      <c r="E516" s="16">
        <v>13.92</v>
      </c>
      <c r="F516">
        <v>302287</v>
      </c>
      <c r="G516" s="5">
        <v>43167</v>
      </c>
    </row>
    <row r="517" spans="1:7" x14ac:dyDescent="0.4">
      <c r="A517">
        <v>16</v>
      </c>
      <c r="B517" t="s">
        <v>173</v>
      </c>
      <c r="C517" s="10">
        <v>7.3</v>
      </c>
      <c r="D517" s="10">
        <v>0.85</v>
      </c>
      <c r="E517" s="16">
        <v>13.18</v>
      </c>
      <c r="F517">
        <v>331448</v>
      </c>
      <c r="G517" s="5">
        <v>43167</v>
      </c>
    </row>
    <row r="518" spans="1:7" x14ac:dyDescent="0.4">
      <c r="A518">
        <v>17</v>
      </c>
      <c r="B518" t="s">
        <v>408</v>
      </c>
      <c r="C518" s="10">
        <v>17.02</v>
      </c>
      <c r="D518" s="10">
        <v>1.94</v>
      </c>
      <c r="E518" s="16">
        <v>12.86</v>
      </c>
      <c r="F518">
        <v>330100</v>
      </c>
      <c r="G518" s="5">
        <v>43167</v>
      </c>
    </row>
    <row r="519" spans="1:7" x14ac:dyDescent="0.4">
      <c r="A519">
        <v>18</v>
      </c>
      <c r="B519" t="s">
        <v>998</v>
      </c>
      <c r="C519" s="10">
        <v>2.73</v>
      </c>
      <c r="D519" s="10">
        <v>0.31</v>
      </c>
      <c r="E519" s="16">
        <v>12.81</v>
      </c>
      <c r="F519">
        <v>3736343</v>
      </c>
      <c r="G519" s="5">
        <v>43167</v>
      </c>
    </row>
    <row r="520" spans="1:7" x14ac:dyDescent="0.4">
      <c r="A520">
        <v>19</v>
      </c>
      <c r="B520" t="s">
        <v>55</v>
      </c>
      <c r="C520" s="10">
        <v>4</v>
      </c>
      <c r="D520" s="10">
        <v>0.45</v>
      </c>
      <c r="E520" s="16">
        <v>12.68</v>
      </c>
      <c r="F520">
        <v>726803</v>
      </c>
      <c r="G520" s="5">
        <v>43167</v>
      </c>
    </row>
    <row r="521" spans="1:7" x14ac:dyDescent="0.4">
      <c r="A521">
        <v>20</v>
      </c>
      <c r="B521" t="s">
        <v>972</v>
      </c>
      <c r="C521" s="10">
        <v>12.6</v>
      </c>
      <c r="D521" s="10">
        <v>1.4</v>
      </c>
      <c r="E521" s="16">
        <v>12.5</v>
      </c>
      <c r="F521">
        <v>76893</v>
      </c>
      <c r="G521" s="5">
        <v>43167</v>
      </c>
    </row>
    <row r="522" spans="1:7" x14ac:dyDescent="0.4">
      <c r="A522">
        <v>21</v>
      </c>
      <c r="B522" t="s">
        <v>278</v>
      </c>
      <c r="C522" s="10">
        <v>13.46</v>
      </c>
      <c r="D522" s="10">
        <v>1.47</v>
      </c>
      <c r="E522" s="16">
        <v>12.26</v>
      </c>
      <c r="F522">
        <v>250401</v>
      </c>
      <c r="G522" s="5">
        <v>43167</v>
      </c>
    </row>
    <row r="523" spans="1:7" x14ac:dyDescent="0.4">
      <c r="A523">
        <v>22</v>
      </c>
      <c r="B523" t="s">
        <v>166</v>
      </c>
      <c r="C523" s="10">
        <v>5.49</v>
      </c>
      <c r="D523" s="10">
        <v>0.59</v>
      </c>
      <c r="E523" s="16">
        <v>12.04</v>
      </c>
      <c r="F523">
        <v>1332724</v>
      </c>
      <c r="G523" s="5">
        <v>43167</v>
      </c>
    </row>
    <row r="524" spans="1:7" x14ac:dyDescent="0.4">
      <c r="A524">
        <v>23</v>
      </c>
      <c r="B524" t="s">
        <v>999</v>
      </c>
      <c r="C524" s="10">
        <v>85.56</v>
      </c>
      <c r="D524" s="10">
        <v>9.17</v>
      </c>
      <c r="E524" s="16">
        <v>12</v>
      </c>
      <c r="F524">
        <v>2726</v>
      </c>
      <c r="G524" s="5">
        <v>43167</v>
      </c>
    </row>
    <row r="525" spans="1:7" x14ac:dyDescent="0.4">
      <c r="A525">
        <v>24</v>
      </c>
      <c r="B525" t="s">
        <v>155</v>
      </c>
      <c r="C525" s="10">
        <v>15.5</v>
      </c>
      <c r="D525" s="10">
        <v>1.64</v>
      </c>
      <c r="E525" s="16">
        <v>11.83</v>
      </c>
      <c r="F525">
        <v>177386</v>
      </c>
      <c r="G525" s="5">
        <v>43167</v>
      </c>
    </row>
    <row r="526" spans="1:7" x14ac:dyDescent="0.4">
      <c r="A526">
        <v>25</v>
      </c>
      <c r="B526" t="s">
        <v>1000</v>
      </c>
      <c r="C526" s="10">
        <v>5.75</v>
      </c>
      <c r="D526" s="10">
        <v>0.6</v>
      </c>
      <c r="E526" s="16">
        <v>11.65</v>
      </c>
      <c r="F526">
        <v>134640</v>
      </c>
      <c r="G526" s="5">
        <v>43167</v>
      </c>
    </row>
    <row r="527" spans="1:7" x14ac:dyDescent="0.4">
      <c r="A527">
        <v>26</v>
      </c>
      <c r="B527" t="s">
        <v>1001</v>
      </c>
      <c r="C527" s="10">
        <v>6.38</v>
      </c>
      <c r="D527" s="10">
        <v>0.65</v>
      </c>
      <c r="E527" s="16">
        <v>11.34</v>
      </c>
      <c r="F527">
        <v>791117</v>
      </c>
      <c r="G527" s="5">
        <v>43167</v>
      </c>
    </row>
    <row r="528" spans="1:7" x14ac:dyDescent="0.4">
      <c r="A528">
        <v>27</v>
      </c>
      <c r="B528" t="s">
        <v>1002</v>
      </c>
      <c r="C528" s="10">
        <v>2.75</v>
      </c>
      <c r="D528" s="10">
        <v>0.28000000000000003</v>
      </c>
      <c r="E528" s="16">
        <v>11.34</v>
      </c>
      <c r="F528">
        <v>4767923</v>
      </c>
      <c r="G528" s="5">
        <v>43167</v>
      </c>
    </row>
    <row r="529" spans="1:7" x14ac:dyDescent="0.4">
      <c r="A529">
        <v>28</v>
      </c>
      <c r="B529" t="s">
        <v>1003</v>
      </c>
      <c r="C529" s="10">
        <v>22.1</v>
      </c>
      <c r="D529" s="10">
        <v>2.2000000000000002</v>
      </c>
      <c r="E529" s="16">
        <v>11.06</v>
      </c>
      <c r="F529">
        <v>388802</v>
      </c>
      <c r="G529" s="5">
        <v>43167</v>
      </c>
    </row>
    <row r="530" spans="1:7" x14ac:dyDescent="0.4">
      <c r="A530">
        <v>29</v>
      </c>
      <c r="B530" t="s">
        <v>1004</v>
      </c>
      <c r="C530" s="10">
        <v>2.75</v>
      </c>
      <c r="D530" s="10">
        <v>0.27</v>
      </c>
      <c r="E530" s="16">
        <v>10.89</v>
      </c>
      <c r="F530">
        <v>2113661</v>
      </c>
      <c r="G530" s="5">
        <v>43167</v>
      </c>
    </row>
    <row r="531" spans="1:7" x14ac:dyDescent="0.4">
      <c r="A531">
        <v>30</v>
      </c>
      <c r="B531" t="s">
        <v>1005</v>
      </c>
      <c r="C531" s="10">
        <v>8.15</v>
      </c>
      <c r="D531" s="10">
        <v>0.8</v>
      </c>
      <c r="E531" s="16">
        <v>10.88</v>
      </c>
      <c r="F531">
        <v>1219430</v>
      </c>
      <c r="G531" s="5">
        <v>43167</v>
      </c>
    </row>
    <row r="532" spans="1:7" x14ac:dyDescent="0.4">
      <c r="A532">
        <v>31</v>
      </c>
      <c r="B532" t="s">
        <v>1006</v>
      </c>
      <c r="C532" s="10">
        <v>5.0999999999999996</v>
      </c>
      <c r="D532" s="10">
        <v>0.5</v>
      </c>
      <c r="E532" s="16">
        <v>10.87</v>
      </c>
      <c r="F532">
        <v>12354</v>
      </c>
      <c r="G532" s="5">
        <v>43167</v>
      </c>
    </row>
    <row r="533" spans="1:7" x14ac:dyDescent="0.4">
      <c r="A533">
        <v>32</v>
      </c>
      <c r="B533" t="s">
        <v>210</v>
      </c>
      <c r="C533" s="10">
        <v>3.39</v>
      </c>
      <c r="D533" s="10">
        <v>0.33</v>
      </c>
      <c r="E533" s="16">
        <v>10.78</v>
      </c>
      <c r="F533">
        <v>303132</v>
      </c>
      <c r="G533" s="5">
        <v>43167</v>
      </c>
    </row>
    <row r="534" spans="1:7" x14ac:dyDescent="0.4">
      <c r="A534">
        <v>33</v>
      </c>
      <c r="B534" t="s">
        <v>25</v>
      </c>
      <c r="C534" s="10">
        <v>6.28</v>
      </c>
      <c r="D534" s="10">
        <v>0.6</v>
      </c>
      <c r="E534" s="16">
        <v>10.56</v>
      </c>
      <c r="F534">
        <v>79284</v>
      </c>
      <c r="G534" s="5">
        <v>43167</v>
      </c>
    </row>
    <row r="535" spans="1:7" x14ac:dyDescent="0.4">
      <c r="A535">
        <v>34</v>
      </c>
      <c r="B535" t="s">
        <v>217</v>
      </c>
      <c r="C535" s="10">
        <v>4.41</v>
      </c>
      <c r="D535" s="10">
        <v>0.42</v>
      </c>
      <c r="E535" s="16">
        <v>10.53</v>
      </c>
      <c r="F535">
        <v>25766</v>
      </c>
      <c r="G535" s="5">
        <v>43167</v>
      </c>
    </row>
    <row r="536" spans="1:7" x14ac:dyDescent="0.4">
      <c r="A536">
        <v>35</v>
      </c>
      <c r="B536" t="s">
        <v>344</v>
      </c>
      <c r="C536" s="10">
        <v>12.1</v>
      </c>
      <c r="D536" s="10">
        <v>1.1499999999999999</v>
      </c>
      <c r="E536" s="16">
        <v>10.5</v>
      </c>
      <c r="F536">
        <v>616414</v>
      </c>
      <c r="G536" s="5">
        <v>43167</v>
      </c>
    </row>
    <row r="537" spans="1:7" x14ac:dyDescent="0.4">
      <c r="A537">
        <v>36</v>
      </c>
      <c r="B537" t="s">
        <v>1007</v>
      </c>
      <c r="C537" s="10">
        <v>3.59</v>
      </c>
      <c r="D537" s="10">
        <v>0.34</v>
      </c>
      <c r="E537" s="16">
        <v>10.46</v>
      </c>
      <c r="F537">
        <v>10781</v>
      </c>
      <c r="G537" s="5">
        <v>43167</v>
      </c>
    </row>
    <row r="538" spans="1:7" x14ac:dyDescent="0.4">
      <c r="A538">
        <v>37</v>
      </c>
      <c r="B538" t="s">
        <v>94</v>
      </c>
      <c r="C538" s="10">
        <v>8.44</v>
      </c>
      <c r="D538" s="10">
        <v>0.79</v>
      </c>
      <c r="E538" s="16">
        <v>10.33</v>
      </c>
      <c r="F538">
        <v>3211507</v>
      </c>
      <c r="G538" s="5">
        <v>43167</v>
      </c>
    </row>
    <row r="539" spans="1:7" x14ac:dyDescent="0.4">
      <c r="A539">
        <v>38</v>
      </c>
      <c r="B539" t="s">
        <v>78</v>
      </c>
      <c r="C539" s="10">
        <v>8.06</v>
      </c>
      <c r="D539" s="10">
        <v>0.75</v>
      </c>
      <c r="E539" s="16">
        <v>10.26</v>
      </c>
      <c r="F539">
        <v>8160893</v>
      </c>
      <c r="G539" s="5">
        <v>43167</v>
      </c>
    </row>
    <row r="540" spans="1:7" x14ac:dyDescent="0.4">
      <c r="A540">
        <v>39</v>
      </c>
      <c r="B540" t="s">
        <v>980</v>
      </c>
      <c r="C540" s="10">
        <v>32.44</v>
      </c>
      <c r="D540" s="10">
        <v>3.01</v>
      </c>
      <c r="E540" s="16">
        <v>10.23</v>
      </c>
      <c r="F540">
        <v>1893106</v>
      </c>
      <c r="G540" s="5">
        <v>43167</v>
      </c>
    </row>
    <row r="541" spans="1:7" x14ac:dyDescent="0.4">
      <c r="A541">
        <v>40</v>
      </c>
      <c r="B541" t="s">
        <v>212</v>
      </c>
      <c r="C541" s="10">
        <v>2.59</v>
      </c>
      <c r="D541" s="10">
        <v>0.24</v>
      </c>
      <c r="E541" s="16">
        <v>10.210000000000001</v>
      </c>
      <c r="F541">
        <v>46975</v>
      </c>
      <c r="G541" s="5">
        <v>43167</v>
      </c>
    </row>
    <row r="542" spans="1:7" x14ac:dyDescent="0.4">
      <c r="A542">
        <v>41</v>
      </c>
      <c r="B542" t="s">
        <v>1008</v>
      </c>
      <c r="C542" s="10">
        <v>90.43</v>
      </c>
      <c r="D542" s="10">
        <v>8.31</v>
      </c>
      <c r="E542" s="16">
        <v>10.119999999999999</v>
      </c>
      <c r="F542">
        <v>70163</v>
      </c>
      <c r="G542" s="5">
        <v>43167</v>
      </c>
    </row>
    <row r="543" spans="1:7" x14ac:dyDescent="0.4">
      <c r="A543">
        <v>42</v>
      </c>
      <c r="B543" t="s">
        <v>1009</v>
      </c>
      <c r="C543" s="10">
        <v>21.9</v>
      </c>
      <c r="D543" s="10">
        <v>2</v>
      </c>
      <c r="E543" s="16">
        <v>10.050000000000001</v>
      </c>
      <c r="F543">
        <v>116087</v>
      </c>
      <c r="G543" s="5">
        <v>43167</v>
      </c>
    </row>
    <row r="544" spans="1:7" x14ac:dyDescent="0.4">
      <c r="A544">
        <v>43</v>
      </c>
      <c r="B544" t="s">
        <v>1010</v>
      </c>
      <c r="C544" s="10">
        <v>16.55</v>
      </c>
      <c r="D544" s="10">
        <v>1.51</v>
      </c>
      <c r="E544" s="16">
        <v>10.039999999999999</v>
      </c>
      <c r="F544">
        <v>1395876</v>
      </c>
      <c r="G544" s="5">
        <v>43167</v>
      </c>
    </row>
    <row r="545" spans="1:7" x14ac:dyDescent="0.4">
      <c r="A545">
        <v>44</v>
      </c>
      <c r="B545" t="s">
        <v>22</v>
      </c>
      <c r="C545" s="10">
        <v>14.3</v>
      </c>
      <c r="D545" s="10">
        <v>1.3</v>
      </c>
      <c r="E545" s="16">
        <v>10</v>
      </c>
      <c r="F545">
        <v>704264</v>
      </c>
      <c r="G545" s="5">
        <v>43167</v>
      </c>
    </row>
    <row r="546" spans="1:7" x14ac:dyDescent="0.4">
      <c r="A546">
        <v>45</v>
      </c>
      <c r="B546" t="s">
        <v>1011</v>
      </c>
      <c r="C546" s="10">
        <v>2.91</v>
      </c>
      <c r="D546" s="10">
        <v>0.26</v>
      </c>
      <c r="E546" s="16">
        <v>9.81</v>
      </c>
      <c r="F546">
        <v>1251480</v>
      </c>
      <c r="G546" s="5">
        <v>43167</v>
      </c>
    </row>
    <row r="547" spans="1:7" x14ac:dyDescent="0.4">
      <c r="A547">
        <v>46</v>
      </c>
      <c r="B547" t="s">
        <v>42</v>
      </c>
      <c r="C547" s="10">
        <v>2.92</v>
      </c>
      <c r="D547" s="10">
        <v>0.26</v>
      </c>
      <c r="E547" s="16">
        <v>9.77</v>
      </c>
      <c r="F547">
        <v>1858815</v>
      </c>
      <c r="G547" s="5">
        <v>43167</v>
      </c>
    </row>
    <row r="548" spans="1:7" x14ac:dyDescent="0.4">
      <c r="A548">
        <v>47</v>
      </c>
      <c r="B548" t="s">
        <v>1012</v>
      </c>
      <c r="C548" s="10">
        <v>2.85</v>
      </c>
      <c r="D548" s="10">
        <v>0.25</v>
      </c>
      <c r="E548" s="16">
        <v>9.6199999999999992</v>
      </c>
      <c r="F548">
        <v>100329</v>
      </c>
      <c r="G548" s="5">
        <v>43167</v>
      </c>
    </row>
    <row r="549" spans="1:7" x14ac:dyDescent="0.4">
      <c r="A549">
        <v>48</v>
      </c>
      <c r="B549" t="s">
        <v>349</v>
      </c>
      <c r="C549" s="10">
        <v>27.88</v>
      </c>
      <c r="D549" s="10">
        <v>2.42</v>
      </c>
      <c r="E549" s="16">
        <v>9.51</v>
      </c>
      <c r="F549">
        <v>933490</v>
      </c>
      <c r="G549" s="5">
        <v>43167</v>
      </c>
    </row>
    <row r="550" spans="1:7" x14ac:dyDescent="0.4">
      <c r="A550">
        <v>49</v>
      </c>
      <c r="B550" t="s">
        <v>449</v>
      </c>
      <c r="C550" s="10">
        <v>37.479999999999997</v>
      </c>
      <c r="D550" s="10">
        <v>3.25</v>
      </c>
      <c r="E550" s="16">
        <v>9.5</v>
      </c>
      <c r="F550">
        <v>204011</v>
      </c>
      <c r="G550" s="5">
        <v>43167</v>
      </c>
    </row>
    <row r="551" spans="1:7" x14ac:dyDescent="0.4">
      <c r="A551">
        <v>50</v>
      </c>
      <c r="B551" t="s">
        <v>1013</v>
      </c>
      <c r="C551" s="10">
        <v>2.86</v>
      </c>
      <c r="D551" s="10">
        <v>0.24</v>
      </c>
      <c r="E551" s="16">
        <v>9.16</v>
      </c>
      <c r="F551">
        <v>4112981</v>
      </c>
      <c r="G551" s="5">
        <v>43167</v>
      </c>
    </row>
    <row r="552" spans="1:7" x14ac:dyDescent="0.4">
      <c r="A552">
        <v>51</v>
      </c>
      <c r="B552" t="s">
        <v>88</v>
      </c>
      <c r="C552" s="10">
        <v>2.65</v>
      </c>
      <c r="D552" s="10">
        <v>0.22</v>
      </c>
      <c r="E552" s="16">
        <v>9.0500000000000007</v>
      </c>
      <c r="F552">
        <v>468065</v>
      </c>
      <c r="G552" s="5">
        <v>43167</v>
      </c>
    </row>
    <row r="553" spans="1:7" x14ac:dyDescent="0.4">
      <c r="A553">
        <v>52</v>
      </c>
      <c r="B553" t="s">
        <v>1014</v>
      </c>
      <c r="C553" s="10">
        <v>7.5</v>
      </c>
      <c r="D553" s="10">
        <v>0.62</v>
      </c>
      <c r="E553" s="16">
        <v>9.01</v>
      </c>
      <c r="F553">
        <v>1637017</v>
      </c>
      <c r="G553" s="5">
        <v>43167</v>
      </c>
    </row>
    <row r="554" spans="1:7" x14ac:dyDescent="0.4">
      <c r="A554">
        <v>53</v>
      </c>
      <c r="B554" t="s">
        <v>1015</v>
      </c>
      <c r="C554" s="10">
        <v>42.6</v>
      </c>
      <c r="D554" s="10">
        <v>3.46</v>
      </c>
      <c r="E554" s="16">
        <v>8.84</v>
      </c>
      <c r="F554">
        <v>4689679</v>
      </c>
      <c r="G554" s="5">
        <v>43167</v>
      </c>
    </row>
    <row r="555" spans="1:7" x14ac:dyDescent="0.4">
      <c r="A555">
        <v>54</v>
      </c>
      <c r="B555" t="s">
        <v>245</v>
      </c>
      <c r="C555" s="10">
        <v>2.86</v>
      </c>
      <c r="D555" s="10">
        <v>0.23</v>
      </c>
      <c r="E555" s="16">
        <v>8.75</v>
      </c>
      <c r="F555">
        <v>100668</v>
      </c>
      <c r="G555" s="5">
        <v>43167</v>
      </c>
    </row>
    <row r="556" spans="1:7" x14ac:dyDescent="0.4">
      <c r="A556">
        <v>55</v>
      </c>
      <c r="B556" t="s">
        <v>685</v>
      </c>
      <c r="C556" s="10">
        <v>10.4</v>
      </c>
      <c r="D556" s="10">
        <v>0.82</v>
      </c>
      <c r="E556" s="16">
        <v>8.59</v>
      </c>
      <c r="F556">
        <v>2270</v>
      </c>
      <c r="G556" s="5">
        <v>43167</v>
      </c>
    </row>
    <row r="557" spans="1:7" x14ac:dyDescent="0.4">
      <c r="A557">
        <v>56</v>
      </c>
      <c r="B557" t="s">
        <v>1016</v>
      </c>
      <c r="C557" s="10">
        <v>79.72</v>
      </c>
      <c r="D557" s="10">
        <v>6.3</v>
      </c>
      <c r="E557" s="16">
        <v>8.58</v>
      </c>
      <c r="F557">
        <v>38495062</v>
      </c>
      <c r="G557" s="5">
        <v>43167</v>
      </c>
    </row>
    <row r="558" spans="1:7" x14ac:dyDescent="0.4">
      <c r="A558">
        <v>57</v>
      </c>
      <c r="B558" t="s">
        <v>577</v>
      </c>
      <c r="C558" s="10">
        <v>4.2699999999999996</v>
      </c>
      <c r="D558" s="10">
        <v>0.33</v>
      </c>
      <c r="E558" s="16">
        <v>8.3800000000000008</v>
      </c>
      <c r="F558">
        <v>29669</v>
      </c>
      <c r="G558" s="5">
        <v>43167</v>
      </c>
    </row>
    <row r="559" spans="1:7" x14ac:dyDescent="0.4">
      <c r="A559">
        <v>58</v>
      </c>
      <c r="B559" t="s">
        <v>518</v>
      </c>
      <c r="C559" s="10">
        <v>47.78</v>
      </c>
      <c r="D559" s="10">
        <v>3.64</v>
      </c>
      <c r="E559" s="16">
        <v>8.25</v>
      </c>
      <c r="F559">
        <v>6254462</v>
      </c>
      <c r="G559" s="5">
        <v>43167</v>
      </c>
    </row>
    <row r="560" spans="1:7" x14ac:dyDescent="0.4">
      <c r="A560">
        <v>59</v>
      </c>
      <c r="B560" t="s">
        <v>157</v>
      </c>
      <c r="C560" s="10">
        <v>38.4</v>
      </c>
      <c r="D560" s="10">
        <v>2.9</v>
      </c>
      <c r="E560" s="16">
        <v>8.17</v>
      </c>
      <c r="F560">
        <v>106638</v>
      </c>
      <c r="G560" s="5">
        <v>43167</v>
      </c>
    </row>
    <row r="561" spans="1:7" x14ac:dyDescent="0.4">
      <c r="A561">
        <v>60</v>
      </c>
      <c r="B561" t="s">
        <v>1017</v>
      </c>
      <c r="C561" s="10">
        <v>29.86</v>
      </c>
      <c r="D561" s="10">
        <v>2.21</v>
      </c>
      <c r="E561" s="16">
        <v>7.99</v>
      </c>
      <c r="F561">
        <v>4355356</v>
      </c>
      <c r="G561" s="5">
        <v>43167</v>
      </c>
    </row>
    <row r="562" spans="1:7" x14ac:dyDescent="0.4">
      <c r="A562">
        <v>61</v>
      </c>
      <c r="B562" t="s">
        <v>638</v>
      </c>
      <c r="C562" s="10">
        <v>2.4500000000000002</v>
      </c>
      <c r="D562" s="10">
        <v>0.18</v>
      </c>
      <c r="E562" s="16">
        <v>7.93</v>
      </c>
      <c r="F562">
        <v>13515</v>
      </c>
      <c r="G562" s="5">
        <v>43167</v>
      </c>
    </row>
    <row r="563" spans="1:7" x14ac:dyDescent="0.4">
      <c r="A563">
        <v>62</v>
      </c>
      <c r="B563" t="s">
        <v>1018</v>
      </c>
      <c r="C563" s="10">
        <v>16.45</v>
      </c>
      <c r="D563" s="10">
        <v>1.2</v>
      </c>
      <c r="E563" s="16">
        <v>7.87</v>
      </c>
      <c r="F563">
        <v>2046296</v>
      </c>
      <c r="G563" s="5">
        <v>43167</v>
      </c>
    </row>
    <row r="564" spans="1:7" x14ac:dyDescent="0.4">
      <c r="A564">
        <v>63</v>
      </c>
      <c r="B564" t="s">
        <v>667</v>
      </c>
      <c r="C564" s="10">
        <v>35.85</v>
      </c>
      <c r="D564" s="10">
        <v>2.6</v>
      </c>
      <c r="E564" s="16">
        <v>7.82</v>
      </c>
      <c r="F564">
        <v>57228</v>
      </c>
      <c r="G564" s="5">
        <v>43167</v>
      </c>
    </row>
    <row r="565" spans="1:7" x14ac:dyDescent="0.4">
      <c r="A565">
        <v>64</v>
      </c>
      <c r="B565" t="s">
        <v>1019</v>
      </c>
      <c r="C565" s="10">
        <v>4.01</v>
      </c>
      <c r="D565" s="10">
        <v>0.28999999999999998</v>
      </c>
      <c r="E565" s="16">
        <v>7.8</v>
      </c>
      <c r="F565">
        <v>2338567</v>
      </c>
      <c r="G565" s="5">
        <v>43167</v>
      </c>
    </row>
    <row r="566" spans="1:7" x14ac:dyDescent="0.4">
      <c r="A566">
        <v>65</v>
      </c>
      <c r="B566" t="s">
        <v>314</v>
      </c>
      <c r="C566" s="10">
        <v>7.25</v>
      </c>
      <c r="D566" s="10">
        <v>0.51</v>
      </c>
      <c r="E566" s="16">
        <v>7.57</v>
      </c>
      <c r="F566">
        <v>210413</v>
      </c>
      <c r="G566" s="5">
        <v>43167</v>
      </c>
    </row>
    <row r="567" spans="1:7" x14ac:dyDescent="0.4">
      <c r="A567">
        <v>66</v>
      </c>
      <c r="B567" t="s">
        <v>510</v>
      </c>
      <c r="C567" s="10">
        <v>49.6</v>
      </c>
      <c r="D567" s="10">
        <v>3.4</v>
      </c>
      <c r="E567" s="16">
        <v>7.36</v>
      </c>
      <c r="F567">
        <v>614911</v>
      </c>
      <c r="G567" s="5">
        <v>43167</v>
      </c>
    </row>
    <row r="568" spans="1:7" x14ac:dyDescent="0.4">
      <c r="A568">
        <v>67</v>
      </c>
      <c r="B568" t="s">
        <v>726</v>
      </c>
      <c r="C568" s="10">
        <v>2.65</v>
      </c>
      <c r="D568" s="10">
        <v>0.18</v>
      </c>
      <c r="E568" s="16">
        <v>7.29</v>
      </c>
      <c r="F568">
        <v>143650</v>
      </c>
      <c r="G568" s="5">
        <v>43167</v>
      </c>
    </row>
    <row r="569" spans="1:7" x14ac:dyDescent="0.4">
      <c r="A569">
        <v>68</v>
      </c>
      <c r="B569" t="s">
        <v>1020</v>
      </c>
      <c r="C569" s="10">
        <v>75.08</v>
      </c>
      <c r="D569" s="10">
        <v>5.09</v>
      </c>
      <c r="E569" s="16">
        <v>7.27</v>
      </c>
      <c r="F569">
        <v>4089374</v>
      </c>
      <c r="G569" s="5">
        <v>43167</v>
      </c>
    </row>
    <row r="570" spans="1:7" x14ac:dyDescent="0.4">
      <c r="A570">
        <v>69</v>
      </c>
      <c r="B570" t="s">
        <v>279</v>
      </c>
      <c r="C570" s="10">
        <v>6.8</v>
      </c>
      <c r="D570" s="10">
        <v>0.46</v>
      </c>
      <c r="E570" s="16">
        <v>7.26</v>
      </c>
      <c r="F570">
        <v>237148</v>
      </c>
      <c r="G570" s="5">
        <v>43167</v>
      </c>
    </row>
    <row r="571" spans="1:7" x14ac:dyDescent="0.4">
      <c r="A571">
        <v>70</v>
      </c>
      <c r="B571" t="s">
        <v>1021</v>
      </c>
      <c r="C571" s="10">
        <v>37.01</v>
      </c>
      <c r="D571" s="10">
        <v>2.5</v>
      </c>
      <c r="E571" s="16">
        <v>7.24</v>
      </c>
      <c r="F571">
        <v>139625</v>
      </c>
      <c r="G571" s="5">
        <v>43167</v>
      </c>
    </row>
    <row r="572" spans="1:7" x14ac:dyDescent="0.4">
      <c r="A572">
        <v>71</v>
      </c>
      <c r="B572" t="s">
        <v>1022</v>
      </c>
      <c r="C572" s="10">
        <v>108.44</v>
      </c>
      <c r="D572" s="10">
        <v>7.14</v>
      </c>
      <c r="E572" s="16">
        <v>7.05</v>
      </c>
      <c r="F572">
        <v>2010588</v>
      </c>
      <c r="G572" s="5">
        <v>43167</v>
      </c>
    </row>
    <row r="573" spans="1:7" x14ac:dyDescent="0.4">
      <c r="A573">
        <v>72</v>
      </c>
      <c r="B573" t="s">
        <v>783</v>
      </c>
      <c r="C573" s="10">
        <v>2.29</v>
      </c>
      <c r="D573" s="10">
        <v>0.15</v>
      </c>
      <c r="E573" s="16">
        <v>7.01</v>
      </c>
      <c r="F573">
        <v>9663581</v>
      </c>
      <c r="G573" s="5">
        <v>43167</v>
      </c>
    </row>
    <row r="574" spans="1:7" x14ac:dyDescent="0.4">
      <c r="A574">
        <v>73</v>
      </c>
      <c r="B574" t="s">
        <v>149</v>
      </c>
      <c r="C574" s="10">
        <v>2.2999999999999998</v>
      </c>
      <c r="D574" s="10">
        <v>0.15</v>
      </c>
      <c r="E574" s="16">
        <v>6.98</v>
      </c>
      <c r="F574">
        <v>3227</v>
      </c>
      <c r="G574" s="5">
        <v>43167</v>
      </c>
    </row>
    <row r="575" spans="1:7" x14ac:dyDescent="0.4">
      <c r="A575">
        <v>74</v>
      </c>
      <c r="B575" t="s">
        <v>740</v>
      </c>
      <c r="C575" s="10">
        <v>3.08</v>
      </c>
      <c r="D575" s="10">
        <v>0.2</v>
      </c>
      <c r="E575" s="16">
        <v>6.94</v>
      </c>
      <c r="F575">
        <v>363466</v>
      </c>
      <c r="G575" s="5">
        <v>43167</v>
      </c>
    </row>
    <row r="576" spans="1:7" x14ac:dyDescent="0.4">
      <c r="A576">
        <v>75</v>
      </c>
      <c r="B576" t="s">
        <v>91</v>
      </c>
      <c r="C576" s="10">
        <v>8.02</v>
      </c>
      <c r="D576" s="10">
        <v>0.52</v>
      </c>
      <c r="E576" s="16">
        <v>6.93</v>
      </c>
      <c r="F576">
        <v>669556</v>
      </c>
      <c r="G576" s="5">
        <v>43167</v>
      </c>
    </row>
    <row r="577" spans="1:7" x14ac:dyDescent="0.4">
      <c r="A577">
        <v>76</v>
      </c>
      <c r="B577" t="s">
        <v>548</v>
      </c>
      <c r="C577" s="10">
        <v>2.78</v>
      </c>
      <c r="D577" s="10">
        <v>0.18</v>
      </c>
      <c r="E577" s="16">
        <v>6.92</v>
      </c>
      <c r="F577">
        <v>28206</v>
      </c>
      <c r="G577" s="5">
        <v>43167</v>
      </c>
    </row>
    <row r="578" spans="1:7" x14ac:dyDescent="0.4">
      <c r="A578">
        <v>77</v>
      </c>
      <c r="B578" t="s">
        <v>433</v>
      </c>
      <c r="C578" s="10">
        <v>11.78</v>
      </c>
      <c r="D578" s="10">
        <v>0.76</v>
      </c>
      <c r="E578" s="16">
        <v>6.9</v>
      </c>
      <c r="F578">
        <v>153812</v>
      </c>
      <c r="G578" s="5">
        <v>43167</v>
      </c>
    </row>
    <row r="579" spans="1:7" x14ac:dyDescent="0.4">
      <c r="A579">
        <v>78</v>
      </c>
      <c r="B579" t="s">
        <v>967</v>
      </c>
      <c r="C579" s="10">
        <v>6.78</v>
      </c>
      <c r="D579" s="10">
        <v>0.43</v>
      </c>
      <c r="E579" s="16">
        <v>6.77</v>
      </c>
      <c r="F579">
        <v>374764</v>
      </c>
      <c r="G579" s="5">
        <v>43167</v>
      </c>
    </row>
    <row r="580" spans="1:7" x14ac:dyDescent="0.4">
      <c r="A580">
        <v>79</v>
      </c>
      <c r="B580" t="s">
        <v>272</v>
      </c>
      <c r="C580" s="10">
        <v>7.9</v>
      </c>
      <c r="D580" s="10">
        <v>0.5</v>
      </c>
      <c r="E580" s="16">
        <v>6.76</v>
      </c>
      <c r="F580">
        <v>519701</v>
      </c>
      <c r="G580" s="5">
        <v>43167</v>
      </c>
    </row>
    <row r="581" spans="1:7" x14ac:dyDescent="0.4">
      <c r="A581">
        <v>80</v>
      </c>
      <c r="B581" t="s">
        <v>1023</v>
      </c>
      <c r="C581" s="10">
        <v>11.23</v>
      </c>
      <c r="D581" s="10">
        <v>0.71</v>
      </c>
      <c r="E581" s="16">
        <v>6.75</v>
      </c>
      <c r="F581">
        <v>289339</v>
      </c>
      <c r="G581" s="5">
        <v>43167</v>
      </c>
    </row>
    <row r="582" spans="1:7" x14ac:dyDescent="0.4">
      <c r="A582">
        <v>81</v>
      </c>
      <c r="B582" t="s">
        <v>1024</v>
      </c>
      <c r="C582" s="10">
        <v>22</v>
      </c>
      <c r="D582" s="10">
        <v>1.39</v>
      </c>
      <c r="E582" s="16">
        <v>6.74</v>
      </c>
      <c r="F582">
        <v>64618</v>
      </c>
      <c r="G582" s="5">
        <v>43167</v>
      </c>
    </row>
    <row r="583" spans="1:7" x14ac:dyDescent="0.4">
      <c r="A583">
        <v>82</v>
      </c>
      <c r="B583" t="s">
        <v>460</v>
      </c>
      <c r="C583" s="10">
        <v>9.98</v>
      </c>
      <c r="D583" s="10">
        <v>0.63</v>
      </c>
      <c r="E583" s="16">
        <v>6.74</v>
      </c>
      <c r="F583">
        <v>246592</v>
      </c>
      <c r="G583" s="5">
        <v>43167</v>
      </c>
    </row>
    <row r="584" spans="1:7" x14ac:dyDescent="0.4">
      <c r="A584">
        <v>83</v>
      </c>
      <c r="B584" t="s">
        <v>403</v>
      </c>
      <c r="C584" s="10">
        <v>3.2</v>
      </c>
      <c r="D584" s="10">
        <v>0.2</v>
      </c>
      <c r="E584" s="16">
        <v>6.67</v>
      </c>
      <c r="F584">
        <v>1305847</v>
      </c>
      <c r="G584" s="5">
        <v>43167</v>
      </c>
    </row>
    <row r="585" spans="1:7" x14ac:dyDescent="0.4">
      <c r="A585">
        <v>84</v>
      </c>
      <c r="B585" t="s">
        <v>1025</v>
      </c>
      <c r="C585" s="10">
        <v>3.25</v>
      </c>
      <c r="D585" s="10">
        <v>0.2</v>
      </c>
      <c r="E585" s="16">
        <v>6.55</v>
      </c>
      <c r="F585">
        <v>183351</v>
      </c>
      <c r="G585" s="5">
        <v>43167</v>
      </c>
    </row>
    <row r="586" spans="1:7" x14ac:dyDescent="0.4">
      <c r="A586">
        <v>85</v>
      </c>
      <c r="B586" t="s">
        <v>150</v>
      </c>
      <c r="C586" s="10">
        <v>2.4500000000000002</v>
      </c>
      <c r="D586" s="10">
        <v>0.15</v>
      </c>
      <c r="E586" s="16">
        <v>6.52</v>
      </c>
      <c r="F586">
        <v>29204</v>
      </c>
      <c r="G586" s="5">
        <v>43167</v>
      </c>
    </row>
    <row r="587" spans="1:7" x14ac:dyDescent="0.4">
      <c r="A587">
        <v>86</v>
      </c>
      <c r="B587" t="s">
        <v>1026</v>
      </c>
      <c r="C587" s="10">
        <v>2.4500000000000002</v>
      </c>
      <c r="D587" s="10">
        <v>0.15</v>
      </c>
      <c r="E587" s="16">
        <v>6.52</v>
      </c>
      <c r="F587">
        <v>1041426</v>
      </c>
      <c r="G587" s="5">
        <v>43167</v>
      </c>
    </row>
    <row r="588" spans="1:7" x14ac:dyDescent="0.4">
      <c r="A588">
        <v>87</v>
      </c>
      <c r="B588" t="s">
        <v>919</v>
      </c>
      <c r="C588" s="10">
        <v>6.36</v>
      </c>
      <c r="D588" s="10">
        <v>0.38</v>
      </c>
      <c r="E588" s="16">
        <v>6.35</v>
      </c>
      <c r="F588">
        <v>1337306</v>
      </c>
      <c r="G588" s="5">
        <v>43167</v>
      </c>
    </row>
    <row r="589" spans="1:7" x14ac:dyDescent="0.4">
      <c r="A589">
        <v>88</v>
      </c>
      <c r="B589" t="s">
        <v>1027</v>
      </c>
      <c r="C589" s="10">
        <v>179.11</v>
      </c>
      <c r="D589" s="10">
        <v>10.7</v>
      </c>
      <c r="E589" s="16">
        <v>6.35</v>
      </c>
      <c r="F589">
        <v>6267937</v>
      </c>
      <c r="G589" s="5">
        <v>43167</v>
      </c>
    </row>
    <row r="590" spans="1:7" x14ac:dyDescent="0.4">
      <c r="A590">
        <v>89</v>
      </c>
      <c r="B590" t="s">
        <v>1028</v>
      </c>
      <c r="C590" s="10">
        <v>26.69</v>
      </c>
      <c r="D590" s="10">
        <v>1.59</v>
      </c>
      <c r="E590" s="16">
        <v>6.33</v>
      </c>
      <c r="F590">
        <v>101312</v>
      </c>
      <c r="G590" s="5">
        <v>43167</v>
      </c>
    </row>
    <row r="591" spans="1:7" x14ac:dyDescent="0.4">
      <c r="A591">
        <v>90</v>
      </c>
      <c r="B591" t="s">
        <v>331</v>
      </c>
      <c r="C591" s="10">
        <v>21</v>
      </c>
      <c r="D591" s="10">
        <v>1.25</v>
      </c>
      <c r="E591" s="16">
        <v>6.33</v>
      </c>
      <c r="F591">
        <v>209599</v>
      </c>
      <c r="G591" s="5">
        <v>43167</v>
      </c>
    </row>
    <row r="592" spans="1:7" x14ac:dyDescent="0.4">
      <c r="A592">
        <v>91</v>
      </c>
      <c r="B592" t="s">
        <v>701</v>
      </c>
      <c r="C592" s="10">
        <v>6.25</v>
      </c>
      <c r="D592" s="10">
        <v>0.37</v>
      </c>
      <c r="E592" s="16">
        <v>6.29</v>
      </c>
      <c r="F592">
        <v>155533</v>
      </c>
      <c r="G592" s="5">
        <v>43167</v>
      </c>
    </row>
    <row r="593" spans="1:7" x14ac:dyDescent="0.4">
      <c r="A593">
        <v>92</v>
      </c>
      <c r="B593" t="s">
        <v>986</v>
      </c>
      <c r="C593" s="10">
        <v>11</v>
      </c>
      <c r="D593" s="10">
        <v>0.65</v>
      </c>
      <c r="E593" s="16">
        <v>6.28</v>
      </c>
      <c r="F593">
        <v>606922</v>
      </c>
      <c r="G593" s="5">
        <v>43167</v>
      </c>
    </row>
    <row r="594" spans="1:7" x14ac:dyDescent="0.4">
      <c r="A594">
        <v>93</v>
      </c>
      <c r="B594" t="s">
        <v>1029</v>
      </c>
      <c r="C594" s="10">
        <v>13.43</v>
      </c>
      <c r="D594" s="10">
        <v>0.79</v>
      </c>
      <c r="E594" s="16">
        <v>6.24</v>
      </c>
      <c r="F594">
        <v>34357</v>
      </c>
      <c r="G594" s="5">
        <v>43167</v>
      </c>
    </row>
    <row r="595" spans="1:7" x14ac:dyDescent="0.4">
      <c r="A595">
        <v>94</v>
      </c>
      <c r="B595" t="s">
        <v>779</v>
      </c>
      <c r="C595" s="10">
        <v>3.07</v>
      </c>
      <c r="D595" s="10">
        <v>0.18</v>
      </c>
      <c r="E595" s="16">
        <v>6.23</v>
      </c>
      <c r="F595">
        <v>646380</v>
      </c>
      <c r="G595" s="5">
        <v>43167</v>
      </c>
    </row>
    <row r="596" spans="1:7" x14ac:dyDescent="0.4">
      <c r="A596">
        <v>95</v>
      </c>
      <c r="B596" t="s">
        <v>76</v>
      </c>
      <c r="C596" s="10">
        <v>3.78</v>
      </c>
      <c r="D596" s="10">
        <v>0.22</v>
      </c>
      <c r="E596" s="16">
        <v>6.18</v>
      </c>
      <c r="F596">
        <v>2970</v>
      </c>
      <c r="G596" s="5">
        <v>43167</v>
      </c>
    </row>
    <row r="597" spans="1:7" x14ac:dyDescent="0.4">
      <c r="A597">
        <v>96</v>
      </c>
      <c r="B597" t="s">
        <v>1030</v>
      </c>
      <c r="C597" s="10">
        <v>5.23</v>
      </c>
      <c r="D597" s="10">
        <v>0.3</v>
      </c>
      <c r="E597" s="16">
        <v>6.09</v>
      </c>
      <c r="F597">
        <v>201217</v>
      </c>
      <c r="G597" s="5">
        <v>43167</v>
      </c>
    </row>
    <row r="598" spans="1:7" x14ac:dyDescent="0.4">
      <c r="A598">
        <v>97</v>
      </c>
      <c r="B598" t="s">
        <v>1031</v>
      </c>
      <c r="C598" s="10">
        <v>20.5</v>
      </c>
      <c r="D598" s="10">
        <v>1.17</v>
      </c>
      <c r="E598" s="16">
        <v>6.05</v>
      </c>
      <c r="F598">
        <v>2731882</v>
      </c>
      <c r="G598" s="5">
        <v>43167</v>
      </c>
    </row>
    <row r="599" spans="1:7" x14ac:dyDescent="0.4">
      <c r="A599">
        <v>98</v>
      </c>
      <c r="B599" t="s">
        <v>336</v>
      </c>
      <c r="C599" s="10">
        <v>39.700000000000003</v>
      </c>
      <c r="D599" s="10">
        <v>2.21</v>
      </c>
      <c r="E599" s="16">
        <v>5.91</v>
      </c>
      <c r="F599">
        <v>875154</v>
      </c>
      <c r="G599" s="5">
        <v>43167</v>
      </c>
    </row>
    <row r="600" spans="1:7" x14ac:dyDescent="0.4">
      <c r="A600">
        <v>99</v>
      </c>
      <c r="B600" t="s">
        <v>1032</v>
      </c>
      <c r="C600" s="10">
        <v>16.86</v>
      </c>
      <c r="D600" s="10">
        <v>0.94</v>
      </c>
      <c r="E600" s="16">
        <v>5.9</v>
      </c>
      <c r="F600">
        <v>4242424</v>
      </c>
      <c r="G600" s="5">
        <v>43167</v>
      </c>
    </row>
    <row r="601" spans="1:7" x14ac:dyDescent="0.4">
      <c r="A601">
        <v>100</v>
      </c>
      <c r="B601" t="s">
        <v>1033</v>
      </c>
      <c r="C601" s="10">
        <v>84.49</v>
      </c>
      <c r="D601" s="10">
        <v>4.67</v>
      </c>
      <c r="E601" s="16">
        <v>5.85</v>
      </c>
      <c r="F601">
        <v>1263012</v>
      </c>
      <c r="G601" s="5">
        <v>43167</v>
      </c>
    </row>
    <row r="602" spans="1:7" x14ac:dyDescent="0.4">
      <c r="A602">
        <v>1</v>
      </c>
      <c r="B602" t="s">
        <v>25</v>
      </c>
      <c r="C602" s="10">
        <v>10.4</v>
      </c>
      <c r="D602" s="10">
        <v>4.12</v>
      </c>
      <c r="E602" s="16">
        <v>65.61</v>
      </c>
      <c r="F602">
        <v>942466</v>
      </c>
      <c r="G602" s="5">
        <v>43168</v>
      </c>
    </row>
    <row r="603" spans="1:7" x14ac:dyDescent="0.4">
      <c r="A603">
        <v>2</v>
      </c>
      <c r="B603" t="s">
        <v>354</v>
      </c>
      <c r="C603" s="10">
        <v>11.2</v>
      </c>
      <c r="D603" s="10">
        <v>2.6</v>
      </c>
      <c r="E603" s="16">
        <v>30.23</v>
      </c>
      <c r="F603">
        <v>1520780</v>
      </c>
      <c r="G603" s="5">
        <v>43168</v>
      </c>
    </row>
    <row r="604" spans="1:7" x14ac:dyDescent="0.4">
      <c r="A604">
        <v>3</v>
      </c>
      <c r="B604" t="s">
        <v>949</v>
      </c>
      <c r="C604" s="10">
        <v>11.85</v>
      </c>
      <c r="D604" s="10">
        <v>2.75</v>
      </c>
      <c r="E604" s="16">
        <v>30.22</v>
      </c>
      <c r="F604">
        <v>5995477</v>
      </c>
      <c r="G604" s="5">
        <v>43168</v>
      </c>
    </row>
    <row r="605" spans="1:7" x14ac:dyDescent="0.4">
      <c r="A605">
        <v>4</v>
      </c>
      <c r="B605" t="s">
        <v>950</v>
      </c>
      <c r="C605" s="10">
        <v>6.55</v>
      </c>
      <c r="D605" s="10">
        <v>1.4</v>
      </c>
      <c r="E605" s="16">
        <v>27.18</v>
      </c>
      <c r="F605">
        <v>22448844</v>
      </c>
      <c r="G605" s="5">
        <v>43168</v>
      </c>
    </row>
    <row r="606" spans="1:7" x14ac:dyDescent="0.4">
      <c r="A606">
        <v>5</v>
      </c>
      <c r="B606" t="s">
        <v>210</v>
      </c>
      <c r="C606" s="10">
        <v>4.3</v>
      </c>
      <c r="D606" s="10">
        <v>0.91</v>
      </c>
      <c r="E606" s="16">
        <v>26.84</v>
      </c>
      <c r="F606">
        <v>1147826</v>
      </c>
      <c r="G606" s="5">
        <v>43168</v>
      </c>
    </row>
    <row r="607" spans="1:7" x14ac:dyDescent="0.4">
      <c r="A607">
        <v>6</v>
      </c>
      <c r="B607" t="s">
        <v>823</v>
      </c>
      <c r="C607" s="10">
        <v>4.62</v>
      </c>
      <c r="D607" s="10">
        <v>0.82</v>
      </c>
      <c r="E607" s="16">
        <v>21.58</v>
      </c>
      <c r="F607">
        <v>18964377</v>
      </c>
      <c r="G607" s="5">
        <v>43168</v>
      </c>
    </row>
    <row r="608" spans="1:7" x14ac:dyDescent="0.4">
      <c r="A608">
        <v>7</v>
      </c>
      <c r="B608" t="s">
        <v>471</v>
      </c>
      <c r="C608" s="10">
        <v>19.09</v>
      </c>
      <c r="D608" s="10">
        <v>3.09</v>
      </c>
      <c r="E608" s="16">
        <v>19.309999999999999</v>
      </c>
      <c r="F608">
        <v>889502</v>
      </c>
      <c r="G608" s="5">
        <v>43168</v>
      </c>
    </row>
    <row r="609" spans="1:7" x14ac:dyDescent="0.4">
      <c r="A609">
        <v>8</v>
      </c>
      <c r="B609" t="s">
        <v>951</v>
      </c>
      <c r="C609" s="10">
        <v>55.85</v>
      </c>
      <c r="D609" s="10">
        <v>8.75</v>
      </c>
      <c r="E609" s="16">
        <v>18.579999999999998</v>
      </c>
      <c r="F609">
        <v>305485</v>
      </c>
      <c r="G609" s="5">
        <v>43168</v>
      </c>
    </row>
    <row r="610" spans="1:7" x14ac:dyDescent="0.4">
      <c r="A610">
        <v>9</v>
      </c>
      <c r="B610" t="s">
        <v>952</v>
      </c>
      <c r="C610" s="10">
        <v>4.6500000000000004</v>
      </c>
      <c r="D610" s="10">
        <v>0.71</v>
      </c>
      <c r="E610" s="16">
        <v>18.02</v>
      </c>
      <c r="F610">
        <v>53276</v>
      </c>
      <c r="G610" s="5">
        <v>43168</v>
      </c>
    </row>
    <row r="611" spans="1:7" x14ac:dyDescent="0.4">
      <c r="A611">
        <v>10</v>
      </c>
      <c r="B611" t="s">
        <v>953</v>
      </c>
      <c r="C611" s="10">
        <v>26.54</v>
      </c>
      <c r="D611" s="10">
        <v>3.85</v>
      </c>
      <c r="E611" s="16">
        <v>16.97</v>
      </c>
      <c r="F611">
        <v>269156</v>
      </c>
      <c r="G611" s="5">
        <v>43168</v>
      </c>
    </row>
    <row r="612" spans="1:7" x14ac:dyDescent="0.4">
      <c r="A612">
        <v>11</v>
      </c>
      <c r="B612" t="s">
        <v>954</v>
      </c>
      <c r="C612" s="10">
        <v>5</v>
      </c>
      <c r="D612" s="10">
        <v>0.71</v>
      </c>
      <c r="E612" s="16">
        <v>16.55</v>
      </c>
      <c r="F612">
        <v>429873</v>
      </c>
      <c r="G612" s="5">
        <v>43168</v>
      </c>
    </row>
    <row r="613" spans="1:7" x14ac:dyDescent="0.4">
      <c r="A613">
        <v>12</v>
      </c>
      <c r="B613" t="s">
        <v>955</v>
      </c>
      <c r="C613" s="10">
        <v>47.9</v>
      </c>
      <c r="D613" s="10">
        <v>6.15</v>
      </c>
      <c r="E613" s="16">
        <v>14.73</v>
      </c>
      <c r="F613">
        <v>136390</v>
      </c>
      <c r="G613" s="5">
        <v>43168</v>
      </c>
    </row>
    <row r="614" spans="1:7" x14ac:dyDescent="0.4">
      <c r="A614">
        <v>13</v>
      </c>
      <c r="B614" t="s">
        <v>956</v>
      </c>
      <c r="C614" s="10">
        <v>3.04</v>
      </c>
      <c r="D614" s="10">
        <v>0.39</v>
      </c>
      <c r="E614" s="16">
        <v>14.72</v>
      </c>
      <c r="F614">
        <v>8174693</v>
      </c>
      <c r="G614" s="5">
        <v>43168</v>
      </c>
    </row>
    <row r="615" spans="1:7" x14ac:dyDescent="0.4">
      <c r="A615">
        <v>14</v>
      </c>
      <c r="B615" t="s">
        <v>118</v>
      </c>
      <c r="C615" s="10">
        <v>4.12</v>
      </c>
      <c r="D615" s="10">
        <v>0.51</v>
      </c>
      <c r="E615" s="16">
        <v>14.13</v>
      </c>
      <c r="F615">
        <v>1677360</v>
      </c>
      <c r="G615" s="5">
        <v>43168</v>
      </c>
    </row>
    <row r="616" spans="1:7" x14ac:dyDescent="0.4">
      <c r="A616">
        <v>15</v>
      </c>
      <c r="B616" t="s">
        <v>957</v>
      </c>
      <c r="C616" s="10">
        <v>23.08</v>
      </c>
      <c r="D616" s="10">
        <v>2.85</v>
      </c>
      <c r="E616" s="16">
        <v>14.09</v>
      </c>
      <c r="F616">
        <v>222384</v>
      </c>
      <c r="G616" s="5">
        <v>43168</v>
      </c>
    </row>
    <row r="617" spans="1:7" x14ac:dyDescent="0.4">
      <c r="A617">
        <v>16</v>
      </c>
      <c r="B617" t="s">
        <v>958</v>
      </c>
      <c r="C617" s="10">
        <v>17.690000000000001</v>
      </c>
      <c r="D617" s="10">
        <v>2.1</v>
      </c>
      <c r="E617" s="16">
        <v>13.47</v>
      </c>
      <c r="F617">
        <v>460107</v>
      </c>
      <c r="G617" s="5">
        <v>43168</v>
      </c>
    </row>
    <row r="618" spans="1:7" x14ac:dyDescent="0.4">
      <c r="A618">
        <v>17</v>
      </c>
      <c r="B618" t="s">
        <v>959</v>
      </c>
      <c r="C618" s="10">
        <v>23.1</v>
      </c>
      <c r="D618" s="10">
        <v>2.72</v>
      </c>
      <c r="E618" s="16">
        <v>13.35</v>
      </c>
      <c r="F618">
        <v>581538</v>
      </c>
      <c r="G618" s="5">
        <v>43168</v>
      </c>
    </row>
    <row r="619" spans="1:7" x14ac:dyDescent="0.4">
      <c r="A619">
        <v>18</v>
      </c>
      <c r="B619" t="s">
        <v>960</v>
      </c>
      <c r="C619" s="10">
        <v>5.31</v>
      </c>
      <c r="D619" s="10">
        <v>0.59</v>
      </c>
      <c r="E619" s="16">
        <v>12.5</v>
      </c>
      <c r="F619">
        <v>1018171</v>
      </c>
      <c r="G619" s="5">
        <v>43168</v>
      </c>
    </row>
    <row r="620" spans="1:7" x14ac:dyDescent="0.4">
      <c r="A620">
        <v>19</v>
      </c>
      <c r="B620" t="s">
        <v>34</v>
      </c>
      <c r="C620" s="10">
        <v>4.62</v>
      </c>
      <c r="D620" s="10">
        <v>0.51</v>
      </c>
      <c r="E620" s="16">
        <v>12.41</v>
      </c>
      <c r="F620">
        <v>350549</v>
      </c>
      <c r="G620" s="5">
        <v>43168</v>
      </c>
    </row>
    <row r="621" spans="1:7" x14ac:dyDescent="0.4">
      <c r="A621">
        <v>20</v>
      </c>
      <c r="B621" t="s">
        <v>639</v>
      </c>
      <c r="C621" s="10">
        <v>3</v>
      </c>
      <c r="D621" s="10">
        <v>0.33</v>
      </c>
      <c r="E621" s="16">
        <v>12.36</v>
      </c>
      <c r="F621">
        <v>397741</v>
      </c>
      <c r="G621" s="5">
        <v>43168</v>
      </c>
    </row>
    <row r="622" spans="1:7" x14ac:dyDescent="0.4">
      <c r="A622">
        <v>21</v>
      </c>
      <c r="B622" t="s">
        <v>928</v>
      </c>
      <c r="C622" s="10">
        <v>12.07</v>
      </c>
      <c r="D622" s="10">
        <v>1.31</v>
      </c>
      <c r="E622" s="16">
        <v>12.17</v>
      </c>
      <c r="F622">
        <v>603168</v>
      </c>
      <c r="G622" s="5">
        <v>43168</v>
      </c>
    </row>
    <row r="623" spans="1:7" x14ac:dyDescent="0.4">
      <c r="A623">
        <v>22</v>
      </c>
      <c r="B623" t="s">
        <v>186</v>
      </c>
      <c r="C623" s="10">
        <v>12.19</v>
      </c>
      <c r="D623" s="10">
        <v>1.3</v>
      </c>
      <c r="E623" s="16">
        <v>11.94</v>
      </c>
      <c r="F623">
        <v>961200</v>
      </c>
      <c r="G623" s="5">
        <v>43168</v>
      </c>
    </row>
    <row r="624" spans="1:7" x14ac:dyDescent="0.4">
      <c r="A624">
        <v>23</v>
      </c>
      <c r="B624" t="s">
        <v>961</v>
      </c>
      <c r="C624" s="10">
        <v>34.6</v>
      </c>
      <c r="D624" s="10">
        <v>3.65</v>
      </c>
      <c r="E624" s="16">
        <v>11.79</v>
      </c>
      <c r="F624">
        <v>846336</v>
      </c>
      <c r="G624" s="5">
        <v>43168</v>
      </c>
    </row>
    <row r="625" spans="1:7" x14ac:dyDescent="0.4">
      <c r="A625">
        <v>24</v>
      </c>
      <c r="B625" t="s">
        <v>962</v>
      </c>
      <c r="C625" s="10">
        <v>10.11</v>
      </c>
      <c r="D625" s="10">
        <v>1.02</v>
      </c>
      <c r="E625" s="16">
        <v>11.22</v>
      </c>
      <c r="F625">
        <v>1097889</v>
      </c>
      <c r="G625" s="5">
        <v>43168</v>
      </c>
    </row>
    <row r="626" spans="1:7" x14ac:dyDescent="0.4">
      <c r="A626">
        <v>25</v>
      </c>
      <c r="B626" t="s">
        <v>963</v>
      </c>
      <c r="C626" s="10">
        <v>30.04</v>
      </c>
      <c r="D626" s="10">
        <v>2.95</v>
      </c>
      <c r="E626" s="16">
        <v>10.89</v>
      </c>
      <c r="F626">
        <v>1467836</v>
      </c>
      <c r="G626" s="5">
        <v>43168</v>
      </c>
    </row>
    <row r="627" spans="1:7" x14ac:dyDescent="0.4">
      <c r="A627">
        <v>26</v>
      </c>
      <c r="B627" t="s">
        <v>272</v>
      </c>
      <c r="C627" s="10">
        <v>8.75</v>
      </c>
      <c r="D627" s="10">
        <v>0.85</v>
      </c>
      <c r="E627" s="16">
        <v>10.76</v>
      </c>
      <c r="F627">
        <v>1259116</v>
      </c>
      <c r="G627" s="5">
        <v>43168</v>
      </c>
    </row>
    <row r="628" spans="1:7" x14ac:dyDescent="0.4">
      <c r="A628">
        <v>27</v>
      </c>
      <c r="B628" t="s">
        <v>964</v>
      </c>
      <c r="C628" s="10">
        <v>2.29</v>
      </c>
      <c r="D628" s="10">
        <v>0.22</v>
      </c>
      <c r="E628" s="16">
        <v>10.63</v>
      </c>
      <c r="F628">
        <v>6589116</v>
      </c>
      <c r="G628" s="5">
        <v>43168</v>
      </c>
    </row>
    <row r="629" spans="1:7" x14ac:dyDescent="0.4">
      <c r="A629">
        <v>28</v>
      </c>
      <c r="B629" t="s">
        <v>965</v>
      </c>
      <c r="C629" s="10">
        <v>70.040000000000006</v>
      </c>
      <c r="D629" s="10">
        <v>6.59</v>
      </c>
      <c r="E629" s="16">
        <v>10.39</v>
      </c>
      <c r="F629">
        <v>473632</v>
      </c>
      <c r="G629" s="5">
        <v>43168</v>
      </c>
    </row>
    <row r="630" spans="1:7" x14ac:dyDescent="0.4">
      <c r="A630">
        <v>29</v>
      </c>
      <c r="B630" t="s">
        <v>108</v>
      </c>
      <c r="C630" s="10">
        <v>25.65</v>
      </c>
      <c r="D630" s="10">
        <v>2.4</v>
      </c>
      <c r="E630" s="16">
        <v>10.32</v>
      </c>
      <c r="F630">
        <v>158242</v>
      </c>
      <c r="G630" s="5">
        <v>43168</v>
      </c>
    </row>
    <row r="631" spans="1:7" x14ac:dyDescent="0.4">
      <c r="A631">
        <v>30</v>
      </c>
      <c r="B631" t="s">
        <v>966</v>
      </c>
      <c r="C631" s="10">
        <v>4.17</v>
      </c>
      <c r="D631" s="10">
        <v>0.39</v>
      </c>
      <c r="E631" s="16">
        <v>10.32</v>
      </c>
      <c r="F631">
        <v>1745534</v>
      </c>
      <c r="G631" s="5">
        <v>43168</v>
      </c>
    </row>
    <row r="632" spans="1:7" x14ac:dyDescent="0.4">
      <c r="A632">
        <v>31</v>
      </c>
      <c r="B632" t="s">
        <v>65</v>
      </c>
      <c r="C632" s="10">
        <v>2.4</v>
      </c>
      <c r="D632" s="10">
        <v>0.22</v>
      </c>
      <c r="E632" s="16">
        <v>10.09</v>
      </c>
      <c r="F632">
        <v>751014</v>
      </c>
      <c r="G632" s="5">
        <v>43168</v>
      </c>
    </row>
    <row r="633" spans="1:7" x14ac:dyDescent="0.4">
      <c r="A633">
        <v>32</v>
      </c>
      <c r="B633" t="s">
        <v>967</v>
      </c>
      <c r="C633" s="10">
        <v>7.45</v>
      </c>
      <c r="D633" s="10">
        <v>0.67</v>
      </c>
      <c r="E633" s="16">
        <v>9.8800000000000008</v>
      </c>
      <c r="F633">
        <v>388167</v>
      </c>
      <c r="G633" s="5">
        <v>43168</v>
      </c>
    </row>
    <row r="634" spans="1:7" x14ac:dyDescent="0.4">
      <c r="A634">
        <v>33</v>
      </c>
      <c r="B634" t="s">
        <v>617</v>
      </c>
      <c r="C634" s="10">
        <v>4.4400000000000004</v>
      </c>
      <c r="D634" s="10">
        <v>0.38</v>
      </c>
      <c r="E634" s="16">
        <v>9.36</v>
      </c>
      <c r="F634">
        <v>160726</v>
      </c>
      <c r="G634" s="5">
        <v>43168</v>
      </c>
    </row>
    <row r="635" spans="1:7" x14ac:dyDescent="0.4">
      <c r="A635">
        <v>34</v>
      </c>
      <c r="B635" t="s">
        <v>968</v>
      </c>
      <c r="C635" s="10">
        <v>2.25</v>
      </c>
      <c r="D635" s="10">
        <v>0.19</v>
      </c>
      <c r="E635" s="16">
        <v>9.2200000000000006</v>
      </c>
      <c r="F635">
        <v>763602</v>
      </c>
      <c r="G635" s="5">
        <v>43168</v>
      </c>
    </row>
    <row r="636" spans="1:7" x14ac:dyDescent="0.4">
      <c r="A636">
        <v>35</v>
      </c>
      <c r="B636" t="s">
        <v>969</v>
      </c>
      <c r="C636" s="10">
        <v>35.799999999999997</v>
      </c>
      <c r="D636" s="10">
        <v>3.02</v>
      </c>
      <c r="E636" s="16">
        <v>9.2100000000000009</v>
      </c>
      <c r="F636">
        <v>474367</v>
      </c>
      <c r="G636" s="5">
        <v>43168</v>
      </c>
    </row>
    <row r="637" spans="1:7" x14ac:dyDescent="0.4">
      <c r="A637">
        <v>36</v>
      </c>
      <c r="B637" t="s">
        <v>970</v>
      </c>
      <c r="C637" s="10">
        <v>4.25</v>
      </c>
      <c r="D637" s="10">
        <v>0.35</v>
      </c>
      <c r="E637" s="16">
        <v>8.9700000000000006</v>
      </c>
      <c r="F637">
        <v>1592904</v>
      </c>
      <c r="G637" s="5">
        <v>43168</v>
      </c>
    </row>
    <row r="638" spans="1:7" x14ac:dyDescent="0.4">
      <c r="A638">
        <v>37</v>
      </c>
      <c r="B638" t="s">
        <v>971</v>
      </c>
      <c r="C638" s="10">
        <v>19.05</v>
      </c>
      <c r="D638" s="10">
        <v>1.55</v>
      </c>
      <c r="E638" s="16">
        <v>8.86</v>
      </c>
      <c r="F638">
        <v>228286</v>
      </c>
      <c r="G638" s="5">
        <v>43168</v>
      </c>
    </row>
    <row r="639" spans="1:7" x14ac:dyDescent="0.4">
      <c r="A639">
        <v>38</v>
      </c>
      <c r="B639" t="s">
        <v>523</v>
      </c>
      <c r="C639" s="10">
        <v>9.99</v>
      </c>
      <c r="D639" s="10">
        <v>0.81</v>
      </c>
      <c r="E639" s="16">
        <v>8.82</v>
      </c>
      <c r="F639">
        <v>47100</v>
      </c>
      <c r="G639" s="5">
        <v>43168</v>
      </c>
    </row>
    <row r="640" spans="1:7" x14ac:dyDescent="0.4">
      <c r="A640">
        <v>39</v>
      </c>
      <c r="B640" t="s">
        <v>348</v>
      </c>
      <c r="C640" s="10">
        <v>19.489999999999998</v>
      </c>
      <c r="D640" s="10">
        <v>1.58</v>
      </c>
      <c r="E640" s="16">
        <v>8.82</v>
      </c>
      <c r="F640">
        <v>164488</v>
      </c>
      <c r="G640" s="5">
        <v>43168</v>
      </c>
    </row>
    <row r="641" spans="1:7" x14ac:dyDescent="0.4">
      <c r="A641">
        <v>40</v>
      </c>
      <c r="B641" t="s">
        <v>972</v>
      </c>
      <c r="C641" s="10">
        <v>13.7</v>
      </c>
      <c r="D641" s="10">
        <v>1.1000000000000001</v>
      </c>
      <c r="E641" s="16">
        <v>8.73</v>
      </c>
      <c r="F641">
        <v>97644</v>
      </c>
      <c r="G641" s="5">
        <v>43168</v>
      </c>
    </row>
    <row r="642" spans="1:7" x14ac:dyDescent="0.4">
      <c r="A642">
        <v>41</v>
      </c>
      <c r="B642" t="s">
        <v>747</v>
      </c>
      <c r="C642" s="10">
        <v>61.71</v>
      </c>
      <c r="D642" s="10">
        <v>4.9400000000000004</v>
      </c>
      <c r="E642" s="16">
        <v>8.6999999999999993</v>
      </c>
      <c r="F642">
        <v>43573</v>
      </c>
      <c r="G642" s="5">
        <v>43168</v>
      </c>
    </row>
    <row r="643" spans="1:7" x14ac:dyDescent="0.4">
      <c r="A643">
        <v>42</v>
      </c>
      <c r="B643" t="s">
        <v>64</v>
      </c>
      <c r="C643" s="10">
        <v>6.3</v>
      </c>
      <c r="D643" s="10">
        <v>0.5</v>
      </c>
      <c r="E643" s="16">
        <v>8.6199999999999992</v>
      </c>
      <c r="F643">
        <v>29936</v>
      </c>
      <c r="G643" s="5">
        <v>43168</v>
      </c>
    </row>
    <row r="644" spans="1:7" x14ac:dyDescent="0.4">
      <c r="A644">
        <v>43</v>
      </c>
      <c r="B644" t="s">
        <v>875</v>
      </c>
      <c r="C644" s="10">
        <v>41.3</v>
      </c>
      <c r="D644" s="10">
        <v>3.25</v>
      </c>
      <c r="E644" s="16">
        <v>8.5399999999999991</v>
      </c>
      <c r="F644">
        <v>2355430</v>
      </c>
      <c r="G644" s="5">
        <v>43168</v>
      </c>
    </row>
    <row r="645" spans="1:7" x14ac:dyDescent="0.4">
      <c r="A645">
        <v>44</v>
      </c>
      <c r="B645" t="s">
        <v>107</v>
      </c>
      <c r="C645" s="10">
        <v>3.85</v>
      </c>
      <c r="D645" s="10">
        <v>0.3</v>
      </c>
      <c r="E645" s="16">
        <v>8.4499999999999993</v>
      </c>
      <c r="F645">
        <v>58208</v>
      </c>
      <c r="G645" s="5">
        <v>43168</v>
      </c>
    </row>
    <row r="646" spans="1:7" x14ac:dyDescent="0.4">
      <c r="A646">
        <v>45</v>
      </c>
      <c r="B646" t="s">
        <v>925</v>
      </c>
      <c r="C646" s="10">
        <v>7.76</v>
      </c>
      <c r="D646" s="10">
        <v>0.6</v>
      </c>
      <c r="E646" s="16">
        <v>8.3800000000000008</v>
      </c>
      <c r="F646">
        <v>280482</v>
      </c>
      <c r="G646" s="5">
        <v>43168</v>
      </c>
    </row>
    <row r="647" spans="1:7" x14ac:dyDescent="0.4">
      <c r="A647">
        <v>46</v>
      </c>
      <c r="B647" t="s">
        <v>973</v>
      </c>
      <c r="C647" s="10">
        <v>33.5</v>
      </c>
      <c r="D647" s="10">
        <v>2.59</v>
      </c>
      <c r="E647" s="16">
        <v>8.3800000000000008</v>
      </c>
      <c r="F647">
        <v>445920</v>
      </c>
      <c r="G647" s="5">
        <v>43168</v>
      </c>
    </row>
    <row r="648" spans="1:7" x14ac:dyDescent="0.4">
      <c r="A648">
        <v>47</v>
      </c>
      <c r="B648" t="s">
        <v>974</v>
      </c>
      <c r="C648" s="10">
        <v>2.2000000000000002</v>
      </c>
      <c r="D648" s="10">
        <v>0.17</v>
      </c>
      <c r="E648" s="16">
        <v>8.3699999999999992</v>
      </c>
      <c r="F648">
        <v>2534366</v>
      </c>
      <c r="G648" s="5">
        <v>43168</v>
      </c>
    </row>
    <row r="649" spans="1:7" x14ac:dyDescent="0.4">
      <c r="A649">
        <v>48</v>
      </c>
      <c r="B649" t="s">
        <v>815</v>
      </c>
      <c r="C649" s="10">
        <v>6.87</v>
      </c>
      <c r="D649" s="10">
        <v>0.53</v>
      </c>
      <c r="E649" s="16">
        <v>8.36</v>
      </c>
      <c r="F649">
        <v>305890</v>
      </c>
      <c r="G649" s="5">
        <v>43168</v>
      </c>
    </row>
    <row r="650" spans="1:7" x14ac:dyDescent="0.4">
      <c r="A650">
        <v>49</v>
      </c>
      <c r="B650" t="s">
        <v>975</v>
      </c>
      <c r="C650" s="10">
        <v>70.44</v>
      </c>
      <c r="D650" s="10">
        <v>5.4</v>
      </c>
      <c r="E650" s="16">
        <v>8.3000000000000007</v>
      </c>
      <c r="F650">
        <v>192087</v>
      </c>
      <c r="G650" s="5">
        <v>43168</v>
      </c>
    </row>
    <row r="651" spans="1:7" x14ac:dyDescent="0.4">
      <c r="A651">
        <v>50</v>
      </c>
      <c r="B651" t="s">
        <v>976</v>
      </c>
      <c r="C651" s="10">
        <v>34.78</v>
      </c>
      <c r="D651" s="10">
        <v>2.66</v>
      </c>
      <c r="E651" s="16">
        <v>8.2799999999999994</v>
      </c>
      <c r="F651">
        <v>21871</v>
      </c>
      <c r="G651" s="5">
        <v>43168</v>
      </c>
    </row>
    <row r="652" spans="1:7" x14ac:dyDescent="0.4">
      <c r="A652">
        <v>51</v>
      </c>
      <c r="B652" t="s">
        <v>535</v>
      </c>
      <c r="C652" s="10">
        <v>26.56</v>
      </c>
      <c r="D652" s="10">
        <v>2.0299999999999998</v>
      </c>
      <c r="E652" s="16">
        <v>8.2799999999999994</v>
      </c>
      <c r="F652">
        <v>3016518</v>
      </c>
      <c r="G652" s="5">
        <v>43168</v>
      </c>
    </row>
    <row r="653" spans="1:7" x14ac:dyDescent="0.4">
      <c r="A653">
        <v>52</v>
      </c>
      <c r="B653" t="s">
        <v>240</v>
      </c>
      <c r="C653" s="10">
        <v>41.65</v>
      </c>
      <c r="D653" s="10">
        <v>3.15</v>
      </c>
      <c r="E653" s="16">
        <v>8.18</v>
      </c>
      <c r="F653">
        <v>1413116</v>
      </c>
      <c r="G653" s="5">
        <v>43168</v>
      </c>
    </row>
    <row r="654" spans="1:7" x14ac:dyDescent="0.4">
      <c r="A654">
        <v>53</v>
      </c>
      <c r="B654" t="s">
        <v>522</v>
      </c>
      <c r="C654" s="10">
        <v>7.95</v>
      </c>
      <c r="D654" s="10">
        <v>0.6</v>
      </c>
      <c r="E654" s="16">
        <v>8.16</v>
      </c>
      <c r="F654">
        <v>3586892</v>
      </c>
      <c r="G654" s="5">
        <v>43168</v>
      </c>
    </row>
    <row r="655" spans="1:7" x14ac:dyDescent="0.4">
      <c r="A655">
        <v>54</v>
      </c>
      <c r="B655" t="s">
        <v>44</v>
      </c>
      <c r="C655" s="10">
        <v>26.9</v>
      </c>
      <c r="D655" s="10">
        <v>2.0299999999999998</v>
      </c>
      <c r="E655" s="16">
        <v>8.16</v>
      </c>
      <c r="F655">
        <v>1190150</v>
      </c>
      <c r="G655" s="5">
        <v>43168</v>
      </c>
    </row>
    <row r="656" spans="1:7" x14ac:dyDescent="0.4">
      <c r="A656">
        <v>55</v>
      </c>
      <c r="B656" t="s">
        <v>520</v>
      </c>
      <c r="C656" s="10">
        <v>25.66</v>
      </c>
      <c r="D656" s="10">
        <v>1.93</v>
      </c>
      <c r="E656" s="16">
        <v>8.1300000000000008</v>
      </c>
      <c r="F656">
        <v>5944</v>
      </c>
      <c r="G656" s="5">
        <v>43168</v>
      </c>
    </row>
    <row r="657" spans="1:7" x14ac:dyDescent="0.4">
      <c r="A657">
        <v>56</v>
      </c>
      <c r="B657" t="s">
        <v>381</v>
      </c>
      <c r="C657" s="10">
        <v>3.59</v>
      </c>
      <c r="D657" s="10">
        <v>0.27</v>
      </c>
      <c r="E657" s="16">
        <v>8.1300000000000008</v>
      </c>
      <c r="F657">
        <v>5856664</v>
      </c>
      <c r="G657" s="5">
        <v>43168</v>
      </c>
    </row>
    <row r="658" spans="1:7" x14ac:dyDescent="0.4">
      <c r="A658">
        <v>57</v>
      </c>
      <c r="B658" t="s">
        <v>667</v>
      </c>
      <c r="C658" s="10">
        <v>38.75</v>
      </c>
      <c r="D658" s="10">
        <v>2.9</v>
      </c>
      <c r="E658" s="16">
        <v>8.09</v>
      </c>
      <c r="F658">
        <v>26606</v>
      </c>
      <c r="G658" s="5">
        <v>43168</v>
      </c>
    </row>
    <row r="659" spans="1:7" x14ac:dyDescent="0.4">
      <c r="A659">
        <v>58</v>
      </c>
      <c r="B659" t="s">
        <v>265</v>
      </c>
      <c r="C659" s="10">
        <v>9.09</v>
      </c>
      <c r="D659" s="10">
        <v>0.68</v>
      </c>
      <c r="E659" s="16">
        <v>8.09</v>
      </c>
      <c r="F659">
        <v>774513</v>
      </c>
      <c r="G659" s="5">
        <v>43168</v>
      </c>
    </row>
    <row r="660" spans="1:7" x14ac:dyDescent="0.4">
      <c r="A660">
        <v>59</v>
      </c>
      <c r="B660" t="s">
        <v>161</v>
      </c>
      <c r="C660" s="10">
        <v>4.95</v>
      </c>
      <c r="D660" s="10">
        <v>0.37</v>
      </c>
      <c r="E660" s="16">
        <v>8.08</v>
      </c>
      <c r="F660">
        <v>193823</v>
      </c>
      <c r="G660" s="5">
        <v>43168</v>
      </c>
    </row>
    <row r="661" spans="1:7" x14ac:dyDescent="0.4">
      <c r="A661">
        <v>60</v>
      </c>
      <c r="B661" t="s">
        <v>23</v>
      </c>
      <c r="C661" s="10">
        <v>3.35</v>
      </c>
      <c r="D661" s="10">
        <v>0.25</v>
      </c>
      <c r="E661" s="16">
        <v>8.06</v>
      </c>
      <c r="F661">
        <v>378018</v>
      </c>
      <c r="G661" s="5">
        <v>43168</v>
      </c>
    </row>
    <row r="662" spans="1:7" x14ac:dyDescent="0.4">
      <c r="A662">
        <v>61</v>
      </c>
      <c r="B662" t="s">
        <v>534</v>
      </c>
      <c r="C662" s="10">
        <v>40.479999999999997</v>
      </c>
      <c r="D662" s="10">
        <v>3.02</v>
      </c>
      <c r="E662" s="16">
        <v>8.06</v>
      </c>
      <c r="F662">
        <v>221768</v>
      </c>
      <c r="G662" s="5">
        <v>43168</v>
      </c>
    </row>
    <row r="663" spans="1:7" x14ac:dyDescent="0.4">
      <c r="A663">
        <v>62</v>
      </c>
      <c r="B663" t="s">
        <v>43</v>
      </c>
      <c r="C663" s="10">
        <v>5.39</v>
      </c>
      <c r="D663" s="10">
        <v>0.4</v>
      </c>
      <c r="E663" s="16">
        <v>8.02</v>
      </c>
      <c r="F663">
        <v>470025</v>
      </c>
      <c r="G663" s="5">
        <v>43168</v>
      </c>
    </row>
    <row r="664" spans="1:7" x14ac:dyDescent="0.4">
      <c r="A664">
        <v>63</v>
      </c>
      <c r="B664" t="s">
        <v>746</v>
      </c>
      <c r="C664" s="10">
        <v>38.42</v>
      </c>
      <c r="D664" s="10">
        <v>2.84</v>
      </c>
      <c r="E664" s="16">
        <v>7.98</v>
      </c>
      <c r="F664">
        <v>1691560</v>
      </c>
      <c r="G664" s="5">
        <v>43168</v>
      </c>
    </row>
    <row r="665" spans="1:7" x14ac:dyDescent="0.4">
      <c r="A665">
        <v>64</v>
      </c>
      <c r="B665" t="s">
        <v>977</v>
      </c>
      <c r="C665" s="10">
        <v>8.4700000000000006</v>
      </c>
      <c r="D665" s="10">
        <v>0.62</v>
      </c>
      <c r="E665" s="16">
        <v>7.9</v>
      </c>
      <c r="F665">
        <v>967830</v>
      </c>
      <c r="G665" s="5">
        <v>43168</v>
      </c>
    </row>
    <row r="666" spans="1:7" x14ac:dyDescent="0.4">
      <c r="A666">
        <v>65</v>
      </c>
      <c r="B666" t="s">
        <v>978</v>
      </c>
      <c r="C666" s="10">
        <v>10.35</v>
      </c>
      <c r="D666" s="10">
        <v>0.75</v>
      </c>
      <c r="E666" s="16">
        <v>7.81</v>
      </c>
      <c r="F666">
        <v>2431264</v>
      </c>
      <c r="G666" s="5">
        <v>43168</v>
      </c>
    </row>
    <row r="667" spans="1:7" x14ac:dyDescent="0.4">
      <c r="A667">
        <v>66</v>
      </c>
      <c r="B667" t="s">
        <v>541</v>
      </c>
      <c r="C667" s="10">
        <v>82.81</v>
      </c>
      <c r="D667" s="10">
        <v>5.96</v>
      </c>
      <c r="E667" s="16">
        <v>7.76</v>
      </c>
      <c r="F667">
        <v>2339218</v>
      </c>
      <c r="G667" s="5">
        <v>43168</v>
      </c>
    </row>
    <row r="668" spans="1:7" x14ac:dyDescent="0.4">
      <c r="A668">
        <v>67</v>
      </c>
      <c r="B668" t="s">
        <v>979</v>
      </c>
      <c r="C668" s="10">
        <v>17.95</v>
      </c>
      <c r="D668" s="10">
        <v>1.29</v>
      </c>
      <c r="E668" s="16">
        <v>7.74</v>
      </c>
      <c r="F668">
        <v>2267422</v>
      </c>
      <c r="G668" s="5">
        <v>43168</v>
      </c>
    </row>
    <row r="669" spans="1:7" x14ac:dyDescent="0.4">
      <c r="A669">
        <v>68</v>
      </c>
      <c r="B669" t="s">
        <v>980</v>
      </c>
      <c r="C669" s="10">
        <v>34.950000000000003</v>
      </c>
      <c r="D669" s="10">
        <v>2.5099999999999998</v>
      </c>
      <c r="E669" s="16">
        <v>7.74</v>
      </c>
      <c r="F669">
        <v>1744110</v>
      </c>
      <c r="G669" s="5">
        <v>43168</v>
      </c>
    </row>
    <row r="670" spans="1:7" x14ac:dyDescent="0.4">
      <c r="A670">
        <v>69</v>
      </c>
      <c r="B670" t="s">
        <v>713</v>
      </c>
      <c r="C670" s="10">
        <v>6</v>
      </c>
      <c r="D670" s="10">
        <v>0.43</v>
      </c>
      <c r="E670" s="16">
        <v>7.72</v>
      </c>
      <c r="F670">
        <v>4781</v>
      </c>
      <c r="G670" s="5">
        <v>43168</v>
      </c>
    </row>
    <row r="671" spans="1:7" x14ac:dyDescent="0.4">
      <c r="A671">
        <v>70</v>
      </c>
      <c r="B671" t="s">
        <v>74</v>
      </c>
      <c r="C671" s="10">
        <v>24.28</v>
      </c>
      <c r="D671" s="10">
        <v>1.74</v>
      </c>
      <c r="E671" s="16">
        <v>7.72</v>
      </c>
      <c r="F671">
        <v>56247</v>
      </c>
      <c r="G671" s="5">
        <v>43168</v>
      </c>
    </row>
    <row r="672" spans="1:7" x14ac:dyDescent="0.4">
      <c r="A672">
        <v>71</v>
      </c>
      <c r="B672" t="s">
        <v>136</v>
      </c>
      <c r="C672" s="10">
        <v>34.229999999999997</v>
      </c>
      <c r="D672" s="10">
        <v>2.4500000000000002</v>
      </c>
      <c r="E672" s="16">
        <v>7.71</v>
      </c>
      <c r="F672">
        <v>464035</v>
      </c>
      <c r="G672" s="5">
        <v>43168</v>
      </c>
    </row>
    <row r="673" spans="1:7" x14ac:dyDescent="0.4">
      <c r="A673">
        <v>72</v>
      </c>
      <c r="B673" t="s">
        <v>981</v>
      </c>
      <c r="C673" s="10">
        <v>86.15</v>
      </c>
      <c r="D673" s="10">
        <v>6.15</v>
      </c>
      <c r="E673" s="16">
        <v>7.69</v>
      </c>
      <c r="F673">
        <v>851414</v>
      </c>
      <c r="G673" s="5">
        <v>43168</v>
      </c>
    </row>
    <row r="674" spans="1:7" x14ac:dyDescent="0.4">
      <c r="A674">
        <v>73</v>
      </c>
      <c r="B674" t="s">
        <v>982</v>
      </c>
      <c r="C674" s="10">
        <v>35.85</v>
      </c>
      <c r="D674" s="10">
        <v>2.5499999999999998</v>
      </c>
      <c r="E674" s="16">
        <v>7.66</v>
      </c>
      <c r="F674">
        <v>594342</v>
      </c>
      <c r="G674" s="5">
        <v>43168</v>
      </c>
    </row>
    <row r="675" spans="1:7" x14ac:dyDescent="0.4">
      <c r="A675">
        <v>74</v>
      </c>
      <c r="B675" t="s">
        <v>983</v>
      </c>
      <c r="C675" s="10">
        <v>15.65</v>
      </c>
      <c r="D675" s="10">
        <v>1.1000000000000001</v>
      </c>
      <c r="E675" s="16">
        <v>7.56</v>
      </c>
      <c r="F675">
        <v>3280334</v>
      </c>
      <c r="G675" s="5">
        <v>43168</v>
      </c>
    </row>
    <row r="676" spans="1:7" x14ac:dyDescent="0.4">
      <c r="A676">
        <v>75</v>
      </c>
      <c r="B676" t="s">
        <v>932</v>
      </c>
      <c r="C676" s="10">
        <v>4.2699999999999996</v>
      </c>
      <c r="D676" s="10">
        <v>0.3</v>
      </c>
      <c r="E676" s="16">
        <v>7.56</v>
      </c>
      <c r="F676">
        <v>1218182</v>
      </c>
      <c r="G676" s="5">
        <v>43168</v>
      </c>
    </row>
    <row r="677" spans="1:7" x14ac:dyDescent="0.4">
      <c r="A677">
        <v>76</v>
      </c>
      <c r="B677" t="s">
        <v>322</v>
      </c>
      <c r="C677" s="10">
        <v>8.65</v>
      </c>
      <c r="D677" s="10">
        <v>0.6</v>
      </c>
      <c r="E677" s="16">
        <v>7.45</v>
      </c>
      <c r="F677">
        <v>218897</v>
      </c>
      <c r="G677" s="5">
        <v>43168</v>
      </c>
    </row>
    <row r="678" spans="1:7" x14ac:dyDescent="0.4">
      <c r="A678">
        <v>77</v>
      </c>
      <c r="B678" t="s">
        <v>919</v>
      </c>
      <c r="C678" s="10">
        <v>6.83</v>
      </c>
      <c r="D678" s="10">
        <v>0.47</v>
      </c>
      <c r="E678" s="16">
        <v>7.39</v>
      </c>
      <c r="F678">
        <v>220198</v>
      </c>
      <c r="G678" s="5">
        <v>43168</v>
      </c>
    </row>
    <row r="679" spans="1:7" x14ac:dyDescent="0.4">
      <c r="A679">
        <v>78</v>
      </c>
      <c r="B679" t="s">
        <v>984</v>
      </c>
      <c r="C679" s="10">
        <v>2.2000000000000002</v>
      </c>
      <c r="D679" s="10">
        <v>0.15</v>
      </c>
      <c r="E679" s="16">
        <v>7.32</v>
      </c>
      <c r="F679">
        <v>1067455</v>
      </c>
      <c r="G679" s="5">
        <v>43168</v>
      </c>
    </row>
    <row r="680" spans="1:7" x14ac:dyDescent="0.4">
      <c r="A680">
        <v>79</v>
      </c>
      <c r="B680" t="s">
        <v>985</v>
      </c>
      <c r="C680" s="10">
        <v>3.08</v>
      </c>
      <c r="D680" s="10">
        <v>0.21</v>
      </c>
      <c r="E680" s="16">
        <v>7.32</v>
      </c>
      <c r="F680">
        <v>48919</v>
      </c>
      <c r="G680" s="5">
        <v>43168</v>
      </c>
    </row>
    <row r="681" spans="1:7" x14ac:dyDescent="0.4">
      <c r="A681">
        <v>80</v>
      </c>
      <c r="B681" t="s">
        <v>251</v>
      </c>
      <c r="C681" s="10">
        <v>2.95</v>
      </c>
      <c r="D681" s="10">
        <v>0.2</v>
      </c>
      <c r="E681" s="16">
        <v>7.27</v>
      </c>
      <c r="F681">
        <v>9563</v>
      </c>
      <c r="G681" s="5">
        <v>43168</v>
      </c>
    </row>
    <row r="682" spans="1:7" x14ac:dyDescent="0.4">
      <c r="A682">
        <v>81</v>
      </c>
      <c r="B682" t="s">
        <v>986</v>
      </c>
      <c r="C682" s="10">
        <v>11.8</v>
      </c>
      <c r="D682" s="10">
        <v>0.8</v>
      </c>
      <c r="E682" s="16">
        <v>7.27</v>
      </c>
      <c r="F682">
        <v>473878</v>
      </c>
      <c r="G682" s="5">
        <v>43168</v>
      </c>
    </row>
    <row r="683" spans="1:7" x14ac:dyDescent="0.4">
      <c r="A683">
        <v>82</v>
      </c>
      <c r="B683" t="s">
        <v>48</v>
      </c>
      <c r="C683" s="10">
        <v>32.92</v>
      </c>
      <c r="D683" s="10">
        <v>2.2200000000000002</v>
      </c>
      <c r="E683" s="16">
        <v>7.23</v>
      </c>
      <c r="F683">
        <v>184428</v>
      </c>
      <c r="G683" s="5">
        <v>43168</v>
      </c>
    </row>
    <row r="684" spans="1:7" x14ac:dyDescent="0.4">
      <c r="A684">
        <v>83</v>
      </c>
      <c r="B684" t="s">
        <v>752</v>
      </c>
      <c r="C684" s="10">
        <v>122</v>
      </c>
      <c r="D684" s="10">
        <v>8.1999999999999993</v>
      </c>
      <c r="E684" s="16">
        <v>7.21</v>
      </c>
      <c r="F684">
        <v>66308</v>
      </c>
      <c r="G684" s="5">
        <v>43168</v>
      </c>
    </row>
    <row r="685" spans="1:7" x14ac:dyDescent="0.4">
      <c r="A685">
        <v>84</v>
      </c>
      <c r="B685" t="s">
        <v>371</v>
      </c>
      <c r="C685" s="10">
        <v>8.8800000000000008</v>
      </c>
      <c r="D685" s="10">
        <v>0.59</v>
      </c>
      <c r="E685" s="16">
        <v>7.16</v>
      </c>
      <c r="F685">
        <v>65255</v>
      </c>
      <c r="G685" s="5">
        <v>43168</v>
      </c>
    </row>
    <row r="686" spans="1:7" x14ac:dyDescent="0.4">
      <c r="A686">
        <v>85</v>
      </c>
      <c r="B686" t="s">
        <v>987</v>
      </c>
      <c r="C686" s="10">
        <v>6.84</v>
      </c>
      <c r="D686" s="10">
        <v>0.45</v>
      </c>
      <c r="E686" s="16">
        <v>7.04</v>
      </c>
      <c r="F686">
        <v>47568</v>
      </c>
      <c r="G686" s="5">
        <v>43168</v>
      </c>
    </row>
    <row r="687" spans="1:7" x14ac:dyDescent="0.4">
      <c r="A687">
        <v>86</v>
      </c>
      <c r="B687" t="s">
        <v>988</v>
      </c>
      <c r="C687" s="10">
        <v>23.67</v>
      </c>
      <c r="D687" s="10">
        <v>1.55</v>
      </c>
      <c r="E687" s="16">
        <v>7.01</v>
      </c>
      <c r="F687">
        <v>465844</v>
      </c>
      <c r="G687" s="5">
        <v>43168</v>
      </c>
    </row>
    <row r="688" spans="1:7" x14ac:dyDescent="0.4">
      <c r="A688">
        <v>87</v>
      </c>
      <c r="B688" t="s">
        <v>554</v>
      </c>
      <c r="C688" s="10">
        <v>2.2999999999999998</v>
      </c>
      <c r="D688" s="10">
        <v>0.15</v>
      </c>
      <c r="E688" s="16">
        <v>6.98</v>
      </c>
      <c r="F688">
        <v>605870</v>
      </c>
      <c r="G688" s="5">
        <v>43168</v>
      </c>
    </row>
    <row r="689" spans="1:7" x14ac:dyDescent="0.4">
      <c r="A689">
        <v>88</v>
      </c>
      <c r="B689" t="s">
        <v>989</v>
      </c>
      <c r="C689" s="10">
        <v>19.350000000000001</v>
      </c>
      <c r="D689" s="10">
        <v>1.26</v>
      </c>
      <c r="E689" s="16">
        <v>6.97</v>
      </c>
      <c r="F689">
        <v>94095</v>
      </c>
      <c r="G689" s="5">
        <v>43168</v>
      </c>
    </row>
    <row r="690" spans="1:7" x14ac:dyDescent="0.4">
      <c r="A690">
        <v>89</v>
      </c>
      <c r="B690" t="s">
        <v>917</v>
      </c>
      <c r="C690" s="10">
        <v>10.75</v>
      </c>
      <c r="D690" s="10">
        <v>0.7</v>
      </c>
      <c r="E690" s="16">
        <v>6.97</v>
      </c>
      <c r="F690">
        <v>241095</v>
      </c>
      <c r="G690" s="5">
        <v>43168</v>
      </c>
    </row>
    <row r="691" spans="1:7" x14ac:dyDescent="0.4">
      <c r="A691">
        <v>90</v>
      </c>
      <c r="B691" t="s">
        <v>990</v>
      </c>
      <c r="C691" s="10">
        <v>8.4499999999999993</v>
      </c>
      <c r="D691" s="10">
        <v>0.55000000000000004</v>
      </c>
      <c r="E691" s="16">
        <v>6.96</v>
      </c>
      <c r="F691">
        <v>621948</v>
      </c>
      <c r="G691" s="5">
        <v>43168</v>
      </c>
    </row>
    <row r="692" spans="1:7" x14ac:dyDescent="0.4">
      <c r="A692">
        <v>91</v>
      </c>
      <c r="B692" t="s">
        <v>991</v>
      </c>
      <c r="C692" s="10">
        <v>3.23</v>
      </c>
      <c r="D692" s="10">
        <v>0.21</v>
      </c>
      <c r="E692" s="16">
        <v>6.95</v>
      </c>
      <c r="F692">
        <v>2970753</v>
      </c>
      <c r="G692" s="5">
        <v>43168</v>
      </c>
    </row>
    <row r="693" spans="1:7" x14ac:dyDescent="0.4">
      <c r="A693">
        <v>92</v>
      </c>
      <c r="B693" t="s">
        <v>212</v>
      </c>
      <c r="C693" s="10">
        <v>2.77</v>
      </c>
      <c r="D693" s="10">
        <v>0.18</v>
      </c>
      <c r="E693" s="16">
        <v>6.95</v>
      </c>
      <c r="F693">
        <v>206447</v>
      </c>
      <c r="G693" s="5">
        <v>43168</v>
      </c>
    </row>
    <row r="694" spans="1:7" x14ac:dyDescent="0.4">
      <c r="A694">
        <v>93</v>
      </c>
      <c r="B694" t="s">
        <v>424</v>
      </c>
      <c r="C694" s="10">
        <v>3.1</v>
      </c>
      <c r="D694" s="10">
        <v>0.2</v>
      </c>
      <c r="E694" s="16">
        <v>6.9</v>
      </c>
      <c r="F694">
        <v>618960</v>
      </c>
      <c r="G694" s="5">
        <v>43168</v>
      </c>
    </row>
    <row r="695" spans="1:7" x14ac:dyDescent="0.4">
      <c r="A695">
        <v>94</v>
      </c>
      <c r="B695" t="s">
        <v>292</v>
      </c>
      <c r="C695" s="10">
        <v>3.1</v>
      </c>
      <c r="D695" s="10">
        <v>0.2</v>
      </c>
      <c r="E695" s="16">
        <v>6.9</v>
      </c>
      <c r="F695">
        <v>413198</v>
      </c>
      <c r="G695" s="5">
        <v>43168</v>
      </c>
    </row>
    <row r="696" spans="1:7" x14ac:dyDescent="0.4">
      <c r="A696">
        <v>95</v>
      </c>
      <c r="B696" t="s">
        <v>635</v>
      </c>
      <c r="C696" s="10">
        <v>11.32</v>
      </c>
      <c r="D696" s="10">
        <v>0.73</v>
      </c>
      <c r="E696" s="16">
        <v>6.89</v>
      </c>
      <c r="F696">
        <v>800868</v>
      </c>
      <c r="G696" s="5">
        <v>43168</v>
      </c>
    </row>
    <row r="697" spans="1:7" x14ac:dyDescent="0.4">
      <c r="A697">
        <v>96</v>
      </c>
      <c r="B697" t="s">
        <v>324</v>
      </c>
      <c r="C697" s="10">
        <v>6.38</v>
      </c>
      <c r="D697" s="10">
        <v>0.41</v>
      </c>
      <c r="E697" s="16">
        <v>6.87</v>
      </c>
      <c r="F697">
        <v>57846</v>
      </c>
      <c r="G697" s="5">
        <v>43168</v>
      </c>
    </row>
    <row r="698" spans="1:7" x14ac:dyDescent="0.4">
      <c r="A698">
        <v>97</v>
      </c>
      <c r="B698" t="s">
        <v>52</v>
      </c>
      <c r="C698" s="10">
        <v>4.22</v>
      </c>
      <c r="D698" s="10">
        <v>0.27</v>
      </c>
      <c r="E698" s="16">
        <v>6.84</v>
      </c>
      <c r="F698">
        <v>3939717</v>
      </c>
      <c r="G698" s="5">
        <v>43168</v>
      </c>
    </row>
    <row r="699" spans="1:7" x14ac:dyDescent="0.4">
      <c r="A699">
        <v>98</v>
      </c>
      <c r="B699" t="s">
        <v>740</v>
      </c>
      <c r="C699" s="10">
        <v>3.29</v>
      </c>
      <c r="D699" s="10">
        <v>0.21</v>
      </c>
      <c r="E699" s="16">
        <v>6.82</v>
      </c>
      <c r="F699">
        <v>1180858</v>
      </c>
      <c r="G699" s="5">
        <v>43168</v>
      </c>
    </row>
    <row r="700" spans="1:7" x14ac:dyDescent="0.4">
      <c r="A700">
        <v>99</v>
      </c>
      <c r="B700" t="s">
        <v>992</v>
      </c>
      <c r="C700" s="10">
        <v>27.69</v>
      </c>
      <c r="D700" s="10">
        <v>1.76</v>
      </c>
      <c r="E700" s="16">
        <v>6.79</v>
      </c>
      <c r="F700">
        <v>1553672</v>
      </c>
      <c r="G700" s="5">
        <v>43168</v>
      </c>
    </row>
    <row r="701" spans="1:7" x14ac:dyDescent="0.4">
      <c r="A701">
        <v>100</v>
      </c>
      <c r="B701" t="s">
        <v>993</v>
      </c>
      <c r="C701" s="10">
        <v>3.94</v>
      </c>
      <c r="D701" s="10">
        <v>0.25</v>
      </c>
      <c r="E701" s="16">
        <v>6.78</v>
      </c>
      <c r="F701">
        <v>2527752</v>
      </c>
      <c r="G701" s="5">
        <v>43168</v>
      </c>
    </row>
    <row r="702" spans="1:7" x14ac:dyDescent="0.4">
      <c r="A702">
        <v>2</v>
      </c>
      <c r="B702" t="s">
        <v>18</v>
      </c>
      <c r="C702" s="10">
        <v>13.5</v>
      </c>
      <c r="D702" s="10">
        <v>3.21</v>
      </c>
      <c r="E702" s="16">
        <v>31.2</v>
      </c>
      <c r="F702">
        <v>6800044</v>
      </c>
      <c r="G702" s="5">
        <v>43171</v>
      </c>
    </row>
    <row r="703" spans="1:7" x14ac:dyDescent="0.4">
      <c r="A703">
        <v>3</v>
      </c>
      <c r="B703" t="s">
        <v>19</v>
      </c>
      <c r="C703" s="10">
        <v>6.6</v>
      </c>
      <c r="D703" s="10">
        <v>1.56</v>
      </c>
      <c r="E703" s="16">
        <v>30.9</v>
      </c>
      <c r="F703">
        <v>95813</v>
      </c>
      <c r="G703" s="5">
        <v>43171</v>
      </c>
    </row>
    <row r="704" spans="1:7" x14ac:dyDescent="0.4">
      <c r="A704">
        <v>4</v>
      </c>
      <c r="B704" t="s">
        <v>20</v>
      </c>
      <c r="C704" s="10">
        <v>10.01</v>
      </c>
      <c r="D704" s="10">
        <v>2.16</v>
      </c>
      <c r="E704" s="16">
        <v>27.52</v>
      </c>
      <c r="F704">
        <v>79944538</v>
      </c>
      <c r="G704" s="5">
        <v>43171</v>
      </c>
    </row>
    <row r="705" spans="1:7" x14ac:dyDescent="0.4">
      <c r="A705">
        <v>5</v>
      </c>
      <c r="B705" t="s">
        <v>21</v>
      </c>
      <c r="C705" s="10">
        <v>16.5</v>
      </c>
      <c r="D705" s="10">
        <v>3.5</v>
      </c>
      <c r="E705" s="16">
        <v>26.92</v>
      </c>
      <c r="F705">
        <v>138445</v>
      </c>
      <c r="G705" s="5">
        <v>43171</v>
      </c>
    </row>
    <row r="706" spans="1:7" x14ac:dyDescent="0.4">
      <c r="A706">
        <v>6</v>
      </c>
      <c r="B706" t="s">
        <v>22</v>
      </c>
      <c r="C706" s="10">
        <v>18.82</v>
      </c>
      <c r="D706" s="10">
        <v>3.92</v>
      </c>
      <c r="E706" s="16">
        <v>26.33</v>
      </c>
      <c r="F706">
        <v>667117</v>
      </c>
      <c r="G706" s="5">
        <v>43171</v>
      </c>
    </row>
    <row r="707" spans="1:7" x14ac:dyDescent="0.4">
      <c r="A707">
        <v>7</v>
      </c>
      <c r="B707" t="s">
        <v>23</v>
      </c>
      <c r="C707" s="10">
        <v>4.1500000000000004</v>
      </c>
      <c r="D707" s="10">
        <v>0.8</v>
      </c>
      <c r="E707" s="16">
        <v>23.88</v>
      </c>
      <c r="F707">
        <v>1110470</v>
      </c>
      <c r="G707" s="5">
        <v>43171</v>
      </c>
    </row>
    <row r="708" spans="1:7" x14ac:dyDescent="0.4">
      <c r="A708">
        <v>8</v>
      </c>
      <c r="B708" t="s">
        <v>24</v>
      </c>
      <c r="C708" s="10">
        <v>24.9</v>
      </c>
      <c r="D708" s="10">
        <v>4.7</v>
      </c>
      <c r="E708" s="16">
        <v>23.27</v>
      </c>
      <c r="F708">
        <v>417884</v>
      </c>
      <c r="G708" s="5">
        <v>43171</v>
      </c>
    </row>
    <row r="709" spans="1:7" x14ac:dyDescent="0.4">
      <c r="A709">
        <v>9</v>
      </c>
      <c r="B709" t="s">
        <v>25</v>
      </c>
      <c r="C709" s="10">
        <v>12.8</v>
      </c>
      <c r="D709" s="10">
        <v>2.4</v>
      </c>
      <c r="E709" s="16">
        <v>23.08</v>
      </c>
      <c r="F709">
        <v>3525412</v>
      </c>
      <c r="G709" s="5">
        <v>43171</v>
      </c>
    </row>
    <row r="710" spans="1:7" x14ac:dyDescent="0.4">
      <c r="A710">
        <v>10</v>
      </c>
      <c r="B710" t="s">
        <v>26</v>
      </c>
      <c r="C710" s="10">
        <v>4.63</v>
      </c>
      <c r="D710" s="10">
        <v>0.84</v>
      </c>
      <c r="E710" s="16">
        <v>22.17</v>
      </c>
      <c r="F710">
        <v>843507</v>
      </c>
      <c r="G710" s="5">
        <v>43171</v>
      </c>
    </row>
    <row r="711" spans="1:7" x14ac:dyDescent="0.4">
      <c r="A711">
        <v>11</v>
      </c>
      <c r="B711" t="s">
        <v>27</v>
      </c>
      <c r="C711" s="10">
        <v>3.32</v>
      </c>
      <c r="D711" s="10">
        <v>0.6</v>
      </c>
      <c r="E711" s="16">
        <v>22.06</v>
      </c>
      <c r="F711">
        <v>25553</v>
      </c>
      <c r="G711" s="5">
        <v>43171</v>
      </c>
    </row>
    <row r="712" spans="1:7" x14ac:dyDescent="0.4">
      <c r="A712">
        <v>12</v>
      </c>
      <c r="B712" t="s">
        <v>28</v>
      </c>
      <c r="C712" s="10">
        <v>10.9</v>
      </c>
      <c r="D712" s="10">
        <v>1.6</v>
      </c>
      <c r="E712" s="16">
        <v>17.2</v>
      </c>
      <c r="F712">
        <v>238608</v>
      </c>
      <c r="G712" s="5">
        <v>43171</v>
      </c>
    </row>
    <row r="713" spans="1:7" x14ac:dyDescent="0.4">
      <c r="A713">
        <v>13</v>
      </c>
      <c r="B713" t="s">
        <v>29</v>
      </c>
      <c r="C713" s="10">
        <v>15.26</v>
      </c>
      <c r="D713" s="10">
        <v>2.11</v>
      </c>
      <c r="E713" s="16">
        <v>16.05</v>
      </c>
      <c r="F713">
        <v>200328</v>
      </c>
      <c r="G713" s="5">
        <v>43171</v>
      </c>
    </row>
    <row r="714" spans="1:7" x14ac:dyDescent="0.4">
      <c r="A714">
        <v>14</v>
      </c>
      <c r="B714" t="s">
        <v>30</v>
      </c>
      <c r="C714" s="10">
        <v>5.08</v>
      </c>
      <c r="D714" s="10">
        <v>0.68</v>
      </c>
      <c r="E714" s="16">
        <v>15.45</v>
      </c>
      <c r="F714">
        <v>33641</v>
      </c>
      <c r="G714" s="5">
        <v>43171</v>
      </c>
    </row>
    <row r="715" spans="1:7" x14ac:dyDescent="0.4">
      <c r="A715">
        <v>15</v>
      </c>
      <c r="B715" t="s">
        <v>31</v>
      </c>
      <c r="C715" s="10">
        <v>12.8</v>
      </c>
      <c r="D715" s="10">
        <v>1.7</v>
      </c>
      <c r="E715" s="16">
        <v>15.32</v>
      </c>
      <c r="F715">
        <v>1500107</v>
      </c>
      <c r="G715" s="5">
        <v>43171</v>
      </c>
    </row>
    <row r="716" spans="1:7" x14ac:dyDescent="0.4">
      <c r="A716">
        <v>16</v>
      </c>
      <c r="B716" t="s">
        <v>32</v>
      </c>
      <c r="C716" s="10">
        <v>10.53</v>
      </c>
      <c r="D716" s="10">
        <v>1.39</v>
      </c>
      <c r="E716" s="16">
        <v>15.21</v>
      </c>
      <c r="F716">
        <v>1078239</v>
      </c>
      <c r="G716" s="5">
        <v>43171</v>
      </c>
    </row>
    <row r="717" spans="1:7" x14ac:dyDescent="0.4">
      <c r="A717">
        <v>17</v>
      </c>
      <c r="B717" t="s">
        <v>33</v>
      </c>
      <c r="C717" s="10">
        <v>4.75</v>
      </c>
      <c r="D717" s="10">
        <v>0.6</v>
      </c>
      <c r="E717" s="16">
        <v>14.46</v>
      </c>
      <c r="F717">
        <v>4388</v>
      </c>
      <c r="G717" s="5">
        <v>43171</v>
      </c>
    </row>
    <row r="718" spans="1:7" x14ac:dyDescent="0.4">
      <c r="A718">
        <v>18</v>
      </c>
      <c r="B718" t="s">
        <v>34</v>
      </c>
      <c r="C718" s="10">
        <v>5.26</v>
      </c>
      <c r="D718" s="10">
        <v>0.64</v>
      </c>
      <c r="E718" s="16">
        <v>13.85</v>
      </c>
      <c r="F718">
        <v>327017</v>
      </c>
      <c r="G718" s="5">
        <v>43171</v>
      </c>
    </row>
    <row r="719" spans="1:7" x14ac:dyDescent="0.4">
      <c r="A719">
        <v>19</v>
      </c>
      <c r="B719" t="s">
        <v>35</v>
      </c>
      <c r="C719" s="10">
        <v>5.74</v>
      </c>
      <c r="D719" s="10">
        <v>0.68</v>
      </c>
      <c r="E719" s="16">
        <v>13.44</v>
      </c>
      <c r="F719">
        <v>378739</v>
      </c>
      <c r="G719" s="5">
        <v>43171</v>
      </c>
    </row>
    <row r="720" spans="1:7" x14ac:dyDescent="0.4">
      <c r="A720">
        <v>20</v>
      </c>
      <c r="B720" t="s">
        <v>36</v>
      </c>
      <c r="C720" s="10">
        <v>3.82</v>
      </c>
      <c r="D720" s="10">
        <v>0.45</v>
      </c>
      <c r="E720" s="16">
        <v>13.35</v>
      </c>
      <c r="F720">
        <v>3967648</v>
      </c>
      <c r="G720" s="5">
        <v>43171</v>
      </c>
    </row>
    <row r="721" spans="1:7" x14ac:dyDescent="0.4">
      <c r="A721">
        <v>21</v>
      </c>
      <c r="B721" t="s">
        <v>37</v>
      </c>
      <c r="C721" s="10">
        <v>2.38</v>
      </c>
      <c r="D721" s="10">
        <v>0.28000000000000003</v>
      </c>
      <c r="E721" s="16">
        <v>13.33</v>
      </c>
      <c r="F721">
        <v>2190444</v>
      </c>
      <c r="G721" s="5">
        <v>43171</v>
      </c>
    </row>
    <row r="722" spans="1:7" x14ac:dyDescent="0.4">
      <c r="A722">
        <v>22</v>
      </c>
      <c r="B722" t="s">
        <v>38</v>
      </c>
      <c r="C722" s="10">
        <v>39.4</v>
      </c>
      <c r="D722" s="10">
        <v>4.63</v>
      </c>
      <c r="E722" s="16">
        <v>13.3</v>
      </c>
      <c r="F722">
        <v>517430</v>
      </c>
      <c r="G722" s="5">
        <v>43171</v>
      </c>
    </row>
    <row r="723" spans="1:7" x14ac:dyDescent="0.4">
      <c r="A723">
        <v>23</v>
      </c>
      <c r="B723" t="s">
        <v>39</v>
      </c>
      <c r="C723" s="10">
        <v>2.77</v>
      </c>
      <c r="D723" s="10">
        <v>0.32</v>
      </c>
      <c r="E723" s="16">
        <v>13.06</v>
      </c>
      <c r="F723">
        <v>2108477</v>
      </c>
      <c r="G723" s="5">
        <v>43171</v>
      </c>
    </row>
    <row r="724" spans="1:7" x14ac:dyDescent="0.4">
      <c r="A724">
        <v>24</v>
      </c>
      <c r="B724" t="s">
        <v>40</v>
      </c>
      <c r="C724" s="10">
        <v>3.95</v>
      </c>
      <c r="D724" s="10">
        <v>0.45</v>
      </c>
      <c r="E724" s="16">
        <v>12.86</v>
      </c>
      <c r="F724">
        <v>9926</v>
      </c>
      <c r="G724" s="5">
        <v>43171</v>
      </c>
    </row>
    <row r="725" spans="1:7" x14ac:dyDescent="0.4">
      <c r="A725">
        <v>25</v>
      </c>
      <c r="B725" t="s">
        <v>41</v>
      </c>
      <c r="C725" s="10">
        <v>3.01</v>
      </c>
      <c r="D725" s="10">
        <v>0.31</v>
      </c>
      <c r="E725" s="16">
        <v>11.48</v>
      </c>
      <c r="F725">
        <v>257330</v>
      </c>
      <c r="G725" s="5">
        <v>43171</v>
      </c>
    </row>
    <row r="726" spans="1:7" x14ac:dyDescent="0.4">
      <c r="A726">
        <v>26</v>
      </c>
      <c r="B726" t="s">
        <v>42</v>
      </c>
      <c r="C726" s="10">
        <v>3.23</v>
      </c>
      <c r="D726" s="10">
        <v>0.33</v>
      </c>
      <c r="E726" s="16">
        <v>11.38</v>
      </c>
      <c r="F726">
        <v>2261157</v>
      </c>
      <c r="G726" s="5">
        <v>43171</v>
      </c>
    </row>
    <row r="727" spans="1:7" x14ac:dyDescent="0.4">
      <c r="A727">
        <v>27</v>
      </c>
      <c r="B727" t="s">
        <v>43</v>
      </c>
      <c r="C727" s="10">
        <v>6</v>
      </c>
      <c r="D727" s="10">
        <v>0.61</v>
      </c>
      <c r="E727" s="16">
        <v>11.32</v>
      </c>
      <c r="F727">
        <v>250643</v>
      </c>
      <c r="G727" s="5">
        <v>43171</v>
      </c>
    </row>
    <row r="728" spans="1:7" x14ac:dyDescent="0.4">
      <c r="A728">
        <v>28</v>
      </c>
      <c r="B728" t="s">
        <v>44</v>
      </c>
      <c r="C728" s="10">
        <v>29.88</v>
      </c>
      <c r="D728" s="10">
        <v>2.98</v>
      </c>
      <c r="E728" s="16">
        <v>11.08</v>
      </c>
      <c r="F728">
        <v>2309004</v>
      </c>
      <c r="G728" s="5">
        <v>43171</v>
      </c>
    </row>
    <row r="729" spans="1:7" x14ac:dyDescent="0.4">
      <c r="A729">
        <v>29</v>
      </c>
      <c r="B729" t="s">
        <v>45</v>
      </c>
      <c r="C729" s="10">
        <v>2.6</v>
      </c>
      <c r="D729" s="10">
        <v>0.25</v>
      </c>
      <c r="E729" s="16">
        <v>10.64</v>
      </c>
      <c r="F729">
        <v>527079</v>
      </c>
      <c r="G729" s="5">
        <v>43171</v>
      </c>
    </row>
    <row r="730" spans="1:7" x14ac:dyDescent="0.4">
      <c r="A730">
        <v>30</v>
      </c>
      <c r="B730" t="s">
        <v>46</v>
      </c>
      <c r="C730" s="10">
        <v>83.2</v>
      </c>
      <c r="D730" s="10">
        <v>7.94</v>
      </c>
      <c r="E730" s="16">
        <v>10.55</v>
      </c>
      <c r="F730">
        <v>38846</v>
      </c>
      <c r="G730" s="5">
        <v>43171</v>
      </c>
    </row>
    <row r="731" spans="1:7" x14ac:dyDescent="0.4">
      <c r="A731">
        <v>31</v>
      </c>
      <c r="B731" t="s">
        <v>47</v>
      </c>
      <c r="C731" s="10">
        <v>10.42</v>
      </c>
      <c r="D731" s="10">
        <v>0.99</v>
      </c>
      <c r="E731" s="16">
        <v>10.5</v>
      </c>
      <c r="F731">
        <v>2921561</v>
      </c>
      <c r="G731" s="5">
        <v>43171</v>
      </c>
    </row>
    <row r="732" spans="1:7" x14ac:dyDescent="0.4">
      <c r="A732">
        <v>32</v>
      </c>
      <c r="B732" t="s">
        <v>48</v>
      </c>
      <c r="C732" s="10">
        <v>36.36</v>
      </c>
      <c r="D732" s="10">
        <v>3.44</v>
      </c>
      <c r="E732" s="16">
        <v>10.45</v>
      </c>
      <c r="F732">
        <v>272110</v>
      </c>
      <c r="G732" s="5">
        <v>43171</v>
      </c>
    </row>
    <row r="733" spans="1:7" x14ac:dyDescent="0.4">
      <c r="A733">
        <v>33</v>
      </c>
      <c r="B733" t="s">
        <v>49</v>
      </c>
      <c r="C733" s="10">
        <v>3.1</v>
      </c>
      <c r="D733" s="10">
        <v>0.28999999999999998</v>
      </c>
      <c r="E733" s="16">
        <v>10.32</v>
      </c>
      <c r="F733">
        <v>456058</v>
      </c>
      <c r="G733" s="5">
        <v>43171</v>
      </c>
    </row>
    <row r="734" spans="1:7" x14ac:dyDescent="0.4">
      <c r="A734">
        <v>34</v>
      </c>
      <c r="B734" t="s">
        <v>50</v>
      </c>
      <c r="C734" s="10">
        <v>5.04</v>
      </c>
      <c r="D734" s="10">
        <v>0.46</v>
      </c>
      <c r="E734" s="16">
        <v>10.039999999999999</v>
      </c>
      <c r="F734">
        <v>567836</v>
      </c>
      <c r="G734" s="5">
        <v>43171</v>
      </c>
    </row>
    <row r="735" spans="1:7" x14ac:dyDescent="0.4">
      <c r="A735">
        <v>35</v>
      </c>
      <c r="B735" t="s">
        <v>51</v>
      </c>
      <c r="C735" s="10">
        <v>63.84</v>
      </c>
      <c r="D735" s="10">
        <v>5.7</v>
      </c>
      <c r="E735" s="16">
        <v>9.8000000000000007</v>
      </c>
      <c r="F735">
        <v>421123</v>
      </c>
      <c r="G735" s="5">
        <v>43171</v>
      </c>
    </row>
    <row r="736" spans="1:7" x14ac:dyDescent="0.4">
      <c r="A736">
        <v>36</v>
      </c>
      <c r="B736" t="s">
        <v>52</v>
      </c>
      <c r="C736" s="10">
        <v>4.63</v>
      </c>
      <c r="D736" s="10">
        <v>0.41</v>
      </c>
      <c r="E736" s="16">
        <v>9.7200000000000006</v>
      </c>
      <c r="F736">
        <v>6201124</v>
      </c>
      <c r="G736" s="5">
        <v>43171</v>
      </c>
    </row>
    <row r="737" spans="1:7" x14ac:dyDescent="0.4">
      <c r="A737">
        <v>37</v>
      </c>
      <c r="B737" t="s">
        <v>53</v>
      </c>
      <c r="C737" s="10">
        <v>4.9000000000000004</v>
      </c>
      <c r="D737" s="10">
        <v>0.43</v>
      </c>
      <c r="E737" s="16">
        <v>9.6199999999999992</v>
      </c>
      <c r="F737">
        <v>53450</v>
      </c>
      <c r="G737" s="5">
        <v>43171</v>
      </c>
    </row>
    <row r="738" spans="1:7" x14ac:dyDescent="0.4">
      <c r="A738">
        <v>38</v>
      </c>
      <c r="B738" t="s">
        <v>54</v>
      </c>
      <c r="C738" s="10">
        <v>2.85</v>
      </c>
      <c r="D738" s="10">
        <v>0.25</v>
      </c>
      <c r="E738" s="16">
        <v>9.6199999999999992</v>
      </c>
      <c r="F738">
        <v>16031</v>
      </c>
      <c r="G738" s="5">
        <v>43171</v>
      </c>
    </row>
    <row r="739" spans="1:7" x14ac:dyDescent="0.4">
      <c r="A739">
        <v>39</v>
      </c>
      <c r="B739" t="s">
        <v>55</v>
      </c>
      <c r="C739" s="10">
        <v>4.05</v>
      </c>
      <c r="D739" s="10">
        <v>0.35</v>
      </c>
      <c r="E739" s="16">
        <v>9.4600000000000009</v>
      </c>
      <c r="F739">
        <v>638707</v>
      </c>
      <c r="G739" s="5">
        <v>43171</v>
      </c>
    </row>
    <row r="740" spans="1:7" x14ac:dyDescent="0.4">
      <c r="A740">
        <v>40</v>
      </c>
      <c r="B740" t="s">
        <v>56</v>
      </c>
      <c r="C740" s="10">
        <v>7.16</v>
      </c>
      <c r="D740" s="10">
        <v>0.61</v>
      </c>
      <c r="E740" s="16">
        <v>9.31</v>
      </c>
      <c r="F740">
        <v>891624</v>
      </c>
      <c r="G740" s="5">
        <v>43171</v>
      </c>
    </row>
    <row r="741" spans="1:7" x14ac:dyDescent="0.4">
      <c r="A741">
        <v>41</v>
      </c>
      <c r="B741" t="s">
        <v>57</v>
      </c>
      <c r="C741" s="10">
        <v>17.079999999999998</v>
      </c>
      <c r="D741" s="10">
        <v>1.41</v>
      </c>
      <c r="E741" s="16">
        <v>9</v>
      </c>
      <c r="F741">
        <v>436326</v>
      </c>
      <c r="G741" s="5">
        <v>43171</v>
      </c>
    </row>
    <row r="742" spans="1:7" x14ac:dyDescent="0.4">
      <c r="A742">
        <v>42</v>
      </c>
      <c r="B742" t="s">
        <v>58</v>
      </c>
      <c r="C742" s="10">
        <v>15.4</v>
      </c>
      <c r="D742" s="10">
        <v>1.27</v>
      </c>
      <c r="E742" s="16">
        <v>8.9499999999999993</v>
      </c>
      <c r="F742">
        <v>17476</v>
      </c>
      <c r="G742" s="5">
        <v>43171</v>
      </c>
    </row>
    <row r="743" spans="1:7" x14ac:dyDescent="0.4">
      <c r="A743">
        <v>43</v>
      </c>
      <c r="B743" t="s">
        <v>59</v>
      </c>
      <c r="C743" s="10">
        <v>8.6</v>
      </c>
      <c r="D743" s="10">
        <v>0.7</v>
      </c>
      <c r="E743" s="16">
        <v>8.86</v>
      </c>
      <c r="F743">
        <v>93141</v>
      </c>
      <c r="G743" s="5">
        <v>43171</v>
      </c>
    </row>
    <row r="744" spans="1:7" x14ac:dyDescent="0.4">
      <c r="A744">
        <v>44</v>
      </c>
      <c r="B744" t="s">
        <v>60</v>
      </c>
      <c r="C744" s="10">
        <v>3.71</v>
      </c>
      <c r="D744" s="10">
        <v>0.3</v>
      </c>
      <c r="E744" s="16">
        <v>8.8000000000000007</v>
      </c>
      <c r="F744">
        <v>562164</v>
      </c>
      <c r="G744" s="5">
        <v>43171</v>
      </c>
    </row>
    <row r="745" spans="1:7" x14ac:dyDescent="0.4">
      <c r="A745">
        <v>45</v>
      </c>
      <c r="B745" t="s">
        <v>61</v>
      </c>
      <c r="C745" s="10">
        <v>59.37</v>
      </c>
      <c r="D745" s="10">
        <v>4.78</v>
      </c>
      <c r="E745" s="16">
        <v>8.76</v>
      </c>
      <c r="F745">
        <v>136444540</v>
      </c>
      <c r="G745" s="5">
        <v>43171</v>
      </c>
    </row>
    <row r="746" spans="1:7" x14ac:dyDescent="0.4">
      <c r="A746">
        <v>46</v>
      </c>
      <c r="B746" t="s">
        <v>62</v>
      </c>
      <c r="C746" s="10">
        <v>22.96</v>
      </c>
      <c r="D746" s="10">
        <v>1.84</v>
      </c>
      <c r="E746" s="16">
        <v>8.7100000000000009</v>
      </c>
      <c r="F746">
        <v>146340</v>
      </c>
      <c r="G746" s="5">
        <v>43171</v>
      </c>
    </row>
    <row r="747" spans="1:7" x14ac:dyDescent="0.4">
      <c r="A747">
        <v>47</v>
      </c>
      <c r="B747" t="s">
        <v>63</v>
      </c>
      <c r="C747" s="10">
        <v>20.05</v>
      </c>
      <c r="D747" s="10">
        <v>1.6</v>
      </c>
      <c r="E747" s="16">
        <v>8.67</v>
      </c>
      <c r="F747">
        <v>39522</v>
      </c>
      <c r="G747" s="5">
        <v>43171</v>
      </c>
    </row>
    <row r="748" spans="1:7" x14ac:dyDescent="0.4">
      <c r="A748">
        <v>48</v>
      </c>
      <c r="B748" t="s">
        <v>64</v>
      </c>
      <c r="C748" s="10">
        <v>6.84</v>
      </c>
      <c r="D748" s="10">
        <v>0.55000000000000004</v>
      </c>
      <c r="E748" s="16">
        <v>8.65</v>
      </c>
      <c r="F748">
        <v>7119</v>
      </c>
      <c r="G748" s="5">
        <v>43171</v>
      </c>
    </row>
    <row r="749" spans="1:7" x14ac:dyDescent="0.4">
      <c r="A749">
        <v>49</v>
      </c>
      <c r="B749" t="s">
        <v>65</v>
      </c>
      <c r="C749" s="10">
        <v>2.6</v>
      </c>
      <c r="D749" s="10">
        <v>0.2</v>
      </c>
      <c r="E749" s="16">
        <v>8.33</v>
      </c>
      <c r="F749">
        <v>465575</v>
      </c>
      <c r="G749" s="5">
        <v>43171</v>
      </c>
    </row>
    <row r="750" spans="1:7" x14ac:dyDescent="0.4">
      <c r="A750">
        <v>50</v>
      </c>
      <c r="B750" t="s">
        <v>66</v>
      </c>
      <c r="C750" s="10">
        <v>8.26</v>
      </c>
      <c r="D750" s="10">
        <v>0.63</v>
      </c>
      <c r="E750" s="16">
        <v>8.26</v>
      </c>
      <c r="F750">
        <v>605043</v>
      </c>
      <c r="G750" s="5">
        <v>43171</v>
      </c>
    </row>
    <row r="751" spans="1:7" x14ac:dyDescent="0.4">
      <c r="A751">
        <v>51</v>
      </c>
      <c r="B751" t="s">
        <v>67</v>
      </c>
      <c r="C751" s="10">
        <v>30.3</v>
      </c>
      <c r="D751" s="10">
        <v>2.2999999999999998</v>
      </c>
      <c r="E751" s="16">
        <v>8.2100000000000009</v>
      </c>
      <c r="F751">
        <v>31613</v>
      </c>
      <c r="G751" s="5">
        <v>43171</v>
      </c>
    </row>
    <row r="752" spans="1:7" x14ac:dyDescent="0.4">
      <c r="A752">
        <v>52</v>
      </c>
      <c r="B752" t="s">
        <v>68</v>
      </c>
      <c r="C752" s="10">
        <v>27.01</v>
      </c>
      <c r="D752" s="10">
        <v>2.0499999999999998</v>
      </c>
      <c r="E752" s="16">
        <v>8.2100000000000009</v>
      </c>
      <c r="F752">
        <v>363384</v>
      </c>
      <c r="G752" s="5">
        <v>43171</v>
      </c>
    </row>
    <row r="753" spans="1:7" x14ac:dyDescent="0.4">
      <c r="A753">
        <v>53</v>
      </c>
      <c r="B753" t="s">
        <v>69</v>
      </c>
      <c r="C753" s="10">
        <v>8.15</v>
      </c>
      <c r="D753" s="10">
        <v>0.62</v>
      </c>
      <c r="E753" s="16">
        <v>8.19</v>
      </c>
      <c r="F753">
        <v>558535</v>
      </c>
      <c r="G753" s="5">
        <v>43171</v>
      </c>
    </row>
    <row r="754" spans="1:7" x14ac:dyDescent="0.4">
      <c r="A754">
        <v>54</v>
      </c>
      <c r="B754" t="s">
        <v>70</v>
      </c>
      <c r="C754" s="10">
        <v>3.35</v>
      </c>
      <c r="D754" s="10">
        <v>0.25</v>
      </c>
      <c r="E754" s="16">
        <v>8.06</v>
      </c>
      <c r="F754">
        <v>49703</v>
      </c>
      <c r="G754" s="5">
        <v>43171</v>
      </c>
    </row>
    <row r="755" spans="1:7" x14ac:dyDescent="0.4">
      <c r="A755">
        <v>55</v>
      </c>
      <c r="B755" t="s">
        <v>71</v>
      </c>
      <c r="C755" s="10">
        <v>30.46</v>
      </c>
      <c r="D755" s="10">
        <v>2.25</v>
      </c>
      <c r="E755" s="16">
        <v>7.98</v>
      </c>
      <c r="F755">
        <v>50227</v>
      </c>
      <c r="G755" s="5">
        <v>43171</v>
      </c>
    </row>
    <row r="756" spans="1:7" x14ac:dyDescent="0.4">
      <c r="A756">
        <v>56</v>
      </c>
      <c r="B756" t="s">
        <v>72</v>
      </c>
      <c r="C756" s="10">
        <v>6.37</v>
      </c>
      <c r="D756" s="10">
        <v>0.47</v>
      </c>
      <c r="E756" s="16">
        <v>7.97</v>
      </c>
      <c r="F756">
        <v>547228</v>
      </c>
      <c r="G756" s="5">
        <v>43171</v>
      </c>
    </row>
    <row r="757" spans="1:7" x14ac:dyDescent="0.4">
      <c r="A757">
        <v>57</v>
      </c>
      <c r="B757" t="s">
        <v>73</v>
      </c>
      <c r="C757" s="10">
        <v>4.22</v>
      </c>
      <c r="D757" s="10">
        <v>0.31</v>
      </c>
      <c r="E757" s="16">
        <v>7.93</v>
      </c>
      <c r="F757">
        <v>115919</v>
      </c>
      <c r="G757" s="5">
        <v>43171</v>
      </c>
    </row>
    <row r="758" spans="1:7" x14ac:dyDescent="0.4">
      <c r="A758">
        <v>58</v>
      </c>
      <c r="B758" t="s">
        <v>74</v>
      </c>
      <c r="C758" s="10">
        <v>26.19</v>
      </c>
      <c r="D758" s="10">
        <v>1.91</v>
      </c>
      <c r="E758" s="16">
        <v>7.87</v>
      </c>
      <c r="F758">
        <v>31917</v>
      </c>
      <c r="G758" s="5">
        <v>43171</v>
      </c>
    </row>
    <row r="759" spans="1:7" x14ac:dyDescent="0.4">
      <c r="A759">
        <v>59</v>
      </c>
      <c r="B759" t="s">
        <v>75</v>
      </c>
      <c r="C759" s="10">
        <v>30.95</v>
      </c>
      <c r="D759" s="10">
        <v>2.25</v>
      </c>
      <c r="E759" s="16">
        <v>7.84</v>
      </c>
      <c r="F759">
        <v>3287862</v>
      </c>
      <c r="G759" s="5">
        <v>43171</v>
      </c>
    </row>
    <row r="760" spans="1:7" x14ac:dyDescent="0.4">
      <c r="A760">
        <v>60</v>
      </c>
      <c r="B760" t="s">
        <v>76</v>
      </c>
      <c r="C760" s="10">
        <v>4.0199999999999996</v>
      </c>
      <c r="D760" s="10">
        <v>0.28999999999999998</v>
      </c>
      <c r="E760" s="16">
        <v>7.77</v>
      </c>
      <c r="F760">
        <v>54899</v>
      </c>
      <c r="G760" s="5">
        <v>43171</v>
      </c>
    </row>
    <row r="761" spans="1:7" x14ac:dyDescent="0.4">
      <c r="A761">
        <v>61</v>
      </c>
      <c r="B761" t="s">
        <v>77</v>
      </c>
      <c r="C761" s="10">
        <v>2.8</v>
      </c>
      <c r="D761" s="10">
        <v>0.2</v>
      </c>
      <c r="E761" s="16">
        <v>7.69</v>
      </c>
      <c r="F761">
        <v>38841</v>
      </c>
      <c r="G761" s="5">
        <v>43171</v>
      </c>
    </row>
    <row r="762" spans="1:7" x14ac:dyDescent="0.4">
      <c r="A762">
        <v>62</v>
      </c>
      <c r="B762" t="s">
        <v>78</v>
      </c>
      <c r="C762" s="10">
        <v>8.83</v>
      </c>
      <c r="D762" s="10">
        <v>0.63</v>
      </c>
      <c r="E762" s="16">
        <v>7.68</v>
      </c>
      <c r="F762">
        <v>7600220</v>
      </c>
      <c r="G762" s="5">
        <v>43171</v>
      </c>
    </row>
    <row r="763" spans="1:7" x14ac:dyDescent="0.4">
      <c r="A763">
        <v>63</v>
      </c>
      <c r="B763" t="s">
        <v>79</v>
      </c>
      <c r="C763" s="10">
        <v>23.84</v>
      </c>
      <c r="D763" s="10">
        <v>1.69</v>
      </c>
      <c r="E763" s="16">
        <v>7.63</v>
      </c>
      <c r="F763">
        <v>454502</v>
      </c>
      <c r="G763" s="5">
        <v>43171</v>
      </c>
    </row>
    <row r="764" spans="1:7" x14ac:dyDescent="0.4">
      <c r="A764">
        <v>64</v>
      </c>
      <c r="B764" t="s">
        <v>80</v>
      </c>
      <c r="C764" s="10">
        <v>7.71</v>
      </c>
      <c r="D764" s="10">
        <v>0.54</v>
      </c>
      <c r="E764" s="16">
        <v>7.53</v>
      </c>
      <c r="F764">
        <v>4046101</v>
      </c>
      <c r="G764" s="5">
        <v>43171</v>
      </c>
    </row>
    <row r="765" spans="1:7" x14ac:dyDescent="0.4">
      <c r="A765">
        <v>65</v>
      </c>
      <c r="B765" t="s">
        <v>81</v>
      </c>
      <c r="C765" s="10">
        <v>11.47</v>
      </c>
      <c r="D765" s="10">
        <v>0.8</v>
      </c>
      <c r="E765" s="16">
        <v>7.5</v>
      </c>
      <c r="F765">
        <v>2500241</v>
      </c>
      <c r="G765" s="5">
        <v>43171</v>
      </c>
    </row>
    <row r="766" spans="1:7" x14ac:dyDescent="0.4">
      <c r="A766">
        <v>66</v>
      </c>
      <c r="B766" t="s">
        <v>82</v>
      </c>
      <c r="C766" s="10">
        <v>3.6</v>
      </c>
      <c r="D766" s="10">
        <v>0.25</v>
      </c>
      <c r="E766" s="16">
        <v>7.46</v>
      </c>
      <c r="F766">
        <v>35461</v>
      </c>
      <c r="G766" s="5">
        <v>43171</v>
      </c>
    </row>
    <row r="767" spans="1:7" x14ac:dyDescent="0.4">
      <c r="A767">
        <v>67</v>
      </c>
      <c r="B767" t="s">
        <v>83</v>
      </c>
      <c r="C767" s="10">
        <v>15.1</v>
      </c>
      <c r="D767" s="10">
        <v>1.04</v>
      </c>
      <c r="E767" s="16">
        <v>7.4</v>
      </c>
      <c r="F767">
        <v>321144</v>
      </c>
      <c r="G767" s="5">
        <v>43171</v>
      </c>
    </row>
    <row r="768" spans="1:7" x14ac:dyDescent="0.4">
      <c r="A768">
        <v>68</v>
      </c>
      <c r="B768" t="s">
        <v>84</v>
      </c>
      <c r="C768" s="10">
        <v>20.75</v>
      </c>
      <c r="D768" s="10">
        <v>1.42</v>
      </c>
      <c r="E768" s="16">
        <v>7.35</v>
      </c>
      <c r="F768">
        <v>713953</v>
      </c>
      <c r="G768" s="5">
        <v>43171</v>
      </c>
    </row>
    <row r="769" spans="1:7" x14ac:dyDescent="0.4">
      <c r="A769">
        <v>69</v>
      </c>
      <c r="B769" t="s">
        <v>85</v>
      </c>
      <c r="C769" s="10">
        <v>6.6</v>
      </c>
      <c r="D769" s="10">
        <v>0.45</v>
      </c>
      <c r="E769" s="16">
        <v>7.32</v>
      </c>
      <c r="F769">
        <v>806606</v>
      </c>
      <c r="G769" s="5">
        <v>43171</v>
      </c>
    </row>
    <row r="770" spans="1:7" x14ac:dyDescent="0.4">
      <c r="A770">
        <v>70</v>
      </c>
      <c r="B770" t="s">
        <v>86</v>
      </c>
      <c r="C770" s="10">
        <v>3.24</v>
      </c>
      <c r="D770" s="10">
        <v>0.22</v>
      </c>
      <c r="E770" s="16">
        <v>7.28</v>
      </c>
      <c r="F770">
        <v>112880</v>
      </c>
      <c r="G770" s="5">
        <v>43171</v>
      </c>
    </row>
    <row r="771" spans="1:7" x14ac:dyDescent="0.4">
      <c r="A771">
        <v>71</v>
      </c>
      <c r="B771" t="s">
        <v>87</v>
      </c>
      <c r="C771" s="10">
        <v>43.64</v>
      </c>
      <c r="D771" s="10">
        <v>2.96</v>
      </c>
      <c r="E771" s="16">
        <v>7.28</v>
      </c>
      <c r="F771">
        <v>1004727</v>
      </c>
      <c r="G771" s="5">
        <v>43171</v>
      </c>
    </row>
    <row r="772" spans="1:7" x14ac:dyDescent="0.4">
      <c r="A772">
        <v>72</v>
      </c>
      <c r="B772" t="s">
        <v>88</v>
      </c>
      <c r="C772" s="10">
        <v>2.82</v>
      </c>
      <c r="D772" s="10">
        <v>0.19</v>
      </c>
      <c r="E772" s="16">
        <v>7.22</v>
      </c>
      <c r="F772">
        <v>653755</v>
      </c>
      <c r="G772" s="5">
        <v>43171</v>
      </c>
    </row>
    <row r="773" spans="1:7" x14ac:dyDescent="0.4">
      <c r="A773">
        <v>73</v>
      </c>
      <c r="B773" t="s">
        <v>89</v>
      </c>
      <c r="C773" s="10">
        <v>36.4</v>
      </c>
      <c r="D773" s="10">
        <v>2.4500000000000002</v>
      </c>
      <c r="E773" s="16">
        <v>7.22</v>
      </c>
      <c r="F773">
        <v>50569</v>
      </c>
      <c r="G773" s="5">
        <v>43171</v>
      </c>
    </row>
    <row r="774" spans="1:7" x14ac:dyDescent="0.4">
      <c r="A774">
        <v>74</v>
      </c>
      <c r="B774" t="s">
        <v>90</v>
      </c>
      <c r="C774" s="10">
        <v>12</v>
      </c>
      <c r="D774" s="10">
        <v>0.8</v>
      </c>
      <c r="E774" s="16">
        <v>7.14</v>
      </c>
      <c r="F774">
        <v>25410</v>
      </c>
      <c r="G774" s="5">
        <v>43171</v>
      </c>
    </row>
    <row r="775" spans="1:7" x14ac:dyDescent="0.4">
      <c r="A775">
        <v>75</v>
      </c>
      <c r="B775" t="s">
        <v>91</v>
      </c>
      <c r="C775" s="10">
        <v>8.43</v>
      </c>
      <c r="D775" s="10">
        <v>0.56000000000000005</v>
      </c>
      <c r="E775" s="16">
        <v>7.12</v>
      </c>
      <c r="F775">
        <v>1029511</v>
      </c>
      <c r="G775" s="5">
        <v>43171</v>
      </c>
    </row>
    <row r="776" spans="1:7" x14ac:dyDescent="0.4">
      <c r="A776">
        <v>76</v>
      </c>
      <c r="B776" t="s">
        <v>92</v>
      </c>
      <c r="C776" s="10">
        <v>5.52</v>
      </c>
      <c r="D776" s="10">
        <v>0.36</v>
      </c>
      <c r="E776" s="16">
        <v>6.98</v>
      </c>
      <c r="F776">
        <v>1493537</v>
      </c>
      <c r="G776" s="5">
        <v>43171</v>
      </c>
    </row>
    <row r="777" spans="1:7" x14ac:dyDescent="0.4">
      <c r="A777">
        <v>77</v>
      </c>
      <c r="B777" t="s">
        <v>93</v>
      </c>
      <c r="C777" s="10">
        <v>17.649999999999999</v>
      </c>
      <c r="D777" s="10">
        <v>1.1499999999999999</v>
      </c>
      <c r="E777" s="16">
        <v>6.97</v>
      </c>
      <c r="F777">
        <v>169858</v>
      </c>
      <c r="G777" s="5">
        <v>43171</v>
      </c>
    </row>
    <row r="778" spans="1:7" x14ac:dyDescent="0.4">
      <c r="A778">
        <v>78</v>
      </c>
      <c r="B778" t="s">
        <v>94</v>
      </c>
      <c r="C778" s="10">
        <v>9.2200000000000006</v>
      </c>
      <c r="D778" s="10">
        <v>0.6</v>
      </c>
      <c r="E778" s="16">
        <v>6.96</v>
      </c>
      <c r="F778">
        <v>2394673</v>
      </c>
      <c r="G778" s="5">
        <v>43171</v>
      </c>
    </row>
    <row r="779" spans="1:7" x14ac:dyDescent="0.4">
      <c r="A779">
        <v>79</v>
      </c>
      <c r="B779" t="s">
        <v>95</v>
      </c>
      <c r="C779" s="10">
        <v>8.5</v>
      </c>
      <c r="D779" s="10">
        <v>0.55000000000000004</v>
      </c>
      <c r="E779" s="16">
        <v>6.92</v>
      </c>
      <c r="F779">
        <v>191950</v>
      </c>
      <c r="G779" s="5">
        <v>43171</v>
      </c>
    </row>
    <row r="780" spans="1:7" x14ac:dyDescent="0.4">
      <c r="A780">
        <v>80</v>
      </c>
      <c r="B780" t="s">
        <v>96</v>
      </c>
      <c r="C780" s="10">
        <v>24.12</v>
      </c>
      <c r="D780" s="10">
        <v>1.55</v>
      </c>
      <c r="E780" s="16">
        <v>6.87</v>
      </c>
      <c r="F780">
        <v>1287867</v>
      </c>
      <c r="G780" s="5">
        <v>43171</v>
      </c>
    </row>
    <row r="781" spans="1:7" x14ac:dyDescent="0.4">
      <c r="A781">
        <v>81</v>
      </c>
      <c r="B781" t="s">
        <v>97</v>
      </c>
      <c r="C781" s="10">
        <v>36.85</v>
      </c>
      <c r="D781" s="10">
        <v>2.35</v>
      </c>
      <c r="E781" s="16">
        <v>6.81</v>
      </c>
      <c r="F781">
        <v>659315</v>
      </c>
      <c r="G781" s="5">
        <v>43171</v>
      </c>
    </row>
    <row r="782" spans="1:7" x14ac:dyDescent="0.4">
      <c r="A782">
        <v>82</v>
      </c>
      <c r="B782" t="s">
        <v>98</v>
      </c>
      <c r="C782" s="10">
        <v>142.04</v>
      </c>
      <c r="D782" s="10">
        <v>9.02</v>
      </c>
      <c r="E782" s="16">
        <v>6.78</v>
      </c>
      <c r="F782">
        <v>1304043</v>
      </c>
      <c r="G782" s="5">
        <v>43171</v>
      </c>
    </row>
    <row r="783" spans="1:7" x14ac:dyDescent="0.4">
      <c r="A783">
        <v>83</v>
      </c>
      <c r="B783" t="s">
        <v>99</v>
      </c>
      <c r="C783" s="10">
        <v>5.21</v>
      </c>
      <c r="D783" s="10">
        <v>0.33</v>
      </c>
      <c r="E783" s="16">
        <v>6.76</v>
      </c>
      <c r="F783">
        <v>72995</v>
      </c>
      <c r="G783" s="5">
        <v>43171</v>
      </c>
    </row>
    <row r="784" spans="1:7" x14ac:dyDescent="0.4">
      <c r="A784">
        <v>84</v>
      </c>
      <c r="B784" t="s">
        <v>100</v>
      </c>
      <c r="C784" s="10">
        <v>15.79</v>
      </c>
      <c r="D784" s="10">
        <v>1</v>
      </c>
      <c r="E784" s="16">
        <v>6.76</v>
      </c>
      <c r="F784">
        <v>411549</v>
      </c>
      <c r="G784" s="5">
        <v>43171</v>
      </c>
    </row>
    <row r="785" spans="1:7" x14ac:dyDescent="0.4">
      <c r="A785">
        <v>85</v>
      </c>
      <c r="B785" t="s">
        <v>101</v>
      </c>
      <c r="C785" s="10">
        <v>10.59</v>
      </c>
      <c r="D785" s="10">
        <v>0.67</v>
      </c>
      <c r="E785" s="16">
        <v>6.75</v>
      </c>
      <c r="F785">
        <v>3965</v>
      </c>
      <c r="G785" s="5">
        <v>43171</v>
      </c>
    </row>
    <row r="786" spans="1:7" x14ac:dyDescent="0.4">
      <c r="A786">
        <v>86</v>
      </c>
      <c r="B786" t="s">
        <v>102</v>
      </c>
      <c r="C786" s="10">
        <v>6.85</v>
      </c>
      <c r="D786" s="10">
        <v>0.43</v>
      </c>
      <c r="E786" s="16">
        <v>6.7</v>
      </c>
      <c r="F786">
        <v>190661</v>
      </c>
      <c r="G786" s="5">
        <v>43171</v>
      </c>
    </row>
    <row r="787" spans="1:7" x14ac:dyDescent="0.4">
      <c r="A787">
        <v>87</v>
      </c>
      <c r="B787" t="s">
        <v>103</v>
      </c>
      <c r="C787" s="10">
        <v>10.06</v>
      </c>
      <c r="D787" s="10">
        <v>0.63</v>
      </c>
      <c r="E787" s="16">
        <v>6.68</v>
      </c>
      <c r="F787">
        <v>79845</v>
      </c>
      <c r="G787" s="5">
        <v>43171</v>
      </c>
    </row>
    <row r="788" spans="1:7" x14ac:dyDescent="0.4">
      <c r="A788">
        <v>88</v>
      </c>
      <c r="B788" t="s">
        <v>104</v>
      </c>
      <c r="C788" s="10">
        <v>10.6</v>
      </c>
      <c r="D788" s="10">
        <v>0.66</v>
      </c>
      <c r="E788" s="16">
        <v>6.64</v>
      </c>
      <c r="F788">
        <v>297693</v>
      </c>
      <c r="G788" s="5">
        <v>43171</v>
      </c>
    </row>
    <row r="789" spans="1:7" x14ac:dyDescent="0.4">
      <c r="A789">
        <v>89</v>
      </c>
      <c r="B789" t="s">
        <v>105</v>
      </c>
      <c r="C789" s="10">
        <v>12.23</v>
      </c>
      <c r="D789" s="10">
        <v>0.76</v>
      </c>
      <c r="E789" s="16">
        <v>6.63</v>
      </c>
      <c r="F789">
        <v>4513</v>
      </c>
      <c r="G789" s="5">
        <v>43171</v>
      </c>
    </row>
    <row r="790" spans="1:7" x14ac:dyDescent="0.4">
      <c r="A790">
        <v>90</v>
      </c>
      <c r="B790" t="s">
        <v>106</v>
      </c>
      <c r="C790" s="10">
        <v>64.09</v>
      </c>
      <c r="D790" s="10">
        <v>3.96</v>
      </c>
      <c r="E790" s="16">
        <v>6.59</v>
      </c>
      <c r="F790">
        <v>1556897</v>
      </c>
      <c r="G790" s="5">
        <v>43171</v>
      </c>
    </row>
    <row r="791" spans="1:7" x14ac:dyDescent="0.4">
      <c r="A791">
        <v>91</v>
      </c>
      <c r="B791" t="s">
        <v>107</v>
      </c>
      <c r="C791" s="10">
        <v>4.0999999999999996</v>
      </c>
      <c r="D791" s="10">
        <v>0.25</v>
      </c>
      <c r="E791" s="16">
        <v>6.49</v>
      </c>
      <c r="F791">
        <v>131565</v>
      </c>
      <c r="G791" s="5">
        <v>43171</v>
      </c>
    </row>
    <row r="792" spans="1:7" x14ac:dyDescent="0.4">
      <c r="A792">
        <v>92</v>
      </c>
      <c r="B792" t="s">
        <v>108</v>
      </c>
      <c r="C792" s="10">
        <v>27.3</v>
      </c>
      <c r="D792" s="10">
        <v>1.65</v>
      </c>
      <c r="E792" s="16">
        <v>6.43</v>
      </c>
      <c r="F792">
        <v>119954</v>
      </c>
      <c r="G792" s="5">
        <v>43171</v>
      </c>
    </row>
    <row r="793" spans="1:7" x14ac:dyDescent="0.4">
      <c r="A793">
        <v>93</v>
      </c>
      <c r="B793" t="s">
        <v>109</v>
      </c>
      <c r="C793" s="10">
        <v>25.65</v>
      </c>
      <c r="D793" s="10">
        <v>1.55</v>
      </c>
      <c r="E793" s="16">
        <v>6.43</v>
      </c>
      <c r="F793">
        <v>249304</v>
      </c>
      <c r="G793" s="5">
        <v>43171</v>
      </c>
    </row>
    <row r="794" spans="1:7" x14ac:dyDescent="0.4">
      <c r="A794">
        <v>94</v>
      </c>
      <c r="B794" t="s">
        <v>110</v>
      </c>
      <c r="C794" s="10">
        <v>79.099999999999994</v>
      </c>
      <c r="D794" s="10">
        <v>4.74</v>
      </c>
      <c r="E794" s="16">
        <v>6.37</v>
      </c>
      <c r="F794">
        <v>2773737</v>
      </c>
      <c r="G794" s="5">
        <v>43171</v>
      </c>
    </row>
    <row r="795" spans="1:7" x14ac:dyDescent="0.4">
      <c r="A795">
        <v>95</v>
      </c>
      <c r="B795" t="s">
        <v>111</v>
      </c>
      <c r="C795" s="10">
        <v>6.85</v>
      </c>
      <c r="D795" s="10">
        <v>0.41</v>
      </c>
      <c r="E795" s="16">
        <v>6.37</v>
      </c>
      <c r="F795">
        <v>239344</v>
      </c>
      <c r="G795" s="5">
        <v>43171</v>
      </c>
    </row>
    <row r="796" spans="1:7" x14ac:dyDescent="0.4">
      <c r="A796">
        <v>96</v>
      </c>
      <c r="B796" t="s">
        <v>112</v>
      </c>
      <c r="C796" s="10">
        <v>80.05</v>
      </c>
      <c r="D796" s="10">
        <v>4.79</v>
      </c>
      <c r="E796" s="16">
        <v>6.36</v>
      </c>
      <c r="F796">
        <v>1622768</v>
      </c>
      <c r="G796" s="5">
        <v>43171</v>
      </c>
    </row>
    <row r="797" spans="1:7" x14ac:dyDescent="0.4">
      <c r="A797">
        <v>97</v>
      </c>
      <c r="B797" t="s">
        <v>113</v>
      </c>
      <c r="C797" s="10">
        <v>19.11</v>
      </c>
      <c r="D797" s="10">
        <v>1.1399999999999999</v>
      </c>
      <c r="E797" s="16">
        <v>6.34</v>
      </c>
      <c r="F797">
        <v>40275</v>
      </c>
      <c r="G797" s="5">
        <v>43171</v>
      </c>
    </row>
    <row r="798" spans="1:7" x14ac:dyDescent="0.4">
      <c r="A798">
        <v>98</v>
      </c>
      <c r="B798" t="s">
        <v>114</v>
      </c>
      <c r="C798" s="10">
        <v>19.850000000000001</v>
      </c>
      <c r="D798" s="10">
        <v>1.18</v>
      </c>
      <c r="E798" s="16">
        <v>6.32</v>
      </c>
      <c r="F798">
        <v>82112</v>
      </c>
      <c r="G798" s="5">
        <v>43171</v>
      </c>
    </row>
    <row r="799" spans="1:7" x14ac:dyDescent="0.4">
      <c r="A799">
        <v>99</v>
      </c>
      <c r="B799" t="s">
        <v>115</v>
      </c>
      <c r="C799" s="10">
        <v>5.39</v>
      </c>
      <c r="D799" s="10">
        <v>0.32</v>
      </c>
      <c r="E799" s="16">
        <v>6.31</v>
      </c>
      <c r="F799">
        <v>61113</v>
      </c>
      <c r="G799" s="5">
        <v>43171</v>
      </c>
    </row>
    <row r="800" spans="1:7" x14ac:dyDescent="0.4">
      <c r="A800">
        <v>100</v>
      </c>
      <c r="B800" t="s">
        <v>116</v>
      </c>
      <c r="C800" s="10">
        <v>2.19</v>
      </c>
      <c r="D800" s="10">
        <v>0.13</v>
      </c>
      <c r="E800" s="16">
        <v>6.31</v>
      </c>
      <c r="F800">
        <v>492010</v>
      </c>
      <c r="G800" s="5">
        <v>43171</v>
      </c>
    </row>
    <row r="801" spans="1:7" x14ac:dyDescent="0.4">
      <c r="A801">
        <v>1</v>
      </c>
      <c r="B801" t="s">
        <v>17</v>
      </c>
      <c r="C801" s="10">
        <v>28.03</v>
      </c>
      <c r="D801" s="10">
        <v>12.24</v>
      </c>
      <c r="E801" s="16">
        <v>77.52</v>
      </c>
      <c r="F801">
        <v>4977855</v>
      </c>
      <c r="G801" s="5">
        <v>43171</v>
      </c>
    </row>
    <row r="802" spans="1:7" x14ac:dyDescent="0.4">
      <c r="A802">
        <v>2</v>
      </c>
      <c r="B802" s="2" t="s">
        <v>119</v>
      </c>
      <c r="C802" s="1">
        <v>22.75</v>
      </c>
      <c r="D802" s="1">
        <v>4.5199999999999996</v>
      </c>
      <c r="E802" s="19">
        <v>24.79</v>
      </c>
      <c r="F802" s="4">
        <v>68261</v>
      </c>
      <c r="G802" s="5">
        <v>43172</v>
      </c>
    </row>
    <row r="803" spans="1:7" x14ac:dyDescent="0.4">
      <c r="A803">
        <v>3</v>
      </c>
      <c r="B803" t="s">
        <v>120</v>
      </c>
      <c r="C803" s="10">
        <v>14</v>
      </c>
      <c r="D803" s="10">
        <v>2.65</v>
      </c>
      <c r="E803" s="16">
        <v>23.35</v>
      </c>
      <c r="F803">
        <v>46025</v>
      </c>
      <c r="G803" s="5">
        <v>43172</v>
      </c>
    </row>
    <row r="804" spans="1:7" x14ac:dyDescent="0.4">
      <c r="A804">
        <v>4</v>
      </c>
      <c r="B804" t="s">
        <v>78</v>
      </c>
      <c r="C804" s="10">
        <v>10.82</v>
      </c>
      <c r="D804" s="10">
        <v>1.99</v>
      </c>
      <c r="E804" s="16">
        <v>22.54</v>
      </c>
      <c r="F804">
        <v>12217629</v>
      </c>
      <c r="G804" s="5">
        <v>43172</v>
      </c>
    </row>
    <row r="805" spans="1:7" x14ac:dyDescent="0.4">
      <c r="A805">
        <v>5</v>
      </c>
      <c r="B805" t="s">
        <v>17</v>
      </c>
      <c r="C805" s="10">
        <v>34.06</v>
      </c>
      <c r="D805" s="10">
        <v>6.03</v>
      </c>
      <c r="E805" s="16">
        <v>21.51</v>
      </c>
      <c r="F805">
        <v>4245295</v>
      </c>
      <c r="G805" s="5">
        <v>43172</v>
      </c>
    </row>
    <row r="806" spans="1:7" x14ac:dyDescent="0.4">
      <c r="A806">
        <v>6</v>
      </c>
      <c r="B806" t="s">
        <v>121</v>
      </c>
      <c r="C806" s="10">
        <v>2.81</v>
      </c>
      <c r="D806" s="10">
        <v>0.49</v>
      </c>
      <c r="E806" s="16">
        <v>21.12</v>
      </c>
      <c r="F806">
        <v>551232</v>
      </c>
      <c r="G806" s="5">
        <v>43172</v>
      </c>
    </row>
    <row r="807" spans="1:7" x14ac:dyDescent="0.4">
      <c r="A807">
        <v>7</v>
      </c>
      <c r="B807" t="s">
        <v>122</v>
      </c>
      <c r="C807" s="10">
        <v>11.18</v>
      </c>
      <c r="D807" s="10">
        <v>1.93</v>
      </c>
      <c r="E807" s="16">
        <v>20.82</v>
      </c>
      <c r="F807">
        <v>263012</v>
      </c>
      <c r="G807" s="5">
        <v>43172</v>
      </c>
    </row>
    <row r="808" spans="1:7" x14ac:dyDescent="0.4">
      <c r="A808">
        <v>8</v>
      </c>
      <c r="B808" t="s">
        <v>123</v>
      </c>
      <c r="C808" s="10">
        <v>7.03</v>
      </c>
      <c r="D808" s="10">
        <v>1.03</v>
      </c>
      <c r="E808" s="16">
        <v>17.170000000000002</v>
      </c>
      <c r="F808">
        <v>702967</v>
      </c>
      <c r="G808" s="5">
        <v>43172</v>
      </c>
    </row>
    <row r="809" spans="1:7" x14ac:dyDescent="0.4">
      <c r="A809">
        <v>9</v>
      </c>
      <c r="B809" t="s">
        <v>124</v>
      </c>
      <c r="C809" s="10">
        <v>4</v>
      </c>
      <c r="D809" s="10">
        <v>0.56000000000000005</v>
      </c>
      <c r="E809" s="16">
        <v>16.28</v>
      </c>
      <c r="F809">
        <v>62406</v>
      </c>
      <c r="G809" s="5">
        <v>43172</v>
      </c>
    </row>
    <row r="810" spans="1:7" x14ac:dyDescent="0.4">
      <c r="A810">
        <v>10</v>
      </c>
      <c r="B810" t="s">
        <v>125</v>
      </c>
      <c r="C810" s="10">
        <v>7.6</v>
      </c>
      <c r="D810" s="10">
        <v>0.96</v>
      </c>
      <c r="E810" s="16">
        <v>14.46</v>
      </c>
      <c r="F810">
        <v>80345</v>
      </c>
      <c r="G810" s="5">
        <v>43172</v>
      </c>
    </row>
    <row r="811" spans="1:7" x14ac:dyDescent="0.4">
      <c r="A811">
        <v>11</v>
      </c>
      <c r="B811" t="s">
        <v>73</v>
      </c>
      <c r="C811" s="10">
        <v>4.83</v>
      </c>
      <c r="D811" s="10">
        <v>0.61</v>
      </c>
      <c r="E811" s="16">
        <v>14.38</v>
      </c>
      <c r="F811">
        <v>43362</v>
      </c>
      <c r="G811" s="5">
        <v>43172</v>
      </c>
    </row>
    <row r="812" spans="1:7" x14ac:dyDescent="0.4">
      <c r="A812">
        <v>12</v>
      </c>
      <c r="B812" t="s">
        <v>126</v>
      </c>
      <c r="C812" s="10">
        <v>23.15</v>
      </c>
      <c r="D812" s="10">
        <v>2.9</v>
      </c>
      <c r="E812" s="16">
        <v>14.32</v>
      </c>
      <c r="F812">
        <v>426319</v>
      </c>
      <c r="G812" s="5">
        <v>43172</v>
      </c>
    </row>
    <row r="813" spans="1:7" x14ac:dyDescent="0.4">
      <c r="A813">
        <v>13</v>
      </c>
      <c r="B813" t="s">
        <v>127</v>
      </c>
      <c r="C813" s="10">
        <v>19.23</v>
      </c>
      <c r="D813" s="10">
        <v>2.31</v>
      </c>
      <c r="E813" s="16">
        <v>13.65</v>
      </c>
      <c r="F813">
        <v>114438</v>
      </c>
      <c r="G813" s="5">
        <v>43172</v>
      </c>
    </row>
    <row r="814" spans="1:7" x14ac:dyDescent="0.4">
      <c r="A814">
        <v>14</v>
      </c>
      <c r="B814" t="s">
        <v>128</v>
      </c>
      <c r="C814" s="10">
        <v>6.94</v>
      </c>
      <c r="D814" s="10">
        <v>0.83</v>
      </c>
      <c r="E814" s="16">
        <v>13.58</v>
      </c>
      <c r="F814">
        <v>110022</v>
      </c>
      <c r="G814" s="5">
        <v>43172</v>
      </c>
    </row>
    <row r="815" spans="1:7" x14ac:dyDescent="0.4">
      <c r="A815">
        <v>15</v>
      </c>
      <c r="B815" t="s">
        <v>129</v>
      </c>
      <c r="C815" s="10">
        <v>12.42</v>
      </c>
      <c r="D815" s="10">
        <v>1.34</v>
      </c>
      <c r="E815" s="16">
        <v>12.09</v>
      </c>
      <c r="F815">
        <v>1003140</v>
      </c>
      <c r="G815" s="5">
        <v>43172</v>
      </c>
    </row>
    <row r="816" spans="1:7" x14ac:dyDescent="0.4">
      <c r="A816">
        <v>16</v>
      </c>
      <c r="B816" t="s">
        <v>130</v>
      </c>
      <c r="C816" s="10">
        <v>3.7</v>
      </c>
      <c r="D816" s="10">
        <v>0.38</v>
      </c>
      <c r="E816" s="16">
        <v>11.45</v>
      </c>
      <c r="F816">
        <v>217059</v>
      </c>
      <c r="G816" s="5">
        <v>43172</v>
      </c>
    </row>
    <row r="817" spans="1:7" x14ac:dyDescent="0.4">
      <c r="A817">
        <v>17</v>
      </c>
      <c r="B817" t="s">
        <v>131</v>
      </c>
      <c r="C817" s="10">
        <v>2.56</v>
      </c>
      <c r="D817" s="10">
        <v>0.25</v>
      </c>
      <c r="E817" s="16">
        <v>10.82</v>
      </c>
      <c r="F817">
        <v>28865</v>
      </c>
      <c r="G817" s="5">
        <v>43172</v>
      </c>
    </row>
    <row r="818" spans="1:7" x14ac:dyDescent="0.4">
      <c r="A818">
        <v>18</v>
      </c>
      <c r="B818" t="s">
        <v>132</v>
      </c>
      <c r="C818" s="10">
        <v>21.7</v>
      </c>
      <c r="D818" s="10">
        <v>2.1</v>
      </c>
      <c r="E818" s="16">
        <v>10.71</v>
      </c>
      <c r="F818">
        <v>7919882</v>
      </c>
      <c r="G818" s="5">
        <v>43172</v>
      </c>
    </row>
    <row r="819" spans="1:7" x14ac:dyDescent="0.4">
      <c r="A819">
        <v>19</v>
      </c>
      <c r="B819" t="s">
        <v>133</v>
      </c>
      <c r="C819" s="10">
        <v>12.15</v>
      </c>
      <c r="D819" s="10">
        <v>1.1599999999999999</v>
      </c>
      <c r="E819" s="16">
        <v>10.56</v>
      </c>
      <c r="F819">
        <v>141561</v>
      </c>
      <c r="G819" s="5">
        <v>43172</v>
      </c>
    </row>
    <row r="820" spans="1:7" x14ac:dyDescent="0.4">
      <c r="A820">
        <v>20</v>
      </c>
      <c r="B820" t="s">
        <v>95</v>
      </c>
      <c r="C820" s="10">
        <v>9.35</v>
      </c>
      <c r="D820" s="10">
        <v>0.85</v>
      </c>
      <c r="E820" s="16">
        <v>10</v>
      </c>
      <c r="F820">
        <v>102954</v>
      </c>
      <c r="G820" s="5">
        <v>43172</v>
      </c>
    </row>
    <row r="821" spans="1:7" x14ac:dyDescent="0.4">
      <c r="A821">
        <v>21</v>
      </c>
      <c r="B821" t="s">
        <v>134</v>
      </c>
      <c r="C821" s="10">
        <v>11.41</v>
      </c>
      <c r="D821" s="10">
        <v>1.03</v>
      </c>
      <c r="E821" s="16">
        <v>9.92</v>
      </c>
      <c r="F821">
        <v>160347</v>
      </c>
      <c r="G821" s="5">
        <v>43172</v>
      </c>
    </row>
    <row r="822" spans="1:7" x14ac:dyDescent="0.4">
      <c r="A822">
        <v>22</v>
      </c>
      <c r="B822" t="s">
        <v>135</v>
      </c>
      <c r="C822" s="10">
        <v>2.19</v>
      </c>
      <c r="D822" s="10">
        <v>0.19</v>
      </c>
      <c r="E822" s="16">
        <v>9.5</v>
      </c>
      <c r="F822">
        <v>255066</v>
      </c>
      <c r="G822" s="5">
        <v>43172</v>
      </c>
    </row>
    <row r="823" spans="1:7" x14ac:dyDescent="0.4">
      <c r="A823">
        <v>23</v>
      </c>
      <c r="B823" t="s">
        <v>136</v>
      </c>
      <c r="C823" s="10">
        <v>38.729999999999997</v>
      </c>
      <c r="D823" s="10">
        <v>3.18</v>
      </c>
      <c r="E823" s="16">
        <v>8.9499999999999993</v>
      </c>
      <c r="F823">
        <v>394203</v>
      </c>
      <c r="G823" s="5">
        <v>43172</v>
      </c>
    </row>
    <row r="824" spans="1:7" x14ac:dyDescent="0.4">
      <c r="A824">
        <v>24</v>
      </c>
      <c r="B824" t="s">
        <v>137</v>
      </c>
      <c r="C824" s="10">
        <v>3.85</v>
      </c>
      <c r="D824" s="10">
        <v>0.31</v>
      </c>
      <c r="E824" s="16">
        <v>8.76</v>
      </c>
      <c r="F824">
        <v>885025</v>
      </c>
      <c r="G824" s="5">
        <v>43172</v>
      </c>
    </row>
    <row r="825" spans="1:7" x14ac:dyDescent="0.4">
      <c r="A825">
        <v>25</v>
      </c>
      <c r="B825" t="s">
        <v>138</v>
      </c>
      <c r="C825" s="10">
        <v>10.63</v>
      </c>
      <c r="D825" s="10">
        <v>0.85</v>
      </c>
      <c r="E825" s="16">
        <v>8.69</v>
      </c>
      <c r="F825">
        <v>316340</v>
      </c>
      <c r="G825" s="5">
        <v>43172</v>
      </c>
    </row>
    <row r="826" spans="1:7" x14ac:dyDescent="0.4">
      <c r="A826">
        <v>26</v>
      </c>
      <c r="B826" t="s">
        <v>139</v>
      </c>
      <c r="C826" s="10">
        <v>16.7</v>
      </c>
      <c r="D826" s="10">
        <v>1.31</v>
      </c>
      <c r="E826" s="16">
        <v>8.51</v>
      </c>
      <c r="F826">
        <v>2462983</v>
      </c>
      <c r="G826" s="5">
        <v>43172</v>
      </c>
    </row>
    <row r="827" spans="1:7" x14ac:dyDescent="0.4">
      <c r="A827">
        <v>27</v>
      </c>
      <c r="B827" t="s">
        <v>140</v>
      </c>
      <c r="C827" s="10">
        <v>6.45</v>
      </c>
      <c r="D827" s="10">
        <v>0.5</v>
      </c>
      <c r="E827" s="16">
        <v>8.4</v>
      </c>
      <c r="F827">
        <v>234908</v>
      </c>
      <c r="G827" s="5">
        <v>43172</v>
      </c>
    </row>
    <row r="828" spans="1:7" x14ac:dyDescent="0.4">
      <c r="A828">
        <v>28</v>
      </c>
      <c r="B828" t="s">
        <v>38</v>
      </c>
      <c r="C828" s="10">
        <v>42.7</v>
      </c>
      <c r="D828" s="10">
        <v>3.3</v>
      </c>
      <c r="E828" s="16">
        <v>8.3800000000000008</v>
      </c>
      <c r="F828">
        <v>644994</v>
      </c>
      <c r="G828" s="5">
        <v>43172</v>
      </c>
    </row>
    <row r="829" spans="1:7" x14ac:dyDescent="0.4">
      <c r="A829">
        <v>29</v>
      </c>
      <c r="B829" t="s">
        <v>52</v>
      </c>
      <c r="C829" s="10">
        <v>5.01</v>
      </c>
      <c r="D829" s="10">
        <v>0.38</v>
      </c>
      <c r="E829" s="16">
        <v>8.2100000000000009</v>
      </c>
      <c r="F829">
        <v>7420337</v>
      </c>
      <c r="G829" s="5">
        <v>43172</v>
      </c>
    </row>
    <row r="830" spans="1:7" x14ac:dyDescent="0.4">
      <c r="A830">
        <v>30</v>
      </c>
      <c r="B830" t="s">
        <v>141</v>
      </c>
      <c r="C830" s="10">
        <v>2.75</v>
      </c>
      <c r="D830" s="10">
        <v>0.2</v>
      </c>
      <c r="E830" s="16">
        <v>7.84</v>
      </c>
      <c r="F830">
        <v>101246</v>
      </c>
      <c r="G830" s="5">
        <v>43172</v>
      </c>
    </row>
    <row r="831" spans="1:7" x14ac:dyDescent="0.4">
      <c r="A831">
        <v>31</v>
      </c>
      <c r="B831" t="s">
        <v>142</v>
      </c>
      <c r="C831" s="10">
        <v>4.3499999999999996</v>
      </c>
      <c r="D831" s="10">
        <v>0.31</v>
      </c>
      <c r="E831" s="16">
        <v>7.67</v>
      </c>
      <c r="F831">
        <v>110747</v>
      </c>
      <c r="G831" s="5">
        <v>43172</v>
      </c>
    </row>
    <row r="832" spans="1:7" x14ac:dyDescent="0.4">
      <c r="A832">
        <v>32</v>
      </c>
      <c r="B832" t="s">
        <v>143</v>
      </c>
      <c r="C832" s="10">
        <v>12.66</v>
      </c>
      <c r="D832" s="10">
        <v>0.89</v>
      </c>
      <c r="E832" s="16">
        <v>7.56</v>
      </c>
      <c r="F832">
        <v>24993</v>
      </c>
      <c r="G832" s="5">
        <v>43172</v>
      </c>
    </row>
    <row r="833" spans="1:7" x14ac:dyDescent="0.4">
      <c r="A833">
        <v>33</v>
      </c>
      <c r="B833" t="s">
        <v>144</v>
      </c>
      <c r="C833" s="10">
        <v>17.87</v>
      </c>
      <c r="D833" s="10">
        <v>1.25</v>
      </c>
      <c r="E833" s="16">
        <v>7.52</v>
      </c>
      <c r="F833">
        <v>11918</v>
      </c>
      <c r="G833" s="5">
        <v>43172</v>
      </c>
    </row>
    <row r="834" spans="1:7" x14ac:dyDescent="0.4">
      <c r="A834">
        <v>34</v>
      </c>
      <c r="B834" t="s">
        <v>115</v>
      </c>
      <c r="C834" s="10">
        <v>5.79</v>
      </c>
      <c r="D834" s="10">
        <v>0.4</v>
      </c>
      <c r="E834" s="16">
        <v>7.42</v>
      </c>
      <c r="F834">
        <v>82930</v>
      </c>
      <c r="G834" s="5">
        <v>43172</v>
      </c>
    </row>
    <row r="835" spans="1:7" x14ac:dyDescent="0.4">
      <c r="A835">
        <v>35</v>
      </c>
      <c r="B835" t="s">
        <v>145</v>
      </c>
      <c r="C835" s="10">
        <v>2.36</v>
      </c>
      <c r="D835" s="10">
        <v>0.16</v>
      </c>
      <c r="E835" s="16">
        <v>7.31</v>
      </c>
      <c r="F835">
        <v>20750</v>
      </c>
      <c r="G835" s="5">
        <v>43172</v>
      </c>
    </row>
    <row r="836" spans="1:7" x14ac:dyDescent="0.4">
      <c r="A836">
        <v>36</v>
      </c>
      <c r="B836" t="s">
        <v>146</v>
      </c>
      <c r="C836" s="10">
        <v>8.15</v>
      </c>
      <c r="D836" s="10">
        <v>0.55000000000000004</v>
      </c>
      <c r="E836" s="16">
        <v>7.24</v>
      </c>
      <c r="F836">
        <v>156258</v>
      </c>
      <c r="G836" s="5">
        <v>43172</v>
      </c>
    </row>
    <row r="837" spans="1:7" x14ac:dyDescent="0.4">
      <c r="A837">
        <v>37</v>
      </c>
      <c r="B837" t="s">
        <v>147</v>
      </c>
      <c r="C837" s="10">
        <v>2.84</v>
      </c>
      <c r="D837" s="10">
        <v>0.19</v>
      </c>
      <c r="E837" s="16">
        <v>7.17</v>
      </c>
      <c r="F837">
        <v>910833</v>
      </c>
      <c r="G837" s="5">
        <v>43172</v>
      </c>
    </row>
    <row r="838" spans="1:7" x14ac:dyDescent="0.4">
      <c r="A838">
        <v>38</v>
      </c>
      <c r="B838" t="s">
        <v>148</v>
      </c>
      <c r="C838" s="10">
        <v>3.5</v>
      </c>
      <c r="D838" s="10">
        <v>0.23</v>
      </c>
      <c r="E838" s="16">
        <v>6.86</v>
      </c>
      <c r="F838">
        <v>28342</v>
      </c>
      <c r="G838" s="5">
        <v>43172</v>
      </c>
    </row>
    <row r="839" spans="1:7" x14ac:dyDescent="0.4">
      <c r="A839">
        <v>39</v>
      </c>
      <c r="B839" t="s">
        <v>149</v>
      </c>
      <c r="C839" s="10">
        <v>2.35</v>
      </c>
      <c r="D839" s="10">
        <v>0.15</v>
      </c>
      <c r="E839" s="16">
        <v>6.77</v>
      </c>
      <c r="F839">
        <v>5060</v>
      </c>
      <c r="G839" s="5">
        <v>43172</v>
      </c>
    </row>
    <row r="840" spans="1:7" x14ac:dyDescent="0.4">
      <c r="A840">
        <v>40</v>
      </c>
      <c r="B840" t="s">
        <v>150</v>
      </c>
      <c r="C840" s="10">
        <v>2.4</v>
      </c>
      <c r="D840" s="10">
        <v>0.15</v>
      </c>
      <c r="E840" s="16">
        <v>6.67</v>
      </c>
      <c r="F840">
        <v>27424</v>
      </c>
      <c r="G840" s="5">
        <v>43172</v>
      </c>
    </row>
    <row r="841" spans="1:7" x14ac:dyDescent="0.4">
      <c r="A841">
        <v>41</v>
      </c>
      <c r="B841" t="s">
        <v>151</v>
      </c>
      <c r="C841" s="10">
        <v>2.4</v>
      </c>
      <c r="D841" s="10">
        <v>0.15</v>
      </c>
      <c r="E841" s="16">
        <v>6.67</v>
      </c>
      <c r="F841">
        <v>241770</v>
      </c>
      <c r="G841" s="5">
        <v>43172</v>
      </c>
    </row>
    <row r="842" spans="1:7" x14ac:dyDescent="0.4">
      <c r="A842">
        <v>42</v>
      </c>
      <c r="B842" t="s">
        <v>152</v>
      </c>
      <c r="C842" s="10">
        <v>29.15</v>
      </c>
      <c r="D842" s="10">
        <v>1.81</v>
      </c>
      <c r="E842" s="16">
        <v>6.62</v>
      </c>
      <c r="F842">
        <v>64002</v>
      </c>
      <c r="G842" s="5">
        <v>43172</v>
      </c>
    </row>
    <row r="843" spans="1:7" x14ac:dyDescent="0.4">
      <c r="A843">
        <v>43</v>
      </c>
      <c r="B843" t="s">
        <v>153</v>
      </c>
      <c r="C843" s="10">
        <v>6.93</v>
      </c>
      <c r="D843" s="10">
        <v>0.43</v>
      </c>
      <c r="E843" s="16">
        <v>6.62</v>
      </c>
      <c r="F843">
        <v>14293</v>
      </c>
      <c r="G843" s="5">
        <v>43172</v>
      </c>
    </row>
    <row r="844" spans="1:7" x14ac:dyDescent="0.4">
      <c r="A844">
        <v>44</v>
      </c>
      <c r="B844" t="s">
        <v>154</v>
      </c>
      <c r="C844" s="10">
        <v>34.25</v>
      </c>
      <c r="D844" s="10">
        <v>2.12</v>
      </c>
      <c r="E844" s="16">
        <v>6.6</v>
      </c>
      <c r="F844">
        <v>41745</v>
      </c>
      <c r="G844" s="5">
        <v>43172</v>
      </c>
    </row>
    <row r="845" spans="1:7" x14ac:dyDescent="0.4">
      <c r="A845">
        <v>45</v>
      </c>
      <c r="B845" t="s">
        <v>155</v>
      </c>
      <c r="C845" s="10">
        <v>16.39</v>
      </c>
      <c r="D845" s="10">
        <v>1.01</v>
      </c>
      <c r="E845" s="16">
        <v>6.57</v>
      </c>
      <c r="F845">
        <v>183755</v>
      </c>
      <c r="G845" s="5">
        <v>43172</v>
      </c>
    </row>
    <row r="846" spans="1:7" x14ac:dyDescent="0.4">
      <c r="A846">
        <v>46</v>
      </c>
      <c r="B846" t="s">
        <v>156</v>
      </c>
      <c r="C846" s="10">
        <v>18.850000000000001</v>
      </c>
      <c r="D846" s="10">
        <v>1.1599999999999999</v>
      </c>
      <c r="E846" s="16">
        <v>6.56</v>
      </c>
      <c r="F846">
        <v>52577</v>
      </c>
      <c r="G846" s="5">
        <v>43172</v>
      </c>
    </row>
    <row r="847" spans="1:7" x14ac:dyDescent="0.4">
      <c r="A847">
        <v>47</v>
      </c>
      <c r="B847" t="s">
        <v>157</v>
      </c>
      <c r="C847" s="10">
        <v>39.25</v>
      </c>
      <c r="D847" s="10">
        <v>2.4</v>
      </c>
      <c r="E847" s="16">
        <v>6.51</v>
      </c>
      <c r="F847">
        <v>177349</v>
      </c>
      <c r="G847" s="5">
        <v>43172</v>
      </c>
    </row>
    <row r="848" spans="1:7" x14ac:dyDescent="0.4">
      <c r="A848">
        <v>48</v>
      </c>
      <c r="B848" t="s">
        <v>158</v>
      </c>
      <c r="C848" s="10">
        <v>12.18</v>
      </c>
      <c r="D848" s="10">
        <v>0.74</v>
      </c>
      <c r="E848" s="16">
        <v>6.47</v>
      </c>
      <c r="F848">
        <v>65847</v>
      </c>
      <c r="G848" s="5">
        <v>43172</v>
      </c>
    </row>
    <row r="849" spans="1:7" x14ac:dyDescent="0.4">
      <c r="A849">
        <v>49</v>
      </c>
      <c r="B849" t="s">
        <v>159</v>
      </c>
      <c r="C849" s="10">
        <v>2.2799999999999998</v>
      </c>
      <c r="D849" s="10">
        <v>0.14000000000000001</v>
      </c>
      <c r="E849" s="16">
        <v>6.46</v>
      </c>
      <c r="F849">
        <v>14653</v>
      </c>
      <c r="G849" s="5">
        <v>43172</v>
      </c>
    </row>
    <row r="850" spans="1:7" x14ac:dyDescent="0.4">
      <c r="A850">
        <v>50</v>
      </c>
      <c r="B850" t="s">
        <v>160</v>
      </c>
      <c r="C850" s="10">
        <v>5.31</v>
      </c>
      <c r="D850" s="10">
        <v>0.32</v>
      </c>
      <c r="E850" s="16">
        <v>6.41</v>
      </c>
      <c r="F850">
        <v>489414</v>
      </c>
      <c r="G850" s="5">
        <v>43172</v>
      </c>
    </row>
    <row r="851" spans="1:7" x14ac:dyDescent="0.4">
      <c r="A851">
        <v>51</v>
      </c>
      <c r="B851" t="s">
        <v>161</v>
      </c>
      <c r="C851" s="10">
        <v>5.48</v>
      </c>
      <c r="D851" s="10">
        <v>0.33</v>
      </c>
      <c r="E851" s="16">
        <v>6.41</v>
      </c>
      <c r="F851">
        <v>369020</v>
      </c>
      <c r="G851" s="5">
        <v>43172</v>
      </c>
    </row>
    <row r="852" spans="1:7" x14ac:dyDescent="0.4">
      <c r="A852">
        <v>52</v>
      </c>
      <c r="B852" t="s">
        <v>162</v>
      </c>
      <c r="C852" s="10">
        <v>4.3600000000000003</v>
      </c>
      <c r="D852" s="10">
        <v>0.26</v>
      </c>
      <c r="E852" s="16">
        <v>6.34</v>
      </c>
      <c r="F852">
        <v>22448</v>
      </c>
      <c r="G852" s="5">
        <v>43172</v>
      </c>
    </row>
    <row r="853" spans="1:7" x14ac:dyDescent="0.4">
      <c r="A853">
        <v>53</v>
      </c>
      <c r="B853" t="s">
        <v>163</v>
      </c>
      <c r="C853" s="10">
        <v>45.1</v>
      </c>
      <c r="D853" s="10">
        <v>2.68</v>
      </c>
      <c r="E853" s="16">
        <v>6.32</v>
      </c>
      <c r="F853">
        <v>12155525</v>
      </c>
      <c r="G853" s="5">
        <v>43172</v>
      </c>
    </row>
    <row r="854" spans="1:7" x14ac:dyDescent="0.4">
      <c r="A854">
        <v>54</v>
      </c>
      <c r="B854" t="s">
        <v>164</v>
      </c>
      <c r="C854" s="10">
        <v>6.41</v>
      </c>
      <c r="D854" s="10">
        <v>0.38</v>
      </c>
      <c r="E854" s="16">
        <v>6.3</v>
      </c>
      <c r="F854">
        <v>31443</v>
      </c>
      <c r="G854" s="5">
        <v>43172</v>
      </c>
    </row>
    <row r="855" spans="1:7" x14ac:dyDescent="0.4">
      <c r="A855">
        <v>55</v>
      </c>
      <c r="B855" t="s">
        <v>165</v>
      </c>
      <c r="C855" s="10">
        <v>3.39</v>
      </c>
      <c r="D855" s="10">
        <v>0.2</v>
      </c>
      <c r="E855" s="16">
        <v>6.27</v>
      </c>
      <c r="F855">
        <v>322460</v>
      </c>
      <c r="G855" s="5">
        <v>43172</v>
      </c>
    </row>
    <row r="856" spans="1:7" x14ac:dyDescent="0.4">
      <c r="A856">
        <v>56</v>
      </c>
      <c r="B856" t="s">
        <v>166</v>
      </c>
      <c r="C856" s="10">
        <v>5.19</v>
      </c>
      <c r="D856" s="10">
        <v>0.3</v>
      </c>
      <c r="E856" s="16">
        <v>6.13</v>
      </c>
      <c r="F856">
        <v>502109</v>
      </c>
      <c r="G856" s="5">
        <v>43172</v>
      </c>
    </row>
    <row r="857" spans="1:7" x14ac:dyDescent="0.4">
      <c r="A857">
        <v>57</v>
      </c>
      <c r="B857" t="s">
        <v>167</v>
      </c>
      <c r="C857" s="10">
        <v>13.91</v>
      </c>
      <c r="D857" s="10">
        <v>0.79</v>
      </c>
      <c r="E857" s="16">
        <v>6.02</v>
      </c>
      <c r="F857">
        <v>409744</v>
      </c>
      <c r="G857" s="5">
        <v>43172</v>
      </c>
    </row>
    <row r="858" spans="1:7" x14ac:dyDescent="0.4">
      <c r="A858">
        <v>58</v>
      </c>
      <c r="B858" t="s">
        <v>168</v>
      </c>
      <c r="C858" s="10">
        <v>2.83</v>
      </c>
      <c r="D858" s="10">
        <v>0.16</v>
      </c>
      <c r="E858" s="16">
        <v>5.99</v>
      </c>
      <c r="F858">
        <v>1489800</v>
      </c>
      <c r="G858" s="5">
        <v>43172</v>
      </c>
    </row>
    <row r="859" spans="1:7" x14ac:dyDescent="0.4">
      <c r="A859">
        <v>59</v>
      </c>
      <c r="B859" t="s">
        <v>169</v>
      </c>
      <c r="C859" s="10">
        <v>10.58</v>
      </c>
      <c r="D859" s="10">
        <v>0.57999999999999996</v>
      </c>
      <c r="E859" s="16">
        <v>5.8</v>
      </c>
      <c r="F859">
        <v>453197</v>
      </c>
      <c r="G859" s="5">
        <v>43172</v>
      </c>
    </row>
    <row r="860" spans="1:7" x14ac:dyDescent="0.4">
      <c r="A860">
        <v>60</v>
      </c>
      <c r="B860" t="s">
        <v>170</v>
      </c>
      <c r="C860" s="10">
        <v>14.76</v>
      </c>
      <c r="D860" s="10">
        <v>0.79</v>
      </c>
      <c r="E860" s="16">
        <v>5.65</v>
      </c>
      <c r="F860">
        <v>127810</v>
      </c>
      <c r="G860" s="5">
        <v>43172</v>
      </c>
    </row>
    <row r="861" spans="1:7" x14ac:dyDescent="0.4">
      <c r="A861">
        <v>61</v>
      </c>
      <c r="B861" t="s">
        <v>171</v>
      </c>
      <c r="C861" s="10">
        <v>31.34</v>
      </c>
      <c r="D861" s="10">
        <v>1.65</v>
      </c>
      <c r="E861" s="16">
        <v>5.56</v>
      </c>
      <c r="F861">
        <v>4906274</v>
      </c>
      <c r="G861" s="5">
        <v>43172</v>
      </c>
    </row>
    <row r="862" spans="1:7" x14ac:dyDescent="0.4">
      <c r="A862">
        <v>62</v>
      </c>
      <c r="B862" t="s">
        <v>172</v>
      </c>
      <c r="C862" s="10">
        <v>19.149999999999999</v>
      </c>
      <c r="D862" s="10">
        <v>0.99</v>
      </c>
      <c r="E862" s="16">
        <v>5.45</v>
      </c>
      <c r="F862">
        <v>29446</v>
      </c>
      <c r="G862" s="5">
        <v>43172</v>
      </c>
    </row>
    <row r="863" spans="1:7" x14ac:dyDescent="0.4">
      <c r="A863">
        <v>63</v>
      </c>
      <c r="B863" t="s">
        <v>173</v>
      </c>
      <c r="C863" s="10">
        <v>6.85</v>
      </c>
      <c r="D863" s="10">
        <v>0.35</v>
      </c>
      <c r="E863" s="16">
        <v>5.38</v>
      </c>
      <c r="F863">
        <v>72744</v>
      </c>
      <c r="G863" s="5">
        <v>43172</v>
      </c>
    </row>
    <row r="864" spans="1:7" x14ac:dyDescent="0.4">
      <c r="A864">
        <v>64</v>
      </c>
      <c r="B864" t="s">
        <v>174</v>
      </c>
      <c r="C864" s="10">
        <v>8.44</v>
      </c>
      <c r="D864" s="10">
        <v>0.43</v>
      </c>
      <c r="E864" s="16">
        <v>5.37</v>
      </c>
      <c r="F864">
        <v>2879</v>
      </c>
      <c r="G864" s="5">
        <v>43172</v>
      </c>
    </row>
    <row r="865" spans="1:7" x14ac:dyDescent="0.4">
      <c r="A865">
        <v>65</v>
      </c>
      <c r="B865" t="s">
        <v>175</v>
      </c>
      <c r="C865" s="10">
        <v>53.3</v>
      </c>
      <c r="D865" s="10">
        <v>2.7</v>
      </c>
      <c r="E865" s="16">
        <v>5.34</v>
      </c>
      <c r="F865">
        <v>306371</v>
      </c>
      <c r="G865" s="5">
        <v>43172</v>
      </c>
    </row>
    <row r="866" spans="1:7" x14ac:dyDescent="0.4">
      <c r="A866">
        <v>66</v>
      </c>
      <c r="B866" t="s">
        <v>176</v>
      </c>
      <c r="C866" s="10">
        <v>16.97</v>
      </c>
      <c r="D866" s="10">
        <v>0.85</v>
      </c>
      <c r="E866" s="16">
        <v>5.27</v>
      </c>
      <c r="F866">
        <v>69477</v>
      </c>
      <c r="G866" s="5">
        <v>43172</v>
      </c>
    </row>
    <row r="867" spans="1:7" x14ac:dyDescent="0.4">
      <c r="A867">
        <v>67</v>
      </c>
      <c r="B867" t="s">
        <v>177</v>
      </c>
      <c r="C867" s="10">
        <v>3.6</v>
      </c>
      <c r="D867" s="10">
        <v>0.18</v>
      </c>
      <c r="E867" s="16">
        <v>5.26</v>
      </c>
      <c r="F867">
        <v>270862</v>
      </c>
      <c r="G867" s="5">
        <v>43172</v>
      </c>
    </row>
    <row r="868" spans="1:7" x14ac:dyDescent="0.4">
      <c r="A868">
        <v>68</v>
      </c>
      <c r="B868" t="s">
        <v>178</v>
      </c>
      <c r="C868" s="10">
        <v>12.87</v>
      </c>
      <c r="D868" s="10">
        <v>0.63</v>
      </c>
      <c r="E868" s="16">
        <v>5.15</v>
      </c>
      <c r="F868">
        <v>31731</v>
      </c>
      <c r="G868" s="5">
        <v>43172</v>
      </c>
    </row>
    <row r="869" spans="1:7" x14ac:dyDescent="0.4">
      <c r="A869">
        <v>69</v>
      </c>
      <c r="B869" t="s">
        <v>179</v>
      </c>
      <c r="C869" s="10">
        <v>6.2</v>
      </c>
      <c r="D869" s="10">
        <v>0.3</v>
      </c>
      <c r="E869" s="16">
        <v>5.08</v>
      </c>
      <c r="F869">
        <v>23565</v>
      </c>
      <c r="G869" s="5">
        <v>43172</v>
      </c>
    </row>
    <row r="870" spans="1:7" x14ac:dyDescent="0.4">
      <c r="A870">
        <v>70</v>
      </c>
      <c r="B870" t="s">
        <v>180</v>
      </c>
      <c r="C870" s="10">
        <v>9.4</v>
      </c>
      <c r="D870" s="10">
        <v>0.45</v>
      </c>
      <c r="E870" s="16">
        <v>5.03</v>
      </c>
      <c r="F870">
        <v>65724</v>
      </c>
      <c r="G870" s="5">
        <v>43172</v>
      </c>
    </row>
    <row r="871" spans="1:7" x14ac:dyDescent="0.4">
      <c r="A871">
        <v>71</v>
      </c>
      <c r="B871" t="s">
        <v>181</v>
      </c>
      <c r="C871" s="10">
        <v>2.1</v>
      </c>
      <c r="D871" s="10">
        <v>0.1</v>
      </c>
      <c r="E871" s="16">
        <v>5</v>
      </c>
      <c r="F871">
        <v>137791</v>
      </c>
      <c r="G871" s="5">
        <v>43172</v>
      </c>
    </row>
    <row r="872" spans="1:7" x14ac:dyDescent="0.4">
      <c r="A872">
        <v>72</v>
      </c>
      <c r="B872" t="s">
        <v>182</v>
      </c>
      <c r="C872" s="10">
        <v>3.58</v>
      </c>
      <c r="D872" s="10">
        <v>0.17</v>
      </c>
      <c r="E872" s="16">
        <v>4.99</v>
      </c>
      <c r="F872">
        <v>239189</v>
      </c>
      <c r="G872" s="5">
        <v>43172</v>
      </c>
    </row>
    <row r="873" spans="1:7" x14ac:dyDescent="0.4">
      <c r="A873">
        <v>73</v>
      </c>
      <c r="B873" t="s">
        <v>183</v>
      </c>
      <c r="C873" s="10">
        <v>29.7</v>
      </c>
      <c r="D873" s="10">
        <v>1.41</v>
      </c>
      <c r="E873" s="16">
        <v>4.9800000000000004</v>
      </c>
      <c r="F873">
        <v>1673527</v>
      </c>
      <c r="G873" s="5">
        <v>43172</v>
      </c>
    </row>
    <row r="874" spans="1:7" x14ac:dyDescent="0.4">
      <c r="A874">
        <v>74</v>
      </c>
      <c r="B874" t="s">
        <v>184</v>
      </c>
      <c r="C874" s="10">
        <v>9.6999999999999993</v>
      </c>
      <c r="D874" s="10">
        <v>0.46</v>
      </c>
      <c r="E874" s="16">
        <v>4.9800000000000004</v>
      </c>
      <c r="F874">
        <v>3054</v>
      </c>
      <c r="G874" s="5">
        <v>43172</v>
      </c>
    </row>
    <row r="875" spans="1:7" x14ac:dyDescent="0.4">
      <c r="A875">
        <v>75</v>
      </c>
      <c r="B875" t="s">
        <v>185</v>
      </c>
      <c r="C875" s="10">
        <v>3.38</v>
      </c>
      <c r="D875" s="10">
        <v>0.16</v>
      </c>
      <c r="E875" s="16">
        <v>4.97</v>
      </c>
      <c r="F875">
        <v>140799</v>
      </c>
      <c r="G875" s="5">
        <v>43172</v>
      </c>
    </row>
    <row r="876" spans="1:7" x14ac:dyDescent="0.4">
      <c r="A876">
        <v>76</v>
      </c>
      <c r="B876" t="s">
        <v>186</v>
      </c>
      <c r="C876" s="10">
        <v>12.79</v>
      </c>
      <c r="D876" s="10">
        <v>0.6</v>
      </c>
      <c r="E876" s="16">
        <v>4.92</v>
      </c>
      <c r="F876">
        <v>813793</v>
      </c>
      <c r="G876" s="5">
        <v>43172</v>
      </c>
    </row>
    <row r="877" spans="1:7" x14ac:dyDescent="0.4">
      <c r="A877">
        <v>77</v>
      </c>
      <c r="B877" t="s">
        <v>187</v>
      </c>
      <c r="C877" s="10">
        <v>14.99</v>
      </c>
      <c r="D877" s="10">
        <v>0.7</v>
      </c>
      <c r="E877" s="16">
        <v>4.9000000000000004</v>
      </c>
      <c r="F877">
        <v>12120</v>
      </c>
      <c r="G877" s="5">
        <v>43172</v>
      </c>
    </row>
    <row r="878" spans="1:7" x14ac:dyDescent="0.4">
      <c r="A878">
        <v>78</v>
      </c>
      <c r="B878" t="s">
        <v>114</v>
      </c>
      <c r="C878" s="10">
        <v>20.82</v>
      </c>
      <c r="D878" s="10">
        <v>0.97</v>
      </c>
      <c r="E878" s="16">
        <v>4.8899999999999997</v>
      </c>
      <c r="F878">
        <v>112124</v>
      </c>
      <c r="G878" s="5">
        <v>43172</v>
      </c>
    </row>
    <row r="879" spans="1:7" x14ac:dyDescent="0.4">
      <c r="A879">
        <v>79</v>
      </c>
      <c r="B879" t="s">
        <v>188</v>
      </c>
      <c r="C879" s="10">
        <v>4.3</v>
      </c>
      <c r="D879" s="10">
        <v>0.2</v>
      </c>
      <c r="E879" s="16">
        <v>4.88</v>
      </c>
      <c r="F879">
        <v>470763</v>
      </c>
      <c r="G879" s="5">
        <v>43172</v>
      </c>
    </row>
    <row r="880" spans="1:7" x14ac:dyDescent="0.4">
      <c r="A880">
        <v>80</v>
      </c>
      <c r="B880" t="s">
        <v>189</v>
      </c>
      <c r="C880" s="10">
        <v>2.15</v>
      </c>
      <c r="D880" s="10">
        <v>0.1</v>
      </c>
      <c r="E880" s="16">
        <v>4.88</v>
      </c>
      <c r="F880">
        <v>11847</v>
      </c>
      <c r="G880" s="5">
        <v>43172</v>
      </c>
    </row>
    <row r="881" spans="1:7" x14ac:dyDescent="0.4">
      <c r="A881">
        <v>81</v>
      </c>
      <c r="B881" t="s">
        <v>190</v>
      </c>
      <c r="C881" s="10">
        <v>3.01</v>
      </c>
      <c r="D881" s="10">
        <v>0.14000000000000001</v>
      </c>
      <c r="E881" s="16">
        <v>4.88</v>
      </c>
      <c r="F881">
        <v>15414</v>
      </c>
      <c r="G881" s="5">
        <v>43172</v>
      </c>
    </row>
    <row r="882" spans="1:7" x14ac:dyDescent="0.4">
      <c r="A882">
        <v>82</v>
      </c>
      <c r="B882" t="s">
        <v>191</v>
      </c>
      <c r="C882" s="10">
        <v>27.59</v>
      </c>
      <c r="D882" s="10">
        <v>1.27</v>
      </c>
      <c r="E882" s="16">
        <v>4.83</v>
      </c>
      <c r="F882">
        <v>535886</v>
      </c>
      <c r="G882" s="5">
        <v>43172</v>
      </c>
    </row>
    <row r="883" spans="1:7" x14ac:dyDescent="0.4">
      <c r="A883">
        <v>83</v>
      </c>
      <c r="B883" t="s">
        <v>192</v>
      </c>
      <c r="C883" s="10">
        <v>2.61</v>
      </c>
      <c r="D883" s="10">
        <v>0.12</v>
      </c>
      <c r="E883" s="16">
        <v>4.82</v>
      </c>
      <c r="F883">
        <v>42553</v>
      </c>
      <c r="G883" s="5">
        <v>43172</v>
      </c>
    </row>
    <row r="884" spans="1:7" x14ac:dyDescent="0.4">
      <c r="A884">
        <v>84</v>
      </c>
      <c r="B884" t="s">
        <v>193</v>
      </c>
      <c r="C884" s="10">
        <v>9.14</v>
      </c>
      <c r="D884" s="10">
        <v>0.42</v>
      </c>
      <c r="E884" s="16">
        <v>4.82</v>
      </c>
      <c r="F884">
        <v>1320055</v>
      </c>
      <c r="G884" s="5">
        <v>43172</v>
      </c>
    </row>
    <row r="885" spans="1:7" x14ac:dyDescent="0.4">
      <c r="A885">
        <v>85</v>
      </c>
      <c r="B885" t="s">
        <v>194</v>
      </c>
      <c r="C885" s="10">
        <v>31.23</v>
      </c>
      <c r="D885" s="10">
        <v>1.43</v>
      </c>
      <c r="E885" s="16">
        <v>4.8</v>
      </c>
      <c r="F885">
        <v>8257</v>
      </c>
      <c r="G885" s="5">
        <v>43172</v>
      </c>
    </row>
    <row r="886" spans="1:7" x14ac:dyDescent="0.4">
      <c r="A886">
        <v>86</v>
      </c>
      <c r="B886" t="s">
        <v>195</v>
      </c>
      <c r="C886" s="10">
        <v>7.74</v>
      </c>
      <c r="D886" s="10">
        <v>0.35</v>
      </c>
      <c r="E886" s="16">
        <v>4.76</v>
      </c>
      <c r="F886">
        <v>4927</v>
      </c>
      <c r="G886" s="5">
        <v>43172</v>
      </c>
    </row>
    <row r="887" spans="1:7" x14ac:dyDescent="0.4">
      <c r="A887">
        <v>87</v>
      </c>
      <c r="B887" t="s">
        <v>196</v>
      </c>
      <c r="C887" s="10">
        <v>3.77</v>
      </c>
      <c r="D887" s="10">
        <v>0.17</v>
      </c>
      <c r="E887" s="16">
        <v>4.72</v>
      </c>
      <c r="F887">
        <v>8137</v>
      </c>
      <c r="G887" s="5">
        <v>43172</v>
      </c>
    </row>
    <row r="888" spans="1:7" x14ac:dyDescent="0.4">
      <c r="A888">
        <v>88</v>
      </c>
      <c r="B888" t="s">
        <v>197</v>
      </c>
      <c r="C888" s="10">
        <v>22.96</v>
      </c>
      <c r="D888" s="10">
        <v>1.03</v>
      </c>
      <c r="E888" s="16">
        <v>4.7</v>
      </c>
      <c r="F888">
        <v>325254</v>
      </c>
      <c r="G888" s="5">
        <v>43172</v>
      </c>
    </row>
    <row r="889" spans="1:7" x14ac:dyDescent="0.4">
      <c r="A889">
        <v>89</v>
      </c>
      <c r="B889" t="s">
        <v>198</v>
      </c>
      <c r="C889" s="10">
        <v>67.260000000000005</v>
      </c>
      <c r="D889" s="10">
        <v>3</v>
      </c>
      <c r="E889" s="16">
        <v>4.67</v>
      </c>
      <c r="F889">
        <v>491423</v>
      </c>
      <c r="G889" s="5">
        <v>43172</v>
      </c>
    </row>
    <row r="890" spans="1:7" x14ac:dyDescent="0.4">
      <c r="A890">
        <v>90</v>
      </c>
      <c r="B890" t="s">
        <v>59</v>
      </c>
      <c r="C890" s="10">
        <v>9</v>
      </c>
      <c r="D890" s="10">
        <v>0.4</v>
      </c>
      <c r="E890" s="16">
        <v>4.6500000000000004</v>
      </c>
      <c r="F890">
        <v>74735</v>
      </c>
      <c r="G890" s="5">
        <v>43172</v>
      </c>
    </row>
    <row r="891" spans="1:7" x14ac:dyDescent="0.4">
      <c r="A891">
        <v>91</v>
      </c>
      <c r="B891" t="s">
        <v>199</v>
      </c>
      <c r="C891" s="10">
        <v>3.61</v>
      </c>
      <c r="D891" s="10">
        <v>0.16</v>
      </c>
      <c r="E891" s="16">
        <v>4.6399999999999997</v>
      </c>
      <c r="F891">
        <v>489123</v>
      </c>
      <c r="G891" s="5">
        <v>43172</v>
      </c>
    </row>
    <row r="892" spans="1:7" x14ac:dyDescent="0.4">
      <c r="A892">
        <v>92</v>
      </c>
      <c r="B892" t="s">
        <v>200</v>
      </c>
      <c r="C892" s="10">
        <v>6.36</v>
      </c>
      <c r="D892" s="10">
        <v>0.28000000000000003</v>
      </c>
      <c r="E892" s="16">
        <v>4.6100000000000003</v>
      </c>
      <c r="F892">
        <v>219040</v>
      </c>
      <c r="G892" s="5">
        <v>43172</v>
      </c>
    </row>
    <row r="893" spans="1:7" x14ac:dyDescent="0.4">
      <c r="A893">
        <v>93</v>
      </c>
      <c r="B893" t="s">
        <v>201</v>
      </c>
      <c r="C893" s="10">
        <v>10.25</v>
      </c>
      <c r="D893" s="10">
        <v>0.45</v>
      </c>
      <c r="E893" s="16">
        <v>4.59</v>
      </c>
      <c r="F893">
        <v>19018</v>
      </c>
      <c r="G893" s="5">
        <v>43172</v>
      </c>
    </row>
    <row r="894" spans="1:7" x14ac:dyDescent="0.4">
      <c r="A894">
        <v>94</v>
      </c>
      <c r="B894" t="s">
        <v>202</v>
      </c>
      <c r="C894" s="10">
        <v>68.790000000000006</v>
      </c>
      <c r="D894" s="10">
        <v>3.01</v>
      </c>
      <c r="E894" s="16">
        <v>4.58</v>
      </c>
      <c r="F894">
        <v>3166550</v>
      </c>
      <c r="G894" s="5">
        <v>43172</v>
      </c>
    </row>
    <row r="895" spans="1:7" x14ac:dyDescent="0.4">
      <c r="A895">
        <v>95</v>
      </c>
      <c r="B895" t="s">
        <v>203</v>
      </c>
      <c r="C895" s="10">
        <v>3.89</v>
      </c>
      <c r="D895" s="10">
        <v>0.17</v>
      </c>
      <c r="E895" s="16">
        <v>4.57</v>
      </c>
      <c r="F895">
        <v>1154245</v>
      </c>
      <c r="G895" s="5">
        <v>43172</v>
      </c>
    </row>
    <row r="896" spans="1:7" x14ac:dyDescent="0.4">
      <c r="A896">
        <v>96</v>
      </c>
      <c r="B896" t="s">
        <v>204</v>
      </c>
      <c r="C896" s="10">
        <v>24.05</v>
      </c>
      <c r="D896" s="10">
        <v>1.05</v>
      </c>
      <c r="E896" s="16">
        <v>4.57</v>
      </c>
      <c r="F896">
        <v>2485827</v>
      </c>
      <c r="G896" s="5">
        <v>43172</v>
      </c>
    </row>
    <row r="897" spans="1:7" x14ac:dyDescent="0.4">
      <c r="A897">
        <v>97</v>
      </c>
      <c r="B897" t="s">
        <v>205</v>
      </c>
      <c r="C897" s="10">
        <v>2.5299999999999998</v>
      </c>
      <c r="D897" s="10">
        <v>0.11</v>
      </c>
      <c r="E897" s="16">
        <v>4.55</v>
      </c>
      <c r="F897">
        <v>207085</v>
      </c>
      <c r="G897" s="5">
        <v>43172</v>
      </c>
    </row>
    <row r="898" spans="1:7" x14ac:dyDescent="0.4">
      <c r="A898">
        <v>98</v>
      </c>
      <c r="B898" t="s">
        <v>206</v>
      </c>
      <c r="C898" s="10">
        <v>3.23</v>
      </c>
      <c r="D898" s="10">
        <v>0.14000000000000001</v>
      </c>
      <c r="E898" s="16">
        <v>4.53</v>
      </c>
      <c r="F898">
        <v>13363</v>
      </c>
      <c r="G898" s="5">
        <v>43172</v>
      </c>
    </row>
    <row r="899" spans="1:7" x14ac:dyDescent="0.4">
      <c r="A899">
        <v>99</v>
      </c>
      <c r="B899" t="s">
        <v>207</v>
      </c>
      <c r="C899" s="10">
        <v>10.18</v>
      </c>
      <c r="D899" s="10">
        <v>0.44</v>
      </c>
      <c r="E899" s="16">
        <v>4.5199999999999996</v>
      </c>
      <c r="F899">
        <v>2719029</v>
      </c>
      <c r="G899" s="5">
        <v>43172</v>
      </c>
    </row>
    <row r="900" spans="1:7" x14ac:dyDescent="0.4">
      <c r="A900">
        <v>100</v>
      </c>
      <c r="B900" t="s">
        <v>208</v>
      </c>
      <c r="C900" s="10">
        <v>2.5499999999999998</v>
      </c>
      <c r="D900" s="10">
        <v>0.11</v>
      </c>
      <c r="E900" s="16">
        <v>4.51</v>
      </c>
      <c r="F900">
        <v>1648583</v>
      </c>
      <c r="G900" s="5">
        <v>43172</v>
      </c>
    </row>
    <row r="901" spans="1:7" x14ac:dyDescent="0.4">
      <c r="A901">
        <v>1</v>
      </c>
      <c r="B901" s="2" t="s">
        <v>118</v>
      </c>
      <c r="C901" s="1">
        <v>6.38</v>
      </c>
      <c r="D901" s="1">
        <v>2.2400000000000002</v>
      </c>
      <c r="E901" s="19">
        <v>54.11</v>
      </c>
      <c r="F901" s="4">
        <v>34915278</v>
      </c>
      <c r="G901" s="5">
        <v>43172</v>
      </c>
    </row>
    <row r="902" spans="1:7" x14ac:dyDescent="0.4">
      <c r="A902">
        <v>2</v>
      </c>
      <c r="B902" t="s">
        <v>209</v>
      </c>
      <c r="C902" s="1">
        <v>7.8</v>
      </c>
      <c r="D902" s="1">
        <v>2.8</v>
      </c>
      <c r="E902" s="19">
        <v>56</v>
      </c>
      <c r="F902" s="4">
        <v>2835108</v>
      </c>
      <c r="G902" s="5">
        <v>43173</v>
      </c>
    </row>
    <row r="903" spans="1:7" x14ac:dyDescent="0.4">
      <c r="A903">
        <v>3</v>
      </c>
      <c r="B903" s="2" t="s">
        <v>210</v>
      </c>
      <c r="C903" s="3">
        <v>4.55</v>
      </c>
      <c r="D903" s="1">
        <v>1.35</v>
      </c>
      <c r="E903" s="19">
        <v>42.19</v>
      </c>
      <c r="F903" s="4">
        <v>997805</v>
      </c>
      <c r="G903" s="5">
        <v>43173</v>
      </c>
    </row>
    <row r="904" spans="1:7" x14ac:dyDescent="0.4">
      <c r="A904">
        <v>4</v>
      </c>
      <c r="B904" s="2" t="s">
        <v>70</v>
      </c>
      <c r="C904" s="1">
        <v>4.75</v>
      </c>
      <c r="D904" s="1">
        <v>1.3</v>
      </c>
      <c r="E904" s="19">
        <v>37.68</v>
      </c>
      <c r="F904" s="4">
        <v>4201701</v>
      </c>
      <c r="G904" s="5">
        <v>43173</v>
      </c>
    </row>
    <row r="905" spans="1:7" x14ac:dyDescent="0.4">
      <c r="A905">
        <v>5</v>
      </c>
      <c r="B905" s="2" t="s">
        <v>169</v>
      </c>
      <c r="C905" s="1">
        <v>13.58</v>
      </c>
      <c r="D905" s="1">
        <v>3</v>
      </c>
      <c r="E905" s="19">
        <v>28.36</v>
      </c>
      <c r="F905" s="4">
        <v>2536158</v>
      </c>
      <c r="G905" s="5">
        <v>43173</v>
      </c>
    </row>
    <row r="906" spans="1:7" x14ac:dyDescent="0.4">
      <c r="A906">
        <v>6</v>
      </c>
      <c r="B906" s="2" t="s">
        <v>73</v>
      </c>
      <c r="C906" s="1">
        <v>6.05</v>
      </c>
      <c r="D906" s="1">
        <v>1.22</v>
      </c>
      <c r="E906" s="19">
        <v>25.34</v>
      </c>
      <c r="F906" s="4">
        <v>253325</v>
      </c>
      <c r="G906" s="5">
        <v>43173</v>
      </c>
    </row>
    <row r="907" spans="1:7" x14ac:dyDescent="0.4">
      <c r="A907">
        <v>7</v>
      </c>
      <c r="B907" s="2" t="s">
        <v>122</v>
      </c>
      <c r="C907" s="1">
        <v>13.85</v>
      </c>
      <c r="D907" s="1">
        <v>2.68</v>
      </c>
      <c r="E907" s="19">
        <v>23.95</v>
      </c>
      <c r="F907" s="4">
        <v>332303</v>
      </c>
      <c r="G907" s="5">
        <v>43173</v>
      </c>
    </row>
    <row r="908" spans="1:7" x14ac:dyDescent="0.4">
      <c r="A908">
        <v>8</v>
      </c>
      <c r="B908" s="2" t="s">
        <v>211</v>
      </c>
      <c r="C908" s="1">
        <v>8.1999999999999993</v>
      </c>
      <c r="D908" s="1">
        <v>1.49</v>
      </c>
      <c r="E908" s="19">
        <v>22.21</v>
      </c>
      <c r="F908" s="4">
        <v>417373</v>
      </c>
      <c r="G908" s="5">
        <v>43173</v>
      </c>
    </row>
    <row r="909" spans="1:7" x14ac:dyDescent="0.4">
      <c r="A909">
        <v>9</v>
      </c>
      <c r="B909" s="2" t="s">
        <v>212</v>
      </c>
      <c r="C909" s="1">
        <v>2.9</v>
      </c>
      <c r="D909" s="1">
        <v>0.4</v>
      </c>
      <c r="E909" s="19">
        <v>16</v>
      </c>
      <c r="F909" s="4">
        <v>409449</v>
      </c>
      <c r="G909" s="5">
        <v>43173</v>
      </c>
    </row>
    <row r="910" spans="1:7" x14ac:dyDescent="0.4">
      <c r="A910">
        <v>10</v>
      </c>
      <c r="B910" s="2" t="s">
        <v>213</v>
      </c>
      <c r="C910" s="1">
        <v>5.45</v>
      </c>
      <c r="D910" s="1">
        <v>0.65</v>
      </c>
      <c r="E910" s="19">
        <v>13.54</v>
      </c>
      <c r="F910" s="4">
        <v>100298</v>
      </c>
      <c r="G910" s="5">
        <v>43173</v>
      </c>
    </row>
    <row r="911" spans="1:7" x14ac:dyDescent="0.4">
      <c r="A911">
        <v>11</v>
      </c>
      <c r="B911" s="2" t="s">
        <v>214</v>
      </c>
      <c r="C911" s="1">
        <v>6.27</v>
      </c>
      <c r="D911" s="1">
        <v>0.74</v>
      </c>
      <c r="E911" s="19">
        <v>13.38</v>
      </c>
      <c r="F911" s="4">
        <v>5398032</v>
      </c>
      <c r="G911" s="5">
        <v>43173</v>
      </c>
    </row>
    <row r="912" spans="1:7" x14ac:dyDescent="0.4">
      <c r="A912">
        <v>12</v>
      </c>
      <c r="B912" s="2" t="s">
        <v>170</v>
      </c>
      <c r="C912" s="1">
        <v>16.7</v>
      </c>
      <c r="D912" s="1">
        <v>1.94</v>
      </c>
      <c r="E912" s="19">
        <v>13.14</v>
      </c>
      <c r="F912" s="4">
        <v>295821</v>
      </c>
      <c r="G912" s="5">
        <v>43173</v>
      </c>
    </row>
    <row r="913" spans="1:7" x14ac:dyDescent="0.4">
      <c r="A913">
        <v>13</v>
      </c>
      <c r="B913" s="2" t="s">
        <v>215</v>
      </c>
      <c r="C913" s="1">
        <v>25.23</v>
      </c>
      <c r="D913" s="1">
        <v>2.83</v>
      </c>
      <c r="E913" s="19">
        <v>12.63</v>
      </c>
      <c r="F913" s="4">
        <v>210038</v>
      </c>
      <c r="G913" s="5">
        <v>43173</v>
      </c>
    </row>
    <row r="914" spans="1:7" x14ac:dyDescent="0.4">
      <c r="A914">
        <v>14</v>
      </c>
      <c r="B914" s="2" t="s">
        <v>216</v>
      </c>
      <c r="C914" s="1">
        <v>21.24</v>
      </c>
      <c r="D914" s="1">
        <v>2.37</v>
      </c>
      <c r="E914" s="19">
        <v>12.56</v>
      </c>
      <c r="F914" s="4">
        <v>1080415</v>
      </c>
      <c r="G914" s="5">
        <v>43173</v>
      </c>
    </row>
    <row r="915" spans="1:7" x14ac:dyDescent="0.4">
      <c r="A915">
        <v>15</v>
      </c>
      <c r="B915" s="2" t="s">
        <v>217</v>
      </c>
      <c r="C915" s="1">
        <v>5.12</v>
      </c>
      <c r="D915" s="1">
        <v>0.56999999999999995</v>
      </c>
      <c r="E915" s="19">
        <v>12.53</v>
      </c>
      <c r="F915" s="4">
        <v>186483</v>
      </c>
      <c r="G915" s="5">
        <v>43173</v>
      </c>
    </row>
    <row r="916" spans="1:7" x14ac:dyDescent="0.4">
      <c r="A916">
        <v>16</v>
      </c>
      <c r="B916" s="2" t="s">
        <v>218</v>
      </c>
      <c r="C916" s="1">
        <v>35.19</v>
      </c>
      <c r="D916" s="1">
        <v>3.54</v>
      </c>
      <c r="E916" s="19">
        <v>11.18</v>
      </c>
      <c r="F916" s="4">
        <v>732690</v>
      </c>
      <c r="G916" s="5">
        <v>43173</v>
      </c>
    </row>
    <row r="917" spans="1:7" x14ac:dyDescent="0.4">
      <c r="A917">
        <v>17</v>
      </c>
      <c r="B917" s="2" t="s">
        <v>219</v>
      </c>
      <c r="C917" s="1">
        <v>7.13</v>
      </c>
      <c r="D917" s="1">
        <v>0.72</v>
      </c>
      <c r="E917" s="19">
        <v>11.17</v>
      </c>
      <c r="F917" s="4">
        <v>2473</v>
      </c>
      <c r="G917" s="5">
        <v>43173</v>
      </c>
    </row>
    <row r="918" spans="1:7" x14ac:dyDescent="0.4">
      <c r="A918">
        <v>18</v>
      </c>
      <c r="B918" s="2" t="s">
        <v>220</v>
      </c>
      <c r="C918" s="1">
        <v>5.01</v>
      </c>
      <c r="D918" s="1">
        <v>0.49</v>
      </c>
      <c r="E918" s="19">
        <v>10.84</v>
      </c>
      <c r="F918" s="4">
        <v>186858</v>
      </c>
      <c r="G918" s="5">
        <v>43173</v>
      </c>
    </row>
    <row r="919" spans="1:7" x14ac:dyDescent="0.4">
      <c r="A919">
        <v>19</v>
      </c>
      <c r="B919" s="2" t="s">
        <v>221</v>
      </c>
      <c r="C919" s="1">
        <v>2.4</v>
      </c>
      <c r="D919" s="1">
        <v>0.23</v>
      </c>
      <c r="E919" s="19">
        <v>10.6</v>
      </c>
      <c r="F919" s="4">
        <v>21048</v>
      </c>
      <c r="G919" s="5">
        <v>43173</v>
      </c>
    </row>
    <row r="920" spans="1:7" x14ac:dyDescent="0.4">
      <c r="A920">
        <v>20</v>
      </c>
      <c r="B920" s="2" t="s">
        <v>222</v>
      </c>
      <c r="C920" s="1">
        <v>32.17</v>
      </c>
      <c r="D920" s="1">
        <v>3.08</v>
      </c>
      <c r="E920" s="19">
        <v>10.59</v>
      </c>
      <c r="F920" s="4">
        <v>1576450</v>
      </c>
      <c r="G920" s="5">
        <v>43173</v>
      </c>
    </row>
    <row r="921" spans="1:7" x14ac:dyDescent="0.4">
      <c r="A921">
        <v>21</v>
      </c>
      <c r="B921" s="2" t="s">
        <v>223</v>
      </c>
      <c r="C921" s="1">
        <v>40.369999999999997</v>
      </c>
      <c r="D921" s="1">
        <v>3.78</v>
      </c>
      <c r="E921" s="19">
        <v>10.33</v>
      </c>
      <c r="F921" s="4">
        <v>3124942</v>
      </c>
      <c r="G921" s="5">
        <v>43173</v>
      </c>
    </row>
    <row r="922" spans="1:7" x14ac:dyDescent="0.4">
      <c r="A922">
        <v>22</v>
      </c>
      <c r="B922" s="2" t="s">
        <v>192</v>
      </c>
      <c r="C922" s="1">
        <v>2.87</v>
      </c>
      <c r="D922" s="1">
        <v>0.26</v>
      </c>
      <c r="E922" s="19">
        <v>9.9600000000000009</v>
      </c>
      <c r="F922" s="4">
        <v>88558</v>
      </c>
      <c r="G922" s="5">
        <v>43173</v>
      </c>
    </row>
    <row r="923" spans="1:7" x14ac:dyDescent="0.4">
      <c r="A923">
        <v>23</v>
      </c>
      <c r="B923" s="2" t="s">
        <v>224</v>
      </c>
      <c r="C923" s="1">
        <v>2.89</v>
      </c>
      <c r="D923" s="1">
        <v>0.26</v>
      </c>
      <c r="E923" s="19">
        <v>9.89</v>
      </c>
      <c r="F923" s="4">
        <v>18160</v>
      </c>
      <c r="G923" s="5">
        <v>43173</v>
      </c>
    </row>
    <row r="924" spans="1:7" x14ac:dyDescent="0.4">
      <c r="A924">
        <v>24</v>
      </c>
      <c r="B924" s="2" t="s">
        <v>186</v>
      </c>
      <c r="C924" s="1">
        <v>14.02</v>
      </c>
      <c r="D924" s="1">
        <v>1.23</v>
      </c>
      <c r="E924" s="19">
        <v>9.6199999999999992</v>
      </c>
      <c r="F924" s="4">
        <v>834028</v>
      </c>
      <c r="G924" s="5">
        <v>43173</v>
      </c>
    </row>
    <row r="925" spans="1:7" x14ac:dyDescent="0.4">
      <c r="A925">
        <v>25</v>
      </c>
      <c r="B925" s="2" t="s">
        <v>121</v>
      </c>
      <c r="C925" s="1">
        <v>3.08</v>
      </c>
      <c r="D925" s="1">
        <v>0.27</v>
      </c>
      <c r="E925" s="19">
        <v>9.61</v>
      </c>
      <c r="F925" s="4">
        <v>357572</v>
      </c>
      <c r="G925" s="5">
        <v>43173</v>
      </c>
    </row>
    <row r="926" spans="1:7" x14ac:dyDescent="0.4">
      <c r="A926">
        <v>26</v>
      </c>
      <c r="B926" s="2" t="s">
        <v>225</v>
      </c>
      <c r="C926" s="1">
        <v>25</v>
      </c>
      <c r="D926" s="1">
        <v>2.19</v>
      </c>
      <c r="E926" s="19">
        <v>9.6</v>
      </c>
      <c r="F926" s="4">
        <v>2316766</v>
      </c>
      <c r="G926" s="5">
        <v>43173</v>
      </c>
    </row>
    <row r="927" spans="1:7" x14ac:dyDescent="0.4">
      <c r="A927">
        <v>27</v>
      </c>
      <c r="B927" s="2" t="s">
        <v>226</v>
      </c>
      <c r="C927" s="1">
        <v>2.88</v>
      </c>
      <c r="D927" s="1">
        <v>0.25</v>
      </c>
      <c r="E927" s="19">
        <v>9.51</v>
      </c>
      <c r="F927" s="4">
        <v>297378</v>
      </c>
      <c r="G927" s="5">
        <v>43173</v>
      </c>
    </row>
    <row r="928" spans="1:7" x14ac:dyDescent="0.4">
      <c r="A928">
        <v>28</v>
      </c>
      <c r="B928" s="2" t="s">
        <v>227</v>
      </c>
      <c r="C928" s="1">
        <v>2.7</v>
      </c>
      <c r="D928" s="1">
        <v>0.23</v>
      </c>
      <c r="E928" s="19">
        <v>9.31</v>
      </c>
      <c r="F928" s="4">
        <v>1181733</v>
      </c>
      <c r="G928" s="5">
        <v>43173</v>
      </c>
    </row>
    <row r="929" spans="1:7" x14ac:dyDescent="0.4">
      <c r="A929">
        <v>29</v>
      </c>
      <c r="B929" s="2" t="s">
        <v>228</v>
      </c>
      <c r="C929" s="1">
        <v>21.89</v>
      </c>
      <c r="D929" s="1">
        <v>1.77</v>
      </c>
      <c r="E929" s="19">
        <v>8.8000000000000007</v>
      </c>
      <c r="F929" s="4">
        <v>376949</v>
      </c>
      <c r="G929" s="5">
        <v>43173</v>
      </c>
    </row>
    <row r="930" spans="1:7" x14ac:dyDescent="0.4">
      <c r="A930">
        <v>30</v>
      </c>
      <c r="B930" s="2" t="s">
        <v>229</v>
      </c>
      <c r="C930" s="1">
        <v>3.04</v>
      </c>
      <c r="D930" s="1">
        <v>0.24</v>
      </c>
      <c r="E930" s="19">
        <v>8.5299999999999994</v>
      </c>
      <c r="F930" s="4">
        <v>346156</v>
      </c>
      <c r="G930" s="5">
        <v>43173</v>
      </c>
    </row>
    <row r="931" spans="1:7" x14ac:dyDescent="0.4">
      <c r="A931">
        <v>31</v>
      </c>
      <c r="B931" s="2" t="s">
        <v>230</v>
      </c>
      <c r="C931" s="1">
        <v>16.2</v>
      </c>
      <c r="D931" s="1">
        <v>1.25</v>
      </c>
      <c r="E931" s="19">
        <v>8.36</v>
      </c>
      <c r="F931" s="4">
        <v>226324</v>
      </c>
      <c r="G931" s="5">
        <v>43173</v>
      </c>
    </row>
    <row r="932" spans="1:7" x14ac:dyDescent="0.4">
      <c r="A932">
        <v>32</v>
      </c>
      <c r="B932" s="2" t="s">
        <v>231</v>
      </c>
      <c r="C932" s="1">
        <v>14.5</v>
      </c>
      <c r="D932" s="1">
        <v>1.05</v>
      </c>
      <c r="E932" s="19">
        <v>7.81</v>
      </c>
      <c r="F932" s="4">
        <v>337785</v>
      </c>
      <c r="G932" s="5">
        <v>43173</v>
      </c>
    </row>
    <row r="933" spans="1:7" x14ac:dyDescent="0.4">
      <c r="A933">
        <v>33</v>
      </c>
      <c r="B933" s="2" t="s">
        <v>232</v>
      </c>
      <c r="C933" s="1">
        <v>2.2200000000000002</v>
      </c>
      <c r="D933" s="1">
        <v>0.16</v>
      </c>
      <c r="E933" s="19">
        <v>7.77</v>
      </c>
      <c r="F933" s="4">
        <v>1391570</v>
      </c>
      <c r="G933" s="5">
        <v>43173</v>
      </c>
    </row>
    <row r="934" spans="1:7" x14ac:dyDescent="0.4">
      <c r="A934">
        <v>34</v>
      </c>
      <c r="B934" s="2" t="s">
        <v>109</v>
      </c>
      <c r="C934" s="1">
        <v>28.75</v>
      </c>
      <c r="D934" s="1">
        <v>2.0499999999999998</v>
      </c>
      <c r="E934" s="19">
        <v>7.68</v>
      </c>
      <c r="F934" s="4">
        <v>454272</v>
      </c>
      <c r="G934" s="5">
        <v>43173</v>
      </c>
    </row>
    <row r="935" spans="1:7" x14ac:dyDescent="0.4">
      <c r="A935">
        <v>35</v>
      </c>
      <c r="B935" s="2" t="s">
        <v>233</v>
      </c>
      <c r="C935" s="1">
        <v>47.45</v>
      </c>
      <c r="D935" s="1">
        <v>3.35</v>
      </c>
      <c r="E935" s="19">
        <v>7.6</v>
      </c>
      <c r="F935" s="4">
        <v>1568979</v>
      </c>
      <c r="G935" s="5">
        <v>43173</v>
      </c>
    </row>
    <row r="936" spans="1:7" x14ac:dyDescent="0.4">
      <c r="A936">
        <v>36</v>
      </c>
      <c r="B936" s="2" t="s">
        <v>234</v>
      </c>
      <c r="C936" s="1">
        <v>13.65</v>
      </c>
      <c r="D936" s="1">
        <v>0.96</v>
      </c>
      <c r="E936" s="19">
        <v>7.57</v>
      </c>
      <c r="F936" s="4">
        <v>18808</v>
      </c>
      <c r="G936" s="5">
        <v>43173</v>
      </c>
    </row>
    <row r="937" spans="1:7" x14ac:dyDescent="0.4">
      <c r="A937">
        <v>37</v>
      </c>
      <c r="B937" s="2" t="s">
        <v>29</v>
      </c>
      <c r="C937" s="1">
        <v>14.57</v>
      </c>
      <c r="D937" s="1">
        <v>1.02</v>
      </c>
      <c r="E937" s="19">
        <v>7.53</v>
      </c>
      <c r="F937" s="4">
        <v>177164</v>
      </c>
      <c r="G937" s="5">
        <v>43173</v>
      </c>
    </row>
    <row r="938" spans="1:7" x14ac:dyDescent="0.4">
      <c r="A938">
        <v>38</v>
      </c>
      <c r="B938" s="2" t="s">
        <v>235</v>
      </c>
      <c r="C938" s="1">
        <v>2.15</v>
      </c>
      <c r="D938" s="1">
        <v>0.15</v>
      </c>
      <c r="E938" s="19">
        <v>7.5</v>
      </c>
      <c r="F938" s="4">
        <v>48411</v>
      </c>
      <c r="G938" s="5">
        <v>43173</v>
      </c>
    </row>
    <row r="939" spans="1:7" x14ac:dyDescent="0.4">
      <c r="A939">
        <v>39</v>
      </c>
      <c r="B939" s="2" t="s">
        <v>236</v>
      </c>
      <c r="C939" s="1">
        <v>7.91</v>
      </c>
      <c r="D939" s="1">
        <v>0.55000000000000004</v>
      </c>
      <c r="E939" s="19">
        <v>7.47</v>
      </c>
      <c r="F939" s="4">
        <v>639251</v>
      </c>
      <c r="G939" s="5">
        <v>43173</v>
      </c>
    </row>
    <row r="940" spans="1:7" x14ac:dyDescent="0.4">
      <c r="A940">
        <v>40</v>
      </c>
      <c r="B940" s="2" t="s">
        <v>237</v>
      </c>
      <c r="C940" s="1">
        <v>40.67</v>
      </c>
      <c r="D940" s="1">
        <v>2.81</v>
      </c>
      <c r="E940" s="19">
        <v>7.42</v>
      </c>
      <c r="F940" s="4">
        <v>1289366</v>
      </c>
      <c r="G940" s="5">
        <v>43173</v>
      </c>
    </row>
    <row r="941" spans="1:7" x14ac:dyDescent="0.4">
      <c r="A941">
        <v>41</v>
      </c>
      <c r="B941" s="2" t="s">
        <v>238</v>
      </c>
      <c r="C941" s="1">
        <v>4.49</v>
      </c>
      <c r="D941" s="1">
        <v>0.31</v>
      </c>
      <c r="E941" s="19">
        <v>7.42</v>
      </c>
      <c r="F941" s="4">
        <v>85417</v>
      </c>
      <c r="G941" s="5">
        <v>43173</v>
      </c>
    </row>
    <row r="942" spans="1:7" x14ac:dyDescent="0.4">
      <c r="A942">
        <v>42</v>
      </c>
      <c r="B942" s="2" t="s">
        <v>239</v>
      </c>
      <c r="C942" s="1">
        <v>12.62</v>
      </c>
      <c r="D942" s="1">
        <v>0.87</v>
      </c>
      <c r="E942" s="19">
        <v>7.4</v>
      </c>
      <c r="F942" s="4">
        <v>2580659</v>
      </c>
      <c r="G942" s="5">
        <v>43173</v>
      </c>
    </row>
    <row r="943" spans="1:7" x14ac:dyDescent="0.4">
      <c r="A943">
        <v>43</v>
      </c>
      <c r="B943" s="2" t="s">
        <v>240</v>
      </c>
      <c r="C943" s="1">
        <v>44.8</v>
      </c>
      <c r="D943" s="1">
        <v>3.05</v>
      </c>
      <c r="E943" s="19">
        <v>7.31</v>
      </c>
      <c r="F943" s="4">
        <v>2065198</v>
      </c>
      <c r="G943" s="5">
        <v>43173</v>
      </c>
    </row>
    <row r="944" spans="1:7" x14ac:dyDescent="0.4">
      <c r="A944">
        <v>44</v>
      </c>
      <c r="B944" s="2" t="s">
        <v>21</v>
      </c>
      <c r="C944" s="1">
        <v>16.600000000000001</v>
      </c>
      <c r="D944" s="1">
        <v>1.1299999999999999</v>
      </c>
      <c r="E944" s="19">
        <v>7.3</v>
      </c>
      <c r="F944" s="4">
        <v>89697</v>
      </c>
      <c r="G944" s="5">
        <v>43173</v>
      </c>
    </row>
    <row r="945" spans="1:7" x14ac:dyDescent="0.4">
      <c r="A945">
        <v>45</v>
      </c>
      <c r="B945" s="2" t="s">
        <v>241</v>
      </c>
      <c r="C945" s="1">
        <v>36.6</v>
      </c>
      <c r="D945" s="1">
        <v>2.4900000000000002</v>
      </c>
      <c r="E945" s="19">
        <v>7.3</v>
      </c>
      <c r="F945" s="4">
        <v>38902097</v>
      </c>
      <c r="G945" s="5">
        <v>43173</v>
      </c>
    </row>
    <row r="946" spans="1:7" x14ac:dyDescent="0.4">
      <c r="A946">
        <v>46</v>
      </c>
      <c r="B946" s="2" t="s">
        <v>242</v>
      </c>
      <c r="C946" s="1">
        <v>2.2200000000000002</v>
      </c>
      <c r="D946" s="1">
        <v>0.15</v>
      </c>
      <c r="E946" s="19">
        <v>7.25</v>
      </c>
      <c r="F946" s="4">
        <v>209245</v>
      </c>
      <c r="G946" s="5">
        <v>43173</v>
      </c>
    </row>
    <row r="947" spans="1:7" x14ac:dyDescent="0.4">
      <c r="A947">
        <v>47</v>
      </c>
      <c r="B947" s="2" t="s">
        <v>243</v>
      </c>
      <c r="C947" s="1">
        <v>18.32</v>
      </c>
      <c r="D947" s="1">
        <v>1.21</v>
      </c>
      <c r="E947" s="19">
        <v>7.07</v>
      </c>
      <c r="F947" s="4">
        <v>74274</v>
      </c>
      <c r="G947" s="5">
        <v>43173</v>
      </c>
    </row>
    <row r="948" spans="1:7" x14ac:dyDescent="0.4">
      <c r="A948">
        <v>48</v>
      </c>
      <c r="B948" s="2" t="s">
        <v>244</v>
      </c>
      <c r="C948" s="1">
        <v>373.35</v>
      </c>
      <c r="D948" s="1">
        <v>24.55</v>
      </c>
      <c r="E948" s="19">
        <v>7.04</v>
      </c>
      <c r="F948" s="4">
        <v>332477</v>
      </c>
      <c r="G948" s="5">
        <v>43173</v>
      </c>
    </row>
    <row r="949" spans="1:7" x14ac:dyDescent="0.4">
      <c r="A949">
        <v>49</v>
      </c>
      <c r="B949" s="2" t="s">
        <v>245</v>
      </c>
      <c r="C949" s="1">
        <v>2.94</v>
      </c>
      <c r="D949" s="1">
        <v>0.19</v>
      </c>
      <c r="E949" s="19">
        <v>6.91</v>
      </c>
      <c r="F949" s="4">
        <v>114207</v>
      </c>
      <c r="G949" s="5">
        <v>43173</v>
      </c>
    </row>
    <row r="950" spans="1:7" x14ac:dyDescent="0.4">
      <c r="A950">
        <v>50</v>
      </c>
      <c r="B950" s="2" t="s">
        <v>246</v>
      </c>
      <c r="C950" s="1">
        <v>4.8</v>
      </c>
      <c r="D950" s="1">
        <v>0.31</v>
      </c>
      <c r="E950" s="19">
        <v>6.9</v>
      </c>
      <c r="F950" s="4">
        <v>3296770</v>
      </c>
      <c r="G950" s="5">
        <v>43173</v>
      </c>
    </row>
    <row r="951" spans="1:7" x14ac:dyDescent="0.4">
      <c r="A951">
        <v>51</v>
      </c>
      <c r="B951" s="2" t="s">
        <v>247</v>
      </c>
      <c r="C951" s="1">
        <v>53.25</v>
      </c>
      <c r="D951" s="1">
        <v>3.4</v>
      </c>
      <c r="E951" s="19">
        <v>6.82</v>
      </c>
      <c r="F951" s="4">
        <v>787979</v>
      </c>
      <c r="G951" s="5">
        <v>43173</v>
      </c>
    </row>
    <row r="952" spans="1:7" x14ac:dyDescent="0.4">
      <c r="A952">
        <v>52</v>
      </c>
      <c r="B952" s="2" t="s">
        <v>248</v>
      </c>
      <c r="C952" s="1">
        <v>4.25</v>
      </c>
      <c r="D952" s="1">
        <v>0.27</v>
      </c>
      <c r="E952" s="19">
        <v>6.78</v>
      </c>
      <c r="F952" s="4">
        <v>2891705</v>
      </c>
      <c r="G952" s="5">
        <v>43173</v>
      </c>
    </row>
    <row r="953" spans="1:7" x14ac:dyDescent="0.4">
      <c r="A953">
        <v>53</v>
      </c>
      <c r="B953" s="2" t="s">
        <v>65</v>
      </c>
      <c r="C953" s="1">
        <v>2.88</v>
      </c>
      <c r="D953" s="1">
        <v>0.18</v>
      </c>
      <c r="E953" s="19">
        <v>6.67</v>
      </c>
      <c r="F953" s="4">
        <v>370510</v>
      </c>
      <c r="G953" s="5">
        <v>43173</v>
      </c>
    </row>
    <row r="954" spans="1:7" x14ac:dyDescent="0.4">
      <c r="A954">
        <v>54</v>
      </c>
      <c r="B954" s="2" t="s">
        <v>190</v>
      </c>
      <c r="C954" s="1">
        <v>3.21</v>
      </c>
      <c r="D954" s="1">
        <v>0.2</v>
      </c>
      <c r="E954" s="19">
        <v>6.64</v>
      </c>
      <c r="F954" s="4">
        <v>38130</v>
      </c>
      <c r="G954" s="5">
        <v>43173</v>
      </c>
    </row>
    <row r="955" spans="1:7" x14ac:dyDescent="0.4">
      <c r="A955">
        <v>55</v>
      </c>
      <c r="B955" s="2" t="s">
        <v>201</v>
      </c>
      <c r="C955" s="1">
        <v>10.9</v>
      </c>
      <c r="D955" s="1">
        <v>0.65</v>
      </c>
      <c r="E955" s="19">
        <v>6.34</v>
      </c>
      <c r="F955" s="4">
        <v>9061</v>
      </c>
      <c r="G955" s="5">
        <v>43173</v>
      </c>
    </row>
    <row r="956" spans="1:7" x14ac:dyDescent="0.4">
      <c r="A956">
        <v>56</v>
      </c>
      <c r="B956" s="2" t="s">
        <v>249</v>
      </c>
      <c r="C956" s="1">
        <v>7.97</v>
      </c>
      <c r="D956" s="1">
        <v>0.47</v>
      </c>
      <c r="E956" s="19">
        <v>6.27</v>
      </c>
      <c r="F956" s="4">
        <v>44360</v>
      </c>
      <c r="G956" s="5">
        <v>43173</v>
      </c>
    </row>
    <row r="957" spans="1:7" x14ac:dyDescent="0.4">
      <c r="A957">
        <v>57</v>
      </c>
      <c r="B957" s="2" t="s">
        <v>250</v>
      </c>
      <c r="C957" s="1">
        <v>3.09</v>
      </c>
      <c r="D957" s="1">
        <v>0.18</v>
      </c>
      <c r="E957" s="19">
        <v>6.19</v>
      </c>
      <c r="F957" s="4">
        <v>14202</v>
      </c>
      <c r="G957" s="5">
        <v>43173</v>
      </c>
    </row>
    <row r="958" spans="1:7" x14ac:dyDescent="0.4">
      <c r="A958">
        <v>58</v>
      </c>
      <c r="B958" s="2" t="s">
        <v>251</v>
      </c>
      <c r="C958" s="1">
        <v>2.86</v>
      </c>
      <c r="D958" s="1">
        <v>0.16</v>
      </c>
      <c r="E958" s="19">
        <v>6.09</v>
      </c>
      <c r="F958" s="4">
        <v>7822</v>
      </c>
      <c r="G958" s="5">
        <v>43173</v>
      </c>
    </row>
    <row r="959" spans="1:7" x14ac:dyDescent="0.4">
      <c r="A959">
        <v>59</v>
      </c>
      <c r="B959" s="2" t="s">
        <v>252</v>
      </c>
      <c r="C959" s="1">
        <v>4.04</v>
      </c>
      <c r="D959" s="1">
        <v>0.23</v>
      </c>
      <c r="E959" s="19">
        <v>6.04</v>
      </c>
      <c r="F959" s="4">
        <v>121211</v>
      </c>
      <c r="G959" s="5">
        <v>43173</v>
      </c>
    </row>
    <row r="960" spans="1:7" x14ac:dyDescent="0.4">
      <c r="A960">
        <v>60</v>
      </c>
      <c r="B960" s="2" t="s">
        <v>253</v>
      </c>
      <c r="C960" s="1">
        <v>9.52</v>
      </c>
      <c r="D960" s="1">
        <v>0.54</v>
      </c>
      <c r="E960" s="19">
        <v>6.01</v>
      </c>
      <c r="F960" s="4">
        <v>654145</v>
      </c>
      <c r="G960" s="5">
        <v>43173</v>
      </c>
    </row>
    <row r="961" spans="1:7" x14ac:dyDescent="0.4">
      <c r="A961">
        <v>61</v>
      </c>
      <c r="B961" s="2" t="s">
        <v>254</v>
      </c>
      <c r="C961" s="1">
        <v>8.31</v>
      </c>
      <c r="D961" s="1">
        <v>0.47</v>
      </c>
      <c r="E961" s="19">
        <v>5.99</v>
      </c>
      <c r="F961" s="4">
        <v>35865</v>
      </c>
      <c r="G961" s="5">
        <v>43173</v>
      </c>
    </row>
    <row r="962" spans="1:7" x14ac:dyDescent="0.4">
      <c r="A962">
        <v>62</v>
      </c>
      <c r="B962" s="2" t="s">
        <v>119</v>
      </c>
      <c r="C962" s="1">
        <v>24.11</v>
      </c>
      <c r="D962" s="1">
        <v>1.36</v>
      </c>
      <c r="E962" s="19">
        <v>5.98</v>
      </c>
      <c r="F962" s="4">
        <v>107453</v>
      </c>
      <c r="G962" s="5">
        <v>43173</v>
      </c>
    </row>
    <row r="963" spans="1:7" x14ac:dyDescent="0.4">
      <c r="A963">
        <v>63</v>
      </c>
      <c r="B963" s="2" t="s">
        <v>255</v>
      </c>
      <c r="C963" s="1">
        <v>7.63</v>
      </c>
      <c r="D963" s="1">
        <v>0.43</v>
      </c>
      <c r="E963" s="19">
        <v>5.97</v>
      </c>
      <c r="F963" s="4">
        <v>21508</v>
      </c>
      <c r="G963" s="5">
        <v>43173</v>
      </c>
    </row>
    <row r="964" spans="1:7" x14ac:dyDescent="0.4">
      <c r="A964">
        <v>64</v>
      </c>
      <c r="B964" s="2" t="s">
        <v>256</v>
      </c>
      <c r="C964" s="1">
        <v>60.95</v>
      </c>
      <c r="D964" s="1">
        <v>3.4</v>
      </c>
      <c r="E964" s="19">
        <v>5.91</v>
      </c>
      <c r="F964" s="4">
        <v>717634</v>
      </c>
      <c r="G964" s="5">
        <v>43173</v>
      </c>
    </row>
    <row r="965" spans="1:7" x14ac:dyDescent="0.4">
      <c r="A965">
        <v>65</v>
      </c>
      <c r="B965" s="2" t="s">
        <v>257</v>
      </c>
      <c r="C965" s="1">
        <v>9.1999999999999993</v>
      </c>
      <c r="D965" s="1">
        <v>0.51</v>
      </c>
      <c r="E965" s="19">
        <v>5.87</v>
      </c>
      <c r="F965" s="4">
        <v>2793166</v>
      </c>
      <c r="G965" s="5">
        <v>43173</v>
      </c>
    </row>
    <row r="966" spans="1:7" x14ac:dyDescent="0.4">
      <c r="A966">
        <v>66</v>
      </c>
      <c r="B966" s="2" t="s">
        <v>258</v>
      </c>
      <c r="C966" s="1">
        <v>48.73</v>
      </c>
      <c r="D966" s="1">
        <v>2.69</v>
      </c>
      <c r="E966" s="19">
        <v>5.84</v>
      </c>
      <c r="F966" s="4">
        <v>2805269</v>
      </c>
      <c r="G966" s="5">
        <v>43173</v>
      </c>
    </row>
    <row r="967" spans="1:7" x14ac:dyDescent="0.4">
      <c r="A967">
        <v>67</v>
      </c>
      <c r="B967" s="2" t="s">
        <v>259</v>
      </c>
      <c r="C967" s="1">
        <v>7.35</v>
      </c>
      <c r="D967" s="1">
        <v>0.4</v>
      </c>
      <c r="E967" s="19">
        <v>5.76</v>
      </c>
      <c r="F967" s="4">
        <v>1356881</v>
      </c>
      <c r="G967" s="5">
        <v>43173</v>
      </c>
    </row>
    <row r="968" spans="1:7" x14ac:dyDescent="0.4">
      <c r="A968">
        <v>68</v>
      </c>
      <c r="B968" s="2" t="s">
        <v>260</v>
      </c>
      <c r="C968" s="1">
        <v>25.49</v>
      </c>
      <c r="D968" s="1">
        <v>1.37</v>
      </c>
      <c r="E968" s="19">
        <v>5.68</v>
      </c>
      <c r="F968" s="4">
        <v>885975</v>
      </c>
      <c r="G968" s="5">
        <v>43173</v>
      </c>
    </row>
    <row r="969" spans="1:7" x14ac:dyDescent="0.4">
      <c r="A969">
        <v>69</v>
      </c>
      <c r="B969" s="2" t="s">
        <v>261</v>
      </c>
      <c r="C969" s="1">
        <v>5.42</v>
      </c>
      <c r="D969" s="1">
        <v>0.28999999999999998</v>
      </c>
      <c r="E969" s="19">
        <v>5.65</v>
      </c>
      <c r="F969" s="4">
        <v>1458344</v>
      </c>
      <c r="G969" s="5">
        <v>43173</v>
      </c>
    </row>
    <row r="970" spans="1:7" x14ac:dyDescent="0.4">
      <c r="A970">
        <v>70</v>
      </c>
      <c r="B970" s="2" t="s">
        <v>262</v>
      </c>
      <c r="C970" s="1">
        <v>53.99</v>
      </c>
      <c r="D970" s="1">
        <v>2.88</v>
      </c>
      <c r="E970" s="19">
        <v>5.63</v>
      </c>
      <c r="F970" s="4">
        <v>496043</v>
      </c>
      <c r="G970" s="5">
        <v>43173</v>
      </c>
    </row>
    <row r="971" spans="1:7" x14ac:dyDescent="0.4">
      <c r="A971">
        <v>71</v>
      </c>
      <c r="B971" s="2" t="s">
        <v>263</v>
      </c>
      <c r="C971" s="1">
        <v>10.96</v>
      </c>
      <c r="D971" s="1">
        <v>0.57999999999999996</v>
      </c>
      <c r="E971" s="19">
        <v>5.59</v>
      </c>
      <c r="F971" s="4">
        <v>629922</v>
      </c>
      <c r="G971" s="5">
        <v>43173</v>
      </c>
    </row>
    <row r="972" spans="1:7" x14ac:dyDescent="0.4">
      <c r="A972">
        <v>72</v>
      </c>
      <c r="B972" s="2" t="s">
        <v>264</v>
      </c>
      <c r="C972" s="1">
        <v>16.95</v>
      </c>
      <c r="D972" s="1">
        <v>0.87</v>
      </c>
      <c r="E972" s="19">
        <v>5.41</v>
      </c>
      <c r="F972" s="4">
        <v>18614761</v>
      </c>
      <c r="G972" s="5">
        <v>43173</v>
      </c>
    </row>
    <row r="973" spans="1:7" x14ac:dyDescent="0.4">
      <c r="A973">
        <v>73</v>
      </c>
      <c r="B973" s="2" t="s">
        <v>265</v>
      </c>
      <c r="C973" s="1">
        <v>9.2100000000000009</v>
      </c>
      <c r="D973" s="1">
        <v>0.47</v>
      </c>
      <c r="E973" s="19">
        <v>5.38</v>
      </c>
      <c r="F973" s="4">
        <v>621619</v>
      </c>
      <c r="G973" s="5">
        <v>43173</v>
      </c>
    </row>
    <row r="974" spans="1:7" x14ac:dyDescent="0.4">
      <c r="A974">
        <v>74</v>
      </c>
      <c r="B974" s="2" t="s">
        <v>266</v>
      </c>
      <c r="C974" s="1">
        <v>3.14</v>
      </c>
      <c r="D974" s="1">
        <v>0.16</v>
      </c>
      <c r="E974" s="19">
        <v>5.37</v>
      </c>
      <c r="F974" s="4">
        <v>2906617</v>
      </c>
      <c r="G974" s="5">
        <v>43173</v>
      </c>
    </row>
    <row r="975" spans="1:7" x14ac:dyDescent="0.4">
      <c r="A975">
        <v>75</v>
      </c>
      <c r="B975" s="2" t="s">
        <v>267</v>
      </c>
      <c r="C975" s="1">
        <v>54.61</v>
      </c>
      <c r="D975" s="1">
        <v>2.78</v>
      </c>
      <c r="E975" s="19">
        <v>5.36</v>
      </c>
      <c r="F975" s="4">
        <v>21743098</v>
      </c>
      <c r="G975" s="5">
        <v>43173</v>
      </c>
    </row>
    <row r="976" spans="1:7" x14ac:dyDescent="0.4">
      <c r="A976">
        <v>76</v>
      </c>
      <c r="B976" s="2" t="s">
        <v>133</v>
      </c>
      <c r="C976" s="1">
        <v>12.79</v>
      </c>
      <c r="D976" s="1">
        <v>0.64</v>
      </c>
      <c r="E976" s="19">
        <v>5.27</v>
      </c>
      <c r="F976" s="4">
        <v>130451</v>
      </c>
      <c r="G976" s="5">
        <v>43173</v>
      </c>
    </row>
    <row r="977" spans="1:7" x14ac:dyDescent="0.4">
      <c r="A977">
        <v>77</v>
      </c>
      <c r="B977" s="2" t="s">
        <v>268</v>
      </c>
      <c r="C977" s="1">
        <v>17.420000000000002</v>
      </c>
      <c r="D977" s="1">
        <v>0.87</v>
      </c>
      <c r="E977" s="19">
        <v>5.26</v>
      </c>
      <c r="F977" s="4">
        <v>377603</v>
      </c>
      <c r="G977" s="5">
        <v>43173</v>
      </c>
    </row>
    <row r="978" spans="1:7" x14ac:dyDescent="0.4">
      <c r="A978">
        <v>78</v>
      </c>
      <c r="B978" s="2" t="s">
        <v>269</v>
      </c>
      <c r="C978" s="1">
        <v>7.65</v>
      </c>
      <c r="D978" s="1">
        <v>0.38</v>
      </c>
      <c r="E978" s="19">
        <v>5.23</v>
      </c>
      <c r="F978" s="4">
        <v>3055359</v>
      </c>
      <c r="G978" s="5">
        <v>43173</v>
      </c>
    </row>
    <row r="979" spans="1:7" x14ac:dyDescent="0.4">
      <c r="A979">
        <v>79</v>
      </c>
      <c r="B979" s="2" t="s">
        <v>270</v>
      </c>
      <c r="C979" s="1">
        <v>25.77</v>
      </c>
      <c r="D979" s="1">
        <v>1.26</v>
      </c>
      <c r="E979" s="19">
        <v>5.14</v>
      </c>
      <c r="F979" s="4">
        <v>1446484</v>
      </c>
      <c r="G979" s="5">
        <v>43173</v>
      </c>
    </row>
    <row r="980" spans="1:7" x14ac:dyDescent="0.4">
      <c r="A980">
        <v>80</v>
      </c>
      <c r="B980" s="2" t="s">
        <v>271</v>
      </c>
      <c r="C980" s="1">
        <v>34.57</v>
      </c>
      <c r="D980" s="1">
        <v>1.69</v>
      </c>
      <c r="E980" s="19">
        <v>5.14</v>
      </c>
      <c r="F980" s="4">
        <v>11548626</v>
      </c>
      <c r="G980" s="5">
        <v>43173</v>
      </c>
    </row>
    <row r="981" spans="1:7" x14ac:dyDescent="0.4">
      <c r="A981">
        <v>81</v>
      </c>
      <c r="B981" s="2" t="s">
        <v>272</v>
      </c>
      <c r="C981" s="1">
        <v>9.25</v>
      </c>
      <c r="D981" s="1">
        <v>0.45</v>
      </c>
      <c r="E981" s="19">
        <v>5.1100000000000003</v>
      </c>
      <c r="F981" s="4">
        <v>852364</v>
      </c>
      <c r="G981" s="5">
        <v>43173</v>
      </c>
    </row>
    <row r="982" spans="1:7" x14ac:dyDescent="0.4">
      <c r="A982">
        <v>82</v>
      </c>
      <c r="B982" s="2" t="s">
        <v>273</v>
      </c>
      <c r="C982" s="1">
        <v>7.25</v>
      </c>
      <c r="D982" s="1">
        <v>0.35</v>
      </c>
      <c r="E982" s="19">
        <v>5.07</v>
      </c>
      <c r="F982" s="4">
        <v>531387</v>
      </c>
      <c r="G982" s="5">
        <v>43173</v>
      </c>
    </row>
    <row r="983" spans="1:7" x14ac:dyDescent="0.4">
      <c r="A983">
        <v>83</v>
      </c>
      <c r="B983" s="2" t="s">
        <v>274</v>
      </c>
      <c r="C983" s="1">
        <v>3.54</v>
      </c>
      <c r="D983" s="1">
        <v>0.17</v>
      </c>
      <c r="E983" s="19">
        <v>5.04</v>
      </c>
      <c r="F983" s="4">
        <v>53201</v>
      </c>
      <c r="G983" s="5">
        <v>43173</v>
      </c>
    </row>
    <row r="984" spans="1:7" x14ac:dyDescent="0.4">
      <c r="A984">
        <v>84</v>
      </c>
      <c r="B984" s="2" t="s">
        <v>275</v>
      </c>
      <c r="C984" s="1">
        <v>16.77</v>
      </c>
      <c r="D984" s="1">
        <v>0.8</v>
      </c>
      <c r="E984" s="19">
        <v>5.01</v>
      </c>
      <c r="F984" s="4">
        <v>2103</v>
      </c>
      <c r="G984" s="5">
        <v>43173</v>
      </c>
    </row>
    <row r="985" spans="1:7" x14ac:dyDescent="0.4">
      <c r="A985">
        <v>85</v>
      </c>
      <c r="B985" s="2" t="s">
        <v>276</v>
      </c>
      <c r="C985" s="1">
        <v>5.25</v>
      </c>
      <c r="D985" s="1">
        <v>0.25</v>
      </c>
      <c r="E985" s="19">
        <v>5</v>
      </c>
      <c r="F985" s="4">
        <v>13577467</v>
      </c>
      <c r="G985" s="5">
        <v>43173</v>
      </c>
    </row>
    <row r="986" spans="1:7" x14ac:dyDescent="0.4">
      <c r="A986">
        <v>86</v>
      </c>
      <c r="B986" s="2" t="s">
        <v>124</v>
      </c>
      <c r="C986" s="1">
        <v>4.2</v>
      </c>
      <c r="D986" s="1">
        <v>0.2</v>
      </c>
      <c r="E986" s="19">
        <v>5</v>
      </c>
      <c r="F986" s="4">
        <v>119307</v>
      </c>
      <c r="G986" s="5">
        <v>43173</v>
      </c>
    </row>
    <row r="987" spans="1:7" x14ac:dyDescent="0.4">
      <c r="A987">
        <v>87</v>
      </c>
      <c r="B987" s="2" t="s">
        <v>277</v>
      </c>
      <c r="C987" s="1">
        <v>85</v>
      </c>
      <c r="D987" s="1">
        <v>4.04</v>
      </c>
      <c r="E987" s="19">
        <v>4.99</v>
      </c>
      <c r="F987" s="4">
        <v>483519</v>
      </c>
      <c r="G987" s="5">
        <v>43173</v>
      </c>
    </row>
    <row r="988" spans="1:7" x14ac:dyDescent="0.4">
      <c r="A988">
        <v>88</v>
      </c>
      <c r="B988" s="2" t="s">
        <v>33</v>
      </c>
      <c r="C988" s="1">
        <v>4.83</v>
      </c>
      <c r="D988" s="1">
        <v>0.23</v>
      </c>
      <c r="E988" s="19">
        <v>4.97</v>
      </c>
      <c r="F988" s="4">
        <v>2365</v>
      </c>
      <c r="G988" s="5">
        <v>43173</v>
      </c>
    </row>
    <row r="989" spans="1:7" x14ac:dyDescent="0.4">
      <c r="A989">
        <v>89</v>
      </c>
      <c r="B989" s="2" t="s">
        <v>278</v>
      </c>
      <c r="C989" s="1">
        <v>14.94</v>
      </c>
      <c r="D989" s="1">
        <v>0.7</v>
      </c>
      <c r="E989" s="19">
        <v>4.92</v>
      </c>
      <c r="F989" s="4">
        <v>76082</v>
      </c>
      <c r="G989" s="5">
        <v>43173</v>
      </c>
    </row>
    <row r="990" spans="1:7" x14ac:dyDescent="0.4">
      <c r="A990">
        <v>90</v>
      </c>
      <c r="B990" s="2" t="s">
        <v>279</v>
      </c>
      <c r="C990" s="1">
        <v>7.3</v>
      </c>
      <c r="D990" s="1">
        <v>0.34</v>
      </c>
      <c r="E990" s="19">
        <v>4.8899999999999997</v>
      </c>
      <c r="F990" s="4">
        <v>65815</v>
      </c>
      <c r="G990" s="5">
        <v>43173</v>
      </c>
    </row>
    <row r="991" spans="1:7" ht="29.15" x14ac:dyDescent="0.4">
      <c r="A991">
        <v>91</v>
      </c>
      <c r="B991" s="2" t="s">
        <v>280</v>
      </c>
      <c r="C991" s="1">
        <v>27.08</v>
      </c>
      <c r="D991" s="1">
        <v>1.26</v>
      </c>
      <c r="E991" s="19">
        <v>4.88</v>
      </c>
      <c r="F991" s="4">
        <v>2608343</v>
      </c>
      <c r="G991" s="5">
        <v>43173</v>
      </c>
    </row>
    <row r="992" spans="1:7" x14ac:dyDescent="0.4">
      <c r="A992">
        <v>92</v>
      </c>
      <c r="B992" s="2" t="s">
        <v>281</v>
      </c>
      <c r="C992" s="1">
        <v>2.15</v>
      </c>
      <c r="D992" s="1">
        <v>0.1</v>
      </c>
      <c r="E992" s="19">
        <v>4.88</v>
      </c>
      <c r="F992" s="4">
        <v>146225</v>
      </c>
      <c r="G992" s="5">
        <v>43173</v>
      </c>
    </row>
    <row r="993" spans="1:7" x14ac:dyDescent="0.4">
      <c r="A993">
        <v>93</v>
      </c>
      <c r="B993" s="2" t="s">
        <v>282</v>
      </c>
      <c r="C993" s="1">
        <v>2.15</v>
      </c>
      <c r="D993" s="1">
        <v>0.1</v>
      </c>
      <c r="E993" s="19">
        <v>4.88</v>
      </c>
      <c r="F993" s="4">
        <v>4477</v>
      </c>
      <c r="G993" s="5">
        <v>43173</v>
      </c>
    </row>
    <row r="994" spans="1:7" x14ac:dyDescent="0.4">
      <c r="A994">
        <v>94</v>
      </c>
      <c r="B994" s="2" t="s">
        <v>283</v>
      </c>
      <c r="C994" s="1">
        <v>6.12</v>
      </c>
      <c r="D994" s="1">
        <v>0.28000000000000003</v>
      </c>
      <c r="E994" s="19">
        <v>4.79</v>
      </c>
      <c r="F994" s="4">
        <v>116149</v>
      </c>
      <c r="G994" s="5">
        <v>43173</v>
      </c>
    </row>
    <row r="995" spans="1:7" x14ac:dyDescent="0.4">
      <c r="A995">
        <v>95</v>
      </c>
      <c r="B995" s="2" t="s">
        <v>284</v>
      </c>
      <c r="C995" s="1">
        <v>7</v>
      </c>
      <c r="D995" s="1">
        <v>0.32</v>
      </c>
      <c r="E995" s="19">
        <v>4.79</v>
      </c>
      <c r="F995" s="4">
        <v>166973</v>
      </c>
      <c r="G995" s="5">
        <v>43173</v>
      </c>
    </row>
    <row r="996" spans="1:7" x14ac:dyDescent="0.4">
      <c r="A996">
        <v>96</v>
      </c>
      <c r="B996" s="2" t="s">
        <v>205</v>
      </c>
      <c r="C996" s="1">
        <v>2.65</v>
      </c>
      <c r="D996" s="1">
        <v>0.12</v>
      </c>
      <c r="E996" s="19">
        <v>4.74</v>
      </c>
      <c r="F996" s="4">
        <v>72964</v>
      </c>
      <c r="G996" s="5">
        <v>43173</v>
      </c>
    </row>
    <row r="997" spans="1:7" x14ac:dyDescent="0.4">
      <c r="A997">
        <v>97</v>
      </c>
      <c r="B997" s="2" t="s">
        <v>285</v>
      </c>
      <c r="C997" s="1">
        <v>6.65</v>
      </c>
      <c r="D997" s="1">
        <v>0.3</v>
      </c>
      <c r="E997" s="19">
        <v>4.72</v>
      </c>
      <c r="F997" s="4">
        <v>44203</v>
      </c>
      <c r="G997" s="5">
        <v>43173</v>
      </c>
    </row>
    <row r="998" spans="1:7" x14ac:dyDescent="0.4">
      <c r="A998">
        <v>98</v>
      </c>
      <c r="B998" s="2" t="s">
        <v>286</v>
      </c>
      <c r="C998" s="1">
        <v>2.67</v>
      </c>
      <c r="D998" s="1">
        <v>0.12</v>
      </c>
      <c r="E998" s="19">
        <v>4.71</v>
      </c>
      <c r="F998" s="4">
        <v>447062</v>
      </c>
      <c r="G998" s="5">
        <v>43173</v>
      </c>
    </row>
    <row r="999" spans="1:7" x14ac:dyDescent="0.4">
      <c r="A999">
        <v>99</v>
      </c>
      <c r="B999" s="2" t="s">
        <v>287</v>
      </c>
      <c r="C999" s="1">
        <v>4.2699999999999996</v>
      </c>
      <c r="D999" s="1">
        <v>0.19</v>
      </c>
      <c r="E999" s="19">
        <v>4.66</v>
      </c>
      <c r="F999" s="4">
        <v>23796</v>
      </c>
      <c r="G999" s="5">
        <v>43173</v>
      </c>
    </row>
    <row r="1000" spans="1:7" x14ac:dyDescent="0.4">
      <c r="A1000">
        <v>100</v>
      </c>
      <c r="B1000" s="2" t="s">
        <v>288</v>
      </c>
      <c r="C1000" s="1">
        <v>137.80000000000001</v>
      </c>
      <c r="D1000" s="1">
        <v>6.05</v>
      </c>
      <c r="E1000" s="19">
        <v>4.59</v>
      </c>
      <c r="F1000" s="4">
        <v>458077</v>
      </c>
      <c r="G1000" s="5">
        <v>43173</v>
      </c>
    </row>
    <row r="1001" spans="1:7" x14ac:dyDescent="0.4">
      <c r="A1001">
        <v>1</v>
      </c>
      <c r="B1001" t="s">
        <v>25</v>
      </c>
      <c r="C1001" s="1">
        <v>47.99</v>
      </c>
      <c r="D1001" s="1">
        <v>36.32</v>
      </c>
      <c r="E1001" s="19">
        <v>311.23</v>
      </c>
      <c r="F1001" s="4">
        <v>13778728</v>
      </c>
      <c r="G1001" s="5">
        <v>43173</v>
      </c>
    </row>
    <row r="1002" spans="1:7" x14ac:dyDescent="0.4">
      <c r="A1002">
        <v>2</v>
      </c>
      <c r="B1002" t="s">
        <v>289</v>
      </c>
      <c r="C1002" s="1">
        <v>7.25</v>
      </c>
      <c r="D1002" s="1">
        <v>2.31</v>
      </c>
      <c r="E1002" s="19">
        <v>46.76</v>
      </c>
      <c r="F1002" s="4">
        <v>4290504</v>
      </c>
      <c r="G1002" s="5">
        <v>43174</v>
      </c>
    </row>
    <row r="1003" spans="1:7" x14ac:dyDescent="0.4">
      <c r="A1003">
        <v>3</v>
      </c>
      <c r="B1003" t="s">
        <v>290</v>
      </c>
      <c r="C1003" s="3">
        <v>4.4000000000000004</v>
      </c>
      <c r="D1003" s="1">
        <v>1.35</v>
      </c>
      <c r="E1003" s="19">
        <v>44.26</v>
      </c>
      <c r="F1003" s="4">
        <v>636271</v>
      </c>
      <c r="G1003" s="5">
        <v>43174</v>
      </c>
    </row>
    <row r="1004" spans="1:7" x14ac:dyDescent="0.4">
      <c r="A1004">
        <v>4</v>
      </c>
      <c r="B1004" t="s">
        <v>291</v>
      </c>
      <c r="C1004" s="1">
        <v>28.14</v>
      </c>
      <c r="D1004" s="1">
        <v>7.8</v>
      </c>
      <c r="E1004" s="19">
        <v>38.35</v>
      </c>
      <c r="F1004" s="4">
        <v>2566251</v>
      </c>
      <c r="G1004" s="5">
        <v>43174</v>
      </c>
    </row>
    <row r="1005" spans="1:7" x14ac:dyDescent="0.4">
      <c r="A1005">
        <v>5</v>
      </c>
      <c r="B1005" t="s">
        <v>115</v>
      </c>
      <c r="C1005" s="1">
        <v>7.36</v>
      </c>
      <c r="D1005" s="1">
        <v>1.58</v>
      </c>
      <c r="E1005" s="19">
        <v>27.34</v>
      </c>
      <c r="F1005" s="4">
        <v>659866</v>
      </c>
      <c r="G1005" s="5">
        <v>43174</v>
      </c>
    </row>
    <row r="1006" spans="1:7" x14ac:dyDescent="0.4">
      <c r="A1006">
        <v>6</v>
      </c>
      <c r="B1006" t="s">
        <v>292</v>
      </c>
      <c r="C1006" s="1">
        <v>3.65</v>
      </c>
      <c r="D1006" s="1">
        <v>0.7</v>
      </c>
      <c r="E1006" s="19">
        <v>23.73</v>
      </c>
      <c r="F1006" s="4">
        <v>1037877</v>
      </c>
      <c r="G1006" s="5">
        <v>43174</v>
      </c>
    </row>
    <row r="1007" spans="1:7" x14ac:dyDescent="0.4">
      <c r="A1007">
        <v>7</v>
      </c>
      <c r="B1007" t="s">
        <v>293</v>
      </c>
      <c r="C1007" s="1">
        <v>27.2</v>
      </c>
      <c r="D1007" s="1">
        <v>4.7</v>
      </c>
      <c r="E1007" s="19">
        <v>20.89</v>
      </c>
      <c r="F1007" s="4">
        <v>1090755</v>
      </c>
      <c r="G1007" s="5">
        <v>43174</v>
      </c>
    </row>
    <row r="1008" spans="1:7" x14ac:dyDescent="0.4">
      <c r="A1008">
        <v>8</v>
      </c>
      <c r="B1008" t="s">
        <v>294</v>
      </c>
      <c r="C1008" s="1">
        <v>32.049999999999997</v>
      </c>
      <c r="D1008" s="1">
        <v>5.13</v>
      </c>
      <c r="E1008" s="19">
        <v>19.059999999999999</v>
      </c>
      <c r="F1008" s="4">
        <v>935467</v>
      </c>
      <c r="G1008" s="5">
        <v>43174</v>
      </c>
    </row>
    <row r="1009" spans="1:7" x14ac:dyDescent="0.4">
      <c r="A1009">
        <v>9</v>
      </c>
      <c r="B1009" t="s">
        <v>265</v>
      </c>
      <c r="C1009" s="1">
        <v>10.94</v>
      </c>
      <c r="D1009" s="1">
        <v>1.73</v>
      </c>
      <c r="E1009" s="19">
        <v>18.78</v>
      </c>
      <c r="F1009" s="4">
        <v>5938162</v>
      </c>
      <c r="G1009" s="5">
        <v>43174</v>
      </c>
    </row>
    <row r="1010" spans="1:7" x14ac:dyDescent="0.4">
      <c r="A1010">
        <v>10</v>
      </c>
      <c r="B1010" t="s">
        <v>295</v>
      </c>
      <c r="C1010" s="1">
        <v>37.64</v>
      </c>
      <c r="D1010" s="1">
        <v>5.71</v>
      </c>
      <c r="E1010" s="19">
        <v>17.88</v>
      </c>
      <c r="F1010" s="4">
        <v>148822</v>
      </c>
      <c r="G1010" s="5">
        <v>43174</v>
      </c>
    </row>
    <row r="1011" spans="1:7" x14ac:dyDescent="0.4">
      <c r="A1011">
        <v>11</v>
      </c>
      <c r="B1011" t="s">
        <v>205</v>
      </c>
      <c r="C1011" s="1">
        <v>3.1</v>
      </c>
      <c r="D1011" s="1">
        <v>0.45</v>
      </c>
      <c r="E1011" s="19">
        <v>16.98</v>
      </c>
      <c r="F1011" s="4">
        <v>484161</v>
      </c>
      <c r="G1011" s="5">
        <v>43174</v>
      </c>
    </row>
    <row r="1012" spans="1:7" x14ac:dyDescent="0.4">
      <c r="A1012">
        <v>12</v>
      </c>
      <c r="B1012" t="s">
        <v>40</v>
      </c>
      <c r="C1012" s="1">
        <v>3.84</v>
      </c>
      <c r="D1012" s="1">
        <v>0.55000000000000004</v>
      </c>
      <c r="E1012" s="19">
        <v>16.72</v>
      </c>
      <c r="F1012" s="4">
        <v>10760</v>
      </c>
      <c r="G1012" s="5">
        <v>43174</v>
      </c>
    </row>
    <row r="1013" spans="1:7" x14ac:dyDescent="0.4">
      <c r="A1013">
        <v>13</v>
      </c>
      <c r="B1013" t="s">
        <v>131</v>
      </c>
      <c r="C1013" s="1">
        <v>3.06</v>
      </c>
      <c r="D1013" s="1">
        <v>0.41</v>
      </c>
      <c r="E1013" s="19">
        <v>15.47</v>
      </c>
      <c r="F1013" s="4">
        <v>37887</v>
      </c>
      <c r="G1013" s="5">
        <v>43174</v>
      </c>
    </row>
    <row r="1014" spans="1:7" x14ac:dyDescent="0.4">
      <c r="A1014">
        <v>14</v>
      </c>
      <c r="B1014" t="s">
        <v>296</v>
      </c>
      <c r="C1014" s="1">
        <v>6.81</v>
      </c>
      <c r="D1014" s="1">
        <v>0.9</v>
      </c>
      <c r="E1014" s="19">
        <v>15.23</v>
      </c>
      <c r="F1014" s="4">
        <v>277509</v>
      </c>
      <c r="G1014" s="5">
        <v>43174</v>
      </c>
    </row>
    <row r="1015" spans="1:7" x14ac:dyDescent="0.4">
      <c r="A1015">
        <v>15</v>
      </c>
      <c r="B1015" t="s">
        <v>297</v>
      </c>
      <c r="C1015" s="1">
        <v>17</v>
      </c>
      <c r="D1015" s="1">
        <v>2</v>
      </c>
      <c r="E1015" s="19">
        <v>13.33</v>
      </c>
      <c r="F1015" s="4">
        <v>5580323</v>
      </c>
      <c r="G1015" s="5">
        <v>43174</v>
      </c>
    </row>
    <row r="1016" spans="1:7" x14ac:dyDescent="0.4">
      <c r="A1016">
        <v>16</v>
      </c>
      <c r="B1016" t="s">
        <v>298</v>
      </c>
      <c r="C1016" s="1">
        <v>2.67</v>
      </c>
      <c r="D1016" s="1">
        <v>0.31</v>
      </c>
      <c r="E1016" s="19">
        <v>13.14</v>
      </c>
      <c r="F1016" s="4">
        <v>1474813</v>
      </c>
      <c r="G1016" s="5">
        <v>43174</v>
      </c>
    </row>
    <row r="1017" spans="1:7" x14ac:dyDescent="0.4">
      <c r="A1017">
        <v>17</v>
      </c>
      <c r="B1017" t="s">
        <v>299</v>
      </c>
      <c r="C1017" s="1">
        <v>6.9</v>
      </c>
      <c r="D1017" s="1">
        <v>0.75</v>
      </c>
      <c r="E1017" s="19">
        <v>12.2</v>
      </c>
      <c r="F1017" s="4">
        <v>507625</v>
      </c>
      <c r="G1017" s="5">
        <v>43174</v>
      </c>
    </row>
    <row r="1018" spans="1:7" x14ac:dyDescent="0.4">
      <c r="A1018">
        <v>18</v>
      </c>
      <c r="B1018" t="s">
        <v>300</v>
      </c>
      <c r="C1018" s="1">
        <v>2.58</v>
      </c>
      <c r="D1018" s="1">
        <v>0.28000000000000003</v>
      </c>
      <c r="E1018" s="19">
        <v>12.17</v>
      </c>
      <c r="F1018" s="4">
        <v>356215</v>
      </c>
      <c r="G1018" s="5">
        <v>43174</v>
      </c>
    </row>
    <row r="1019" spans="1:7" x14ac:dyDescent="0.4">
      <c r="A1019">
        <v>19</v>
      </c>
      <c r="B1019" t="s">
        <v>210</v>
      </c>
      <c r="C1019" s="1">
        <v>5.0999999999999996</v>
      </c>
      <c r="D1019" s="1">
        <v>0.55000000000000004</v>
      </c>
      <c r="E1019" s="19">
        <v>12.09</v>
      </c>
      <c r="F1019" s="4">
        <v>3962931</v>
      </c>
      <c r="G1019" s="5">
        <v>43174</v>
      </c>
    </row>
    <row r="1020" spans="1:7" x14ac:dyDescent="0.4">
      <c r="A1020">
        <v>20</v>
      </c>
      <c r="B1020" t="s">
        <v>301</v>
      </c>
      <c r="C1020" s="1">
        <v>4.93</v>
      </c>
      <c r="D1020" s="1">
        <v>0.52</v>
      </c>
      <c r="E1020" s="19">
        <v>11.84</v>
      </c>
      <c r="F1020" s="4">
        <v>65378</v>
      </c>
      <c r="G1020" s="5">
        <v>43174</v>
      </c>
    </row>
    <row r="1021" spans="1:7" x14ac:dyDescent="0.4">
      <c r="A1021">
        <v>21</v>
      </c>
      <c r="B1021" t="s">
        <v>302</v>
      </c>
      <c r="C1021" s="1">
        <v>38.700000000000003</v>
      </c>
      <c r="D1021" s="1">
        <v>3.8</v>
      </c>
      <c r="E1021" s="19">
        <v>10.89</v>
      </c>
      <c r="F1021" s="4">
        <v>3324695</v>
      </c>
      <c r="G1021" s="5">
        <v>43174</v>
      </c>
    </row>
    <row r="1022" spans="1:7" x14ac:dyDescent="0.4">
      <c r="A1022">
        <v>22</v>
      </c>
      <c r="B1022" t="s">
        <v>266</v>
      </c>
      <c r="C1022" s="1">
        <v>3.48</v>
      </c>
      <c r="D1022" s="1">
        <v>0.34</v>
      </c>
      <c r="E1022" s="19">
        <v>10.83</v>
      </c>
      <c r="F1022" s="4">
        <v>10383885</v>
      </c>
      <c r="G1022" s="5">
        <v>43174</v>
      </c>
    </row>
    <row r="1023" spans="1:7" x14ac:dyDescent="0.4">
      <c r="A1023">
        <v>23</v>
      </c>
      <c r="B1023" t="s">
        <v>303</v>
      </c>
      <c r="C1023" s="1">
        <v>2.57</v>
      </c>
      <c r="D1023" s="1">
        <v>0.24</v>
      </c>
      <c r="E1023" s="19">
        <v>10.3</v>
      </c>
      <c r="F1023" s="4">
        <v>344732</v>
      </c>
      <c r="G1023" s="5">
        <v>43174</v>
      </c>
    </row>
    <row r="1024" spans="1:7" x14ac:dyDescent="0.4">
      <c r="A1024">
        <v>24</v>
      </c>
      <c r="B1024" t="s">
        <v>304</v>
      </c>
      <c r="C1024" s="1">
        <v>3.87</v>
      </c>
      <c r="D1024" s="1">
        <v>0.36</v>
      </c>
      <c r="E1024" s="19">
        <v>10.26</v>
      </c>
      <c r="F1024" s="4">
        <v>25659</v>
      </c>
      <c r="G1024" s="5">
        <v>43174</v>
      </c>
    </row>
    <row r="1025" spans="1:7" x14ac:dyDescent="0.4">
      <c r="A1025">
        <v>25</v>
      </c>
      <c r="B1025" t="s">
        <v>305</v>
      </c>
      <c r="C1025" s="1">
        <v>4.43</v>
      </c>
      <c r="D1025" s="1">
        <v>0.41</v>
      </c>
      <c r="E1025" s="19">
        <v>10.17</v>
      </c>
      <c r="F1025" s="4">
        <v>259378</v>
      </c>
      <c r="G1025" s="5">
        <v>43174</v>
      </c>
    </row>
    <row r="1026" spans="1:7" x14ac:dyDescent="0.4">
      <c r="A1026">
        <v>26</v>
      </c>
      <c r="B1026" t="s">
        <v>306</v>
      </c>
      <c r="C1026" s="1">
        <v>3.85</v>
      </c>
      <c r="D1026" s="1">
        <v>0.35</v>
      </c>
      <c r="E1026" s="19">
        <v>10</v>
      </c>
      <c r="F1026" s="4">
        <v>910305</v>
      </c>
      <c r="G1026" s="5">
        <v>43174</v>
      </c>
    </row>
    <row r="1027" spans="1:7" x14ac:dyDescent="0.4">
      <c r="A1027">
        <v>27</v>
      </c>
      <c r="B1027" t="s">
        <v>307</v>
      </c>
      <c r="C1027" s="1">
        <v>57.68</v>
      </c>
      <c r="D1027" s="1">
        <v>5.1100000000000003</v>
      </c>
      <c r="E1027" s="19">
        <v>9.7200000000000006</v>
      </c>
      <c r="F1027" s="4">
        <v>500102</v>
      </c>
      <c r="G1027" s="5">
        <v>43174</v>
      </c>
    </row>
    <row r="1028" spans="1:7" x14ac:dyDescent="0.4">
      <c r="A1028">
        <v>28</v>
      </c>
      <c r="B1028" t="s">
        <v>28</v>
      </c>
      <c r="C1028" s="1">
        <v>12.5</v>
      </c>
      <c r="D1028" s="1">
        <v>1.1000000000000001</v>
      </c>
      <c r="E1028" s="19">
        <v>9.65</v>
      </c>
      <c r="F1028" s="4">
        <v>265099</v>
      </c>
      <c r="G1028" s="5">
        <v>43174</v>
      </c>
    </row>
    <row r="1029" spans="1:7" x14ac:dyDescent="0.4">
      <c r="A1029">
        <v>29</v>
      </c>
      <c r="B1029" t="s">
        <v>308</v>
      </c>
      <c r="C1029" s="1">
        <v>13.49</v>
      </c>
      <c r="D1029" s="1">
        <v>1.08</v>
      </c>
      <c r="E1029" s="19">
        <v>8.73</v>
      </c>
      <c r="F1029" s="4">
        <v>3528</v>
      </c>
      <c r="G1029" s="5">
        <v>43174</v>
      </c>
    </row>
    <row r="1030" spans="1:7" x14ac:dyDescent="0.4">
      <c r="A1030">
        <v>30</v>
      </c>
      <c r="B1030" t="s">
        <v>309</v>
      </c>
      <c r="C1030" s="1">
        <v>2.5</v>
      </c>
      <c r="D1030" s="1">
        <v>0.2</v>
      </c>
      <c r="E1030" s="19">
        <v>8.6999999999999993</v>
      </c>
      <c r="F1030" s="4">
        <v>30395</v>
      </c>
      <c r="G1030" s="5">
        <v>43174</v>
      </c>
    </row>
    <row r="1031" spans="1:7" x14ac:dyDescent="0.4">
      <c r="A1031">
        <v>31</v>
      </c>
      <c r="B1031" t="s">
        <v>310</v>
      </c>
      <c r="C1031" s="1">
        <v>4.84</v>
      </c>
      <c r="D1031" s="1">
        <v>0.37</v>
      </c>
      <c r="E1031" s="19">
        <v>8.2799999999999994</v>
      </c>
      <c r="F1031" s="4">
        <v>1798124</v>
      </c>
      <c r="G1031" s="5">
        <v>43174</v>
      </c>
    </row>
    <row r="1032" spans="1:7" x14ac:dyDescent="0.4">
      <c r="A1032">
        <v>32</v>
      </c>
      <c r="B1032" t="s">
        <v>311</v>
      </c>
      <c r="C1032" s="1">
        <v>6.25</v>
      </c>
      <c r="D1032" s="1">
        <v>0.47</v>
      </c>
      <c r="E1032" s="19">
        <v>8.1300000000000008</v>
      </c>
      <c r="F1032" s="4">
        <v>903055</v>
      </c>
      <c r="G1032" s="5">
        <v>43174</v>
      </c>
    </row>
    <row r="1033" spans="1:7" x14ac:dyDescent="0.4">
      <c r="A1033">
        <v>33</v>
      </c>
      <c r="B1033" t="s">
        <v>118</v>
      </c>
      <c r="C1033" s="1">
        <v>7.08</v>
      </c>
      <c r="D1033" s="1">
        <v>0.53</v>
      </c>
      <c r="E1033" s="19">
        <v>8.01</v>
      </c>
      <c r="F1033" s="4">
        <v>15573584</v>
      </c>
      <c r="G1033" s="5">
        <v>43174</v>
      </c>
    </row>
    <row r="1034" spans="1:7" x14ac:dyDescent="0.4">
      <c r="A1034">
        <v>34</v>
      </c>
      <c r="B1034" t="s">
        <v>312</v>
      </c>
      <c r="C1034" s="1">
        <v>14.77</v>
      </c>
      <c r="D1034" s="1">
        <v>1.08</v>
      </c>
      <c r="E1034" s="19">
        <v>7.89</v>
      </c>
      <c r="F1034" s="4">
        <v>60547</v>
      </c>
      <c r="G1034" s="5">
        <v>43174</v>
      </c>
    </row>
    <row r="1035" spans="1:7" x14ac:dyDescent="0.4">
      <c r="A1035">
        <v>35</v>
      </c>
      <c r="B1035" t="s">
        <v>313</v>
      </c>
      <c r="C1035" s="1">
        <v>17.45</v>
      </c>
      <c r="D1035" s="1">
        <v>1.26</v>
      </c>
      <c r="E1035" s="19">
        <v>7.78</v>
      </c>
      <c r="F1035" s="4">
        <v>2862</v>
      </c>
      <c r="G1035" s="5">
        <v>43174</v>
      </c>
    </row>
    <row r="1036" spans="1:7" x14ac:dyDescent="0.4">
      <c r="A1036">
        <v>36</v>
      </c>
      <c r="B1036" t="s">
        <v>74</v>
      </c>
      <c r="C1036" s="1">
        <v>22</v>
      </c>
      <c r="D1036" s="1">
        <v>1.58</v>
      </c>
      <c r="E1036" s="19">
        <v>7.74</v>
      </c>
      <c r="F1036" s="4">
        <v>7357</v>
      </c>
      <c r="G1036" s="5">
        <v>43174</v>
      </c>
    </row>
    <row r="1037" spans="1:7" x14ac:dyDescent="0.4">
      <c r="A1037">
        <v>37</v>
      </c>
      <c r="B1037" t="s">
        <v>44</v>
      </c>
      <c r="C1037" s="1">
        <v>33.590000000000003</v>
      </c>
      <c r="D1037" s="1">
        <v>2.39</v>
      </c>
      <c r="E1037" s="19">
        <v>7.66</v>
      </c>
      <c r="F1037" s="4">
        <v>1506367</v>
      </c>
      <c r="G1037" s="5">
        <v>43174</v>
      </c>
    </row>
    <row r="1038" spans="1:7" x14ac:dyDescent="0.4">
      <c r="A1038">
        <v>38</v>
      </c>
      <c r="B1038" t="s">
        <v>137</v>
      </c>
      <c r="C1038" s="1">
        <v>4.28</v>
      </c>
      <c r="D1038" s="1">
        <v>0.3</v>
      </c>
      <c r="E1038" s="19">
        <v>7.54</v>
      </c>
      <c r="F1038" s="4">
        <v>3091870</v>
      </c>
      <c r="G1038" s="5">
        <v>43174</v>
      </c>
    </row>
    <row r="1039" spans="1:7" x14ac:dyDescent="0.4">
      <c r="A1039">
        <v>39</v>
      </c>
      <c r="B1039" t="s">
        <v>314</v>
      </c>
      <c r="C1039" s="1">
        <v>8.31</v>
      </c>
      <c r="D1039" s="1">
        <v>0.56999999999999995</v>
      </c>
      <c r="E1039" s="19">
        <v>7.36</v>
      </c>
      <c r="F1039" s="4">
        <v>415692</v>
      </c>
      <c r="G1039" s="5">
        <v>43174</v>
      </c>
    </row>
    <row r="1040" spans="1:7" x14ac:dyDescent="0.4">
      <c r="A1040">
        <v>40</v>
      </c>
      <c r="B1040" t="s">
        <v>315</v>
      </c>
      <c r="C1040" s="1">
        <v>3.67</v>
      </c>
      <c r="D1040" s="1">
        <v>0.25</v>
      </c>
      <c r="E1040" s="19">
        <v>7.31</v>
      </c>
      <c r="F1040" s="4">
        <v>446602</v>
      </c>
      <c r="G1040" s="5">
        <v>43174</v>
      </c>
    </row>
    <row r="1041" spans="1:7" x14ac:dyDescent="0.4">
      <c r="A1041">
        <v>41</v>
      </c>
      <c r="B1041" t="s">
        <v>316</v>
      </c>
      <c r="C1041" s="1">
        <v>26.55</v>
      </c>
      <c r="D1041" s="1">
        <v>1.8</v>
      </c>
      <c r="E1041" s="19">
        <v>7.27</v>
      </c>
      <c r="F1041" s="4">
        <v>13691</v>
      </c>
      <c r="G1041" s="5">
        <v>43174</v>
      </c>
    </row>
    <row r="1042" spans="1:7" x14ac:dyDescent="0.4">
      <c r="A1042">
        <v>42</v>
      </c>
      <c r="B1042" t="s">
        <v>317</v>
      </c>
      <c r="C1042" s="1">
        <v>17</v>
      </c>
      <c r="D1042" s="1">
        <v>1.1499999999999999</v>
      </c>
      <c r="E1042" s="19">
        <v>7.26</v>
      </c>
      <c r="F1042" s="4">
        <v>21488</v>
      </c>
      <c r="G1042" s="5">
        <v>43174</v>
      </c>
    </row>
    <row r="1043" spans="1:7" x14ac:dyDescent="0.4">
      <c r="A1043">
        <v>43</v>
      </c>
      <c r="B1043" t="s">
        <v>318</v>
      </c>
      <c r="C1043" s="1">
        <v>29.69</v>
      </c>
      <c r="D1043" s="1">
        <v>1.99</v>
      </c>
      <c r="E1043" s="19">
        <v>7.18</v>
      </c>
      <c r="F1043" s="4">
        <v>20087</v>
      </c>
      <c r="G1043" s="5">
        <v>43174</v>
      </c>
    </row>
    <row r="1044" spans="1:7" x14ac:dyDescent="0.4">
      <c r="A1044">
        <v>44</v>
      </c>
      <c r="B1044" t="s">
        <v>319</v>
      </c>
      <c r="C1044" s="1">
        <v>8.48</v>
      </c>
      <c r="D1044" s="1">
        <v>0.56000000000000005</v>
      </c>
      <c r="E1044" s="19">
        <v>7.13</v>
      </c>
      <c r="F1044" s="4">
        <v>5052</v>
      </c>
      <c r="G1044" s="5">
        <v>43174</v>
      </c>
    </row>
    <row r="1045" spans="1:7" x14ac:dyDescent="0.4">
      <c r="A1045">
        <v>45</v>
      </c>
      <c r="B1045" t="s">
        <v>76</v>
      </c>
      <c r="C1045" s="1">
        <v>4.07</v>
      </c>
      <c r="D1045" s="1">
        <v>0.27</v>
      </c>
      <c r="E1045" s="19">
        <v>7.1</v>
      </c>
      <c r="F1045" s="4">
        <v>117303</v>
      </c>
      <c r="G1045" s="5">
        <v>43174</v>
      </c>
    </row>
    <row r="1046" spans="1:7" x14ac:dyDescent="0.4">
      <c r="A1046">
        <v>46</v>
      </c>
      <c r="B1046" t="s">
        <v>320</v>
      </c>
      <c r="C1046" s="1">
        <v>4.08</v>
      </c>
      <c r="D1046" s="1">
        <v>0.27</v>
      </c>
      <c r="E1046" s="19">
        <v>7.09</v>
      </c>
      <c r="F1046" s="4">
        <v>2499136</v>
      </c>
      <c r="G1046" s="5">
        <v>43174</v>
      </c>
    </row>
    <row r="1047" spans="1:7" x14ac:dyDescent="0.4">
      <c r="A1047">
        <v>47</v>
      </c>
      <c r="B1047" t="s">
        <v>321</v>
      </c>
      <c r="C1047" s="1">
        <v>17.22</v>
      </c>
      <c r="D1047" s="1">
        <v>1.1299999999999999</v>
      </c>
      <c r="E1047" s="19">
        <v>7.02</v>
      </c>
      <c r="F1047" s="4">
        <v>44345</v>
      </c>
      <c r="G1047" s="5">
        <v>43174</v>
      </c>
    </row>
    <row r="1048" spans="1:7" x14ac:dyDescent="0.4">
      <c r="A1048">
        <v>48</v>
      </c>
      <c r="B1048" t="s">
        <v>322</v>
      </c>
      <c r="C1048" s="1">
        <v>8.4</v>
      </c>
      <c r="D1048" s="1">
        <v>0.55000000000000004</v>
      </c>
      <c r="E1048" s="19">
        <v>7.01</v>
      </c>
      <c r="F1048" s="4">
        <v>102730</v>
      </c>
      <c r="G1048" s="5">
        <v>43174</v>
      </c>
    </row>
    <row r="1049" spans="1:7" x14ac:dyDescent="0.4">
      <c r="A1049">
        <v>49</v>
      </c>
      <c r="B1049" t="s">
        <v>323</v>
      </c>
      <c r="C1049" s="1">
        <v>4.4400000000000004</v>
      </c>
      <c r="D1049" s="1">
        <v>0.28999999999999998</v>
      </c>
      <c r="E1049" s="19">
        <v>6.99</v>
      </c>
      <c r="F1049" s="4">
        <v>3903</v>
      </c>
      <c r="G1049" s="5">
        <v>43174</v>
      </c>
    </row>
    <row r="1050" spans="1:7" x14ac:dyDescent="0.4">
      <c r="A1050">
        <v>50</v>
      </c>
      <c r="B1050" t="s">
        <v>324</v>
      </c>
      <c r="C1050" s="1">
        <v>6.62</v>
      </c>
      <c r="D1050" s="1">
        <v>0.43</v>
      </c>
      <c r="E1050" s="19">
        <v>6.95</v>
      </c>
      <c r="F1050" s="4">
        <v>110277</v>
      </c>
      <c r="G1050" s="5">
        <v>43174</v>
      </c>
    </row>
    <row r="1051" spans="1:7" x14ac:dyDescent="0.4">
      <c r="A1051">
        <v>51</v>
      </c>
      <c r="B1051" t="s">
        <v>325</v>
      </c>
      <c r="C1051" s="1">
        <v>14.8</v>
      </c>
      <c r="D1051" s="1">
        <v>0.95</v>
      </c>
      <c r="E1051" s="19">
        <v>6.86</v>
      </c>
      <c r="F1051" s="4">
        <v>65735</v>
      </c>
      <c r="G1051" s="5">
        <v>43174</v>
      </c>
    </row>
    <row r="1052" spans="1:7" x14ac:dyDescent="0.4">
      <c r="A1052">
        <v>52</v>
      </c>
      <c r="B1052" t="s">
        <v>217</v>
      </c>
      <c r="C1052" s="1">
        <v>5.47</v>
      </c>
      <c r="D1052" s="1">
        <v>0.35</v>
      </c>
      <c r="E1052" s="19">
        <v>6.84</v>
      </c>
      <c r="F1052" s="4">
        <v>66552</v>
      </c>
      <c r="G1052" s="5">
        <v>43174</v>
      </c>
    </row>
    <row r="1053" spans="1:7" x14ac:dyDescent="0.4">
      <c r="A1053">
        <v>53</v>
      </c>
      <c r="B1053" t="s">
        <v>326</v>
      </c>
      <c r="C1053" s="1">
        <v>4.87</v>
      </c>
      <c r="D1053" s="1">
        <v>0.31</v>
      </c>
      <c r="E1053" s="19">
        <v>6.8</v>
      </c>
      <c r="F1053" s="4">
        <v>1096910</v>
      </c>
      <c r="G1053" s="5">
        <v>43174</v>
      </c>
    </row>
    <row r="1054" spans="1:7" x14ac:dyDescent="0.4">
      <c r="A1054">
        <v>54</v>
      </c>
      <c r="B1054" t="s">
        <v>327</v>
      </c>
      <c r="C1054" s="1">
        <v>21</v>
      </c>
      <c r="D1054" s="1">
        <v>1.33</v>
      </c>
      <c r="E1054" s="19">
        <v>6.76</v>
      </c>
      <c r="F1054" s="4">
        <v>1188712</v>
      </c>
      <c r="G1054" s="5">
        <v>43174</v>
      </c>
    </row>
    <row r="1055" spans="1:7" x14ac:dyDescent="0.4">
      <c r="A1055">
        <v>55</v>
      </c>
      <c r="B1055" t="s">
        <v>328</v>
      </c>
      <c r="C1055" s="1">
        <v>9.0500000000000007</v>
      </c>
      <c r="D1055" s="1">
        <v>0.56999999999999995</v>
      </c>
      <c r="E1055" s="19">
        <v>6.72</v>
      </c>
      <c r="F1055" s="4">
        <v>126444</v>
      </c>
      <c r="G1055" s="5">
        <v>43174</v>
      </c>
    </row>
    <row r="1056" spans="1:7" x14ac:dyDescent="0.4">
      <c r="A1056">
        <v>56</v>
      </c>
      <c r="B1056" t="s">
        <v>221</v>
      </c>
      <c r="C1056" s="1">
        <v>2.5499999999999998</v>
      </c>
      <c r="D1056" s="1">
        <v>0.15</v>
      </c>
      <c r="E1056" s="19">
        <v>6.25</v>
      </c>
      <c r="F1056" s="4">
        <v>19344</v>
      </c>
      <c r="G1056" s="5">
        <v>43174</v>
      </c>
    </row>
    <row r="1057" spans="1:7" x14ac:dyDescent="0.4">
      <c r="A1057">
        <v>57</v>
      </c>
      <c r="B1057" t="s">
        <v>329</v>
      </c>
      <c r="C1057" s="1">
        <v>5.0999999999999996</v>
      </c>
      <c r="D1057" s="1">
        <v>0.3</v>
      </c>
      <c r="E1057" s="19">
        <v>6.25</v>
      </c>
      <c r="F1057" s="4">
        <v>1910906</v>
      </c>
      <c r="G1057" s="5">
        <v>43174</v>
      </c>
    </row>
    <row r="1058" spans="1:7" x14ac:dyDescent="0.4">
      <c r="A1058">
        <v>58</v>
      </c>
      <c r="B1058" t="s">
        <v>330</v>
      </c>
      <c r="C1058" s="1">
        <v>2.1800000000000002</v>
      </c>
      <c r="D1058" s="1">
        <v>0.13</v>
      </c>
      <c r="E1058" s="19">
        <v>6.24</v>
      </c>
      <c r="F1058" s="4">
        <v>5232</v>
      </c>
      <c r="G1058" s="5">
        <v>43174</v>
      </c>
    </row>
    <row r="1059" spans="1:7" x14ac:dyDescent="0.4">
      <c r="A1059">
        <v>59</v>
      </c>
      <c r="B1059" t="s">
        <v>331</v>
      </c>
      <c r="C1059" s="1">
        <v>23.72</v>
      </c>
      <c r="D1059" s="1">
        <v>1.39</v>
      </c>
      <c r="E1059" s="19">
        <v>6.22</v>
      </c>
      <c r="F1059" s="4">
        <v>190280</v>
      </c>
      <c r="G1059" s="5">
        <v>43174</v>
      </c>
    </row>
    <row r="1060" spans="1:7" x14ac:dyDescent="0.4">
      <c r="A1060">
        <v>60</v>
      </c>
      <c r="B1060" t="s">
        <v>332</v>
      </c>
      <c r="C1060" s="1">
        <v>56.53</v>
      </c>
      <c r="D1060" s="1">
        <v>3.25</v>
      </c>
      <c r="E1060" s="19">
        <v>6.1</v>
      </c>
      <c r="F1060" s="4">
        <v>2850482</v>
      </c>
      <c r="G1060" s="5">
        <v>43174</v>
      </c>
    </row>
    <row r="1061" spans="1:7" x14ac:dyDescent="0.4">
      <c r="A1061">
        <v>61</v>
      </c>
      <c r="B1061" t="s">
        <v>333</v>
      </c>
      <c r="C1061" s="1">
        <v>4.03</v>
      </c>
      <c r="D1061" s="1">
        <v>0.23</v>
      </c>
      <c r="E1061" s="19">
        <v>6.05</v>
      </c>
      <c r="F1061" s="4">
        <v>788286</v>
      </c>
      <c r="G1061" s="5">
        <v>43174</v>
      </c>
    </row>
    <row r="1062" spans="1:7" x14ac:dyDescent="0.4">
      <c r="A1062">
        <v>62</v>
      </c>
      <c r="B1062" t="s">
        <v>334</v>
      </c>
      <c r="C1062" s="1">
        <v>3.34</v>
      </c>
      <c r="D1062" s="1">
        <v>0.19</v>
      </c>
      <c r="E1062" s="19">
        <v>6.03</v>
      </c>
      <c r="F1062" s="4">
        <v>12463</v>
      </c>
      <c r="G1062" s="5">
        <v>43174</v>
      </c>
    </row>
    <row r="1063" spans="1:7" x14ac:dyDescent="0.4">
      <c r="A1063">
        <v>63</v>
      </c>
      <c r="B1063" t="s">
        <v>27</v>
      </c>
      <c r="C1063" s="1">
        <v>3.35</v>
      </c>
      <c r="D1063" s="1">
        <v>0.19</v>
      </c>
      <c r="E1063" s="19">
        <v>6.01</v>
      </c>
      <c r="F1063" s="4">
        <v>33584</v>
      </c>
      <c r="G1063" s="5">
        <v>43174</v>
      </c>
    </row>
    <row r="1064" spans="1:7" x14ac:dyDescent="0.4">
      <c r="A1064">
        <v>64</v>
      </c>
      <c r="B1064" t="s">
        <v>122</v>
      </c>
      <c r="C1064" s="1">
        <v>14.68</v>
      </c>
      <c r="D1064" s="1">
        <v>0.83</v>
      </c>
      <c r="E1064" s="19">
        <v>5.98</v>
      </c>
      <c r="F1064" s="4">
        <v>444039</v>
      </c>
      <c r="G1064" s="5">
        <v>43174</v>
      </c>
    </row>
    <row r="1065" spans="1:7" x14ac:dyDescent="0.4">
      <c r="A1065">
        <v>65</v>
      </c>
      <c r="B1065" t="s">
        <v>159</v>
      </c>
      <c r="C1065" s="1">
        <v>2.3199999999999998</v>
      </c>
      <c r="D1065" s="1">
        <v>0.13</v>
      </c>
      <c r="E1065" s="19">
        <v>5.94</v>
      </c>
      <c r="F1065" s="4">
        <v>39102</v>
      </c>
      <c r="G1065" s="5">
        <v>43174</v>
      </c>
    </row>
    <row r="1066" spans="1:7" x14ac:dyDescent="0.4">
      <c r="A1066">
        <v>66</v>
      </c>
      <c r="B1066" t="s">
        <v>335</v>
      </c>
      <c r="C1066" s="1">
        <v>5.37</v>
      </c>
      <c r="D1066" s="1">
        <v>0.3</v>
      </c>
      <c r="E1066" s="19">
        <v>5.92</v>
      </c>
      <c r="F1066" s="4">
        <v>14982</v>
      </c>
      <c r="G1066" s="5">
        <v>43174</v>
      </c>
    </row>
    <row r="1067" spans="1:7" x14ac:dyDescent="0.4">
      <c r="A1067">
        <v>67</v>
      </c>
      <c r="B1067" t="s">
        <v>69</v>
      </c>
      <c r="C1067" s="1">
        <v>7.72</v>
      </c>
      <c r="D1067" s="1">
        <v>0.43</v>
      </c>
      <c r="E1067" s="19">
        <v>5.9</v>
      </c>
      <c r="F1067" s="4">
        <v>294752</v>
      </c>
      <c r="G1067" s="5">
        <v>43174</v>
      </c>
    </row>
    <row r="1068" spans="1:7" x14ac:dyDescent="0.4">
      <c r="A1068">
        <v>68</v>
      </c>
      <c r="B1068" t="s">
        <v>336</v>
      </c>
      <c r="C1068" s="1">
        <v>42.16</v>
      </c>
      <c r="D1068" s="1">
        <v>2.34</v>
      </c>
      <c r="E1068" s="19">
        <v>5.88</v>
      </c>
      <c r="F1068" s="4">
        <v>999610</v>
      </c>
      <c r="G1068" s="5">
        <v>43174</v>
      </c>
    </row>
    <row r="1069" spans="1:7" x14ac:dyDescent="0.4">
      <c r="A1069">
        <v>69</v>
      </c>
      <c r="B1069" t="s">
        <v>212</v>
      </c>
      <c r="C1069" s="1">
        <v>3.07</v>
      </c>
      <c r="D1069" s="1">
        <v>0.17</v>
      </c>
      <c r="E1069" s="19">
        <v>5.86</v>
      </c>
      <c r="F1069" s="4">
        <v>1840221</v>
      </c>
      <c r="G1069" s="5">
        <v>43174</v>
      </c>
    </row>
    <row r="1070" spans="1:7" x14ac:dyDescent="0.4">
      <c r="A1070">
        <v>70</v>
      </c>
      <c r="B1070" t="s">
        <v>337</v>
      </c>
      <c r="C1070" s="1">
        <v>12.86</v>
      </c>
      <c r="D1070" s="1">
        <v>0.71</v>
      </c>
      <c r="E1070" s="19">
        <v>5.84</v>
      </c>
      <c r="F1070" s="4">
        <v>8091018</v>
      </c>
      <c r="G1070" s="5">
        <v>43174</v>
      </c>
    </row>
    <row r="1071" spans="1:7" x14ac:dyDescent="0.4">
      <c r="A1071">
        <v>71</v>
      </c>
      <c r="B1071" t="s">
        <v>31</v>
      </c>
      <c r="C1071" s="1">
        <v>12.1</v>
      </c>
      <c r="D1071" s="1">
        <v>0.65</v>
      </c>
      <c r="E1071" s="19">
        <v>5.68</v>
      </c>
      <c r="F1071" s="4">
        <v>551839</v>
      </c>
      <c r="G1071" s="5">
        <v>43174</v>
      </c>
    </row>
    <row r="1072" spans="1:7" x14ac:dyDescent="0.4">
      <c r="A1072">
        <v>72</v>
      </c>
      <c r="B1072" t="s">
        <v>338</v>
      </c>
      <c r="C1072" s="1">
        <v>2.8</v>
      </c>
      <c r="D1072" s="1">
        <v>0.15</v>
      </c>
      <c r="E1072" s="19">
        <v>5.66</v>
      </c>
      <c r="F1072" s="4">
        <v>71767</v>
      </c>
      <c r="G1072" s="5">
        <v>43174</v>
      </c>
    </row>
    <row r="1073" spans="1:7" x14ac:dyDescent="0.4">
      <c r="A1073">
        <v>73</v>
      </c>
      <c r="B1073" t="s">
        <v>50</v>
      </c>
      <c r="C1073" s="1">
        <v>5.05</v>
      </c>
      <c r="D1073" s="1">
        <v>0.27</v>
      </c>
      <c r="E1073" s="19">
        <v>5.65</v>
      </c>
      <c r="F1073" s="4">
        <v>355266</v>
      </c>
      <c r="G1073" s="5">
        <v>43174</v>
      </c>
    </row>
    <row r="1074" spans="1:7" x14ac:dyDescent="0.4">
      <c r="A1074">
        <v>74</v>
      </c>
      <c r="B1074" t="s">
        <v>339</v>
      </c>
      <c r="C1074" s="1">
        <v>24.39</v>
      </c>
      <c r="D1074" s="1">
        <v>1.3</v>
      </c>
      <c r="E1074" s="19">
        <v>5.63</v>
      </c>
      <c r="F1074" s="4">
        <v>23565</v>
      </c>
      <c r="G1074" s="5">
        <v>43174</v>
      </c>
    </row>
    <row r="1075" spans="1:7" x14ac:dyDescent="0.4">
      <c r="A1075">
        <v>75</v>
      </c>
      <c r="B1075" t="s">
        <v>340</v>
      </c>
      <c r="C1075" s="1">
        <v>4.5199999999999996</v>
      </c>
      <c r="D1075" s="1">
        <v>0.24</v>
      </c>
      <c r="E1075" s="19">
        <v>5.61</v>
      </c>
      <c r="F1075" s="4">
        <v>47221</v>
      </c>
      <c r="G1075" s="5">
        <v>43174</v>
      </c>
    </row>
    <row r="1076" spans="1:7" x14ac:dyDescent="0.4">
      <c r="A1076">
        <v>76</v>
      </c>
      <c r="B1076" t="s">
        <v>341</v>
      </c>
      <c r="C1076" s="1">
        <v>36.25</v>
      </c>
      <c r="D1076" s="1">
        <v>1.91</v>
      </c>
      <c r="E1076" s="19">
        <v>5.56</v>
      </c>
      <c r="F1076" s="4">
        <v>391187</v>
      </c>
      <c r="G1076" s="5">
        <v>43174</v>
      </c>
    </row>
    <row r="1077" spans="1:7" x14ac:dyDescent="0.4">
      <c r="A1077">
        <v>77</v>
      </c>
      <c r="B1077" t="s">
        <v>342</v>
      </c>
      <c r="C1077" s="1">
        <v>6.28</v>
      </c>
      <c r="D1077" s="1">
        <v>0.33</v>
      </c>
      <c r="E1077" s="19">
        <v>5.55</v>
      </c>
      <c r="F1077" s="4">
        <v>23064</v>
      </c>
      <c r="G1077" s="5">
        <v>43174</v>
      </c>
    </row>
    <row r="1078" spans="1:7" x14ac:dyDescent="0.4">
      <c r="A1078">
        <v>78</v>
      </c>
      <c r="B1078" t="s">
        <v>343</v>
      </c>
      <c r="C1078" s="1">
        <v>3.43</v>
      </c>
      <c r="D1078" s="1">
        <v>0.18</v>
      </c>
      <c r="E1078" s="19">
        <v>5.54</v>
      </c>
      <c r="F1078" s="4">
        <v>7762</v>
      </c>
      <c r="G1078" s="5">
        <v>43174</v>
      </c>
    </row>
    <row r="1079" spans="1:7" x14ac:dyDescent="0.4">
      <c r="A1079">
        <v>79</v>
      </c>
      <c r="B1079" t="s">
        <v>344</v>
      </c>
      <c r="C1079" s="1">
        <v>12.7</v>
      </c>
      <c r="D1079" s="1">
        <v>0.66</v>
      </c>
      <c r="E1079" s="19">
        <v>5.48</v>
      </c>
      <c r="F1079" s="4">
        <v>164999</v>
      </c>
      <c r="G1079" s="5">
        <v>43174</v>
      </c>
    </row>
    <row r="1080" spans="1:7" x14ac:dyDescent="0.4">
      <c r="A1080">
        <v>80</v>
      </c>
      <c r="B1080" t="s">
        <v>119</v>
      </c>
      <c r="C1080" s="1">
        <v>25.43</v>
      </c>
      <c r="D1080" s="1">
        <v>1.32</v>
      </c>
      <c r="E1080" s="19">
        <v>5.47</v>
      </c>
      <c r="F1080" s="4">
        <v>160410</v>
      </c>
      <c r="G1080" s="5">
        <v>43174</v>
      </c>
    </row>
    <row r="1081" spans="1:7" x14ac:dyDescent="0.4">
      <c r="A1081">
        <v>81</v>
      </c>
      <c r="B1081" t="s">
        <v>280</v>
      </c>
      <c r="C1081" s="1">
        <v>28.56</v>
      </c>
      <c r="D1081" s="1">
        <v>1.48</v>
      </c>
      <c r="E1081" s="19">
        <v>5.47</v>
      </c>
      <c r="F1081" s="4">
        <v>2639600</v>
      </c>
      <c r="G1081" s="5">
        <v>43174</v>
      </c>
    </row>
    <row r="1082" spans="1:7" x14ac:dyDescent="0.4">
      <c r="A1082">
        <v>82</v>
      </c>
      <c r="B1082" t="s">
        <v>214</v>
      </c>
      <c r="C1082" s="1">
        <v>6.61</v>
      </c>
      <c r="D1082" s="1">
        <v>0.34</v>
      </c>
      <c r="E1082" s="19">
        <v>5.42</v>
      </c>
      <c r="F1082" s="4">
        <v>5877407</v>
      </c>
      <c r="G1082" s="5">
        <v>43174</v>
      </c>
    </row>
    <row r="1083" spans="1:7" x14ac:dyDescent="0.4">
      <c r="A1083">
        <v>83</v>
      </c>
      <c r="B1083" t="s">
        <v>345</v>
      </c>
      <c r="C1083" s="1">
        <v>4.2</v>
      </c>
      <c r="D1083" s="1">
        <v>0.21</v>
      </c>
      <c r="E1083" s="19">
        <v>5.26</v>
      </c>
      <c r="F1083" s="4">
        <v>2434694</v>
      </c>
      <c r="G1083" s="5">
        <v>43174</v>
      </c>
    </row>
    <row r="1084" spans="1:7" x14ac:dyDescent="0.4">
      <c r="A1084">
        <v>84</v>
      </c>
      <c r="B1084" t="s">
        <v>179</v>
      </c>
      <c r="C1084" s="1">
        <v>6.11</v>
      </c>
      <c r="D1084" s="1">
        <v>0.3</v>
      </c>
      <c r="E1084" s="19">
        <v>5.16</v>
      </c>
      <c r="F1084" s="4">
        <v>19957</v>
      </c>
      <c r="G1084" s="5">
        <v>43174</v>
      </c>
    </row>
    <row r="1085" spans="1:7" x14ac:dyDescent="0.4">
      <c r="A1085">
        <v>85</v>
      </c>
      <c r="B1085" t="s">
        <v>155</v>
      </c>
      <c r="C1085" s="1">
        <v>17.149999999999999</v>
      </c>
      <c r="D1085" s="1">
        <v>0.84</v>
      </c>
      <c r="E1085" s="19">
        <v>5.15</v>
      </c>
      <c r="F1085" s="4">
        <v>143240</v>
      </c>
      <c r="G1085" s="5">
        <v>43174</v>
      </c>
    </row>
    <row r="1086" spans="1:7" x14ac:dyDescent="0.4">
      <c r="A1086">
        <v>86</v>
      </c>
      <c r="B1086" t="s">
        <v>21</v>
      </c>
      <c r="C1086" s="1">
        <v>17.45</v>
      </c>
      <c r="D1086" s="1">
        <v>0.85</v>
      </c>
      <c r="E1086" s="19">
        <v>5.12</v>
      </c>
      <c r="F1086" s="4">
        <v>102404</v>
      </c>
      <c r="G1086" s="5">
        <v>43174</v>
      </c>
    </row>
    <row r="1087" spans="1:7" x14ac:dyDescent="0.4">
      <c r="A1087">
        <v>87</v>
      </c>
      <c r="B1087" t="s">
        <v>346</v>
      </c>
      <c r="C1087" s="1">
        <v>6.41</v>
      </c>
      <c r="D1087" s="1">
        <v>0.31</v>
      </c>
      <c r="E1087" s="19">
        <v>5.08</v>
      </c>
      <c r="F1087" s="4">
        <v>82529</v>
      </c>
      <c r="G1087" s="5">
        <v>43174</v>
      </c>
    </row>
    <row r="1088" spans="1:7" x14ac:dyDescent="0.4">
      <c r="A1088">
        <v>88</v>
      </c>
      <c r="B1088" t="s">
        <v>135</v>
      </c>
      <c r="C1088" s="1">
        <v>2.3199999999999998</v>
      </c>
      <c r="D1088" s="1">
        <v>0.11</v>
      </c>
      <c r="E1088" s="19">
        <v>4.9800000000000004</v>
      </c>
      <c r="F1088" s="4">
        <v>292391</v>
      </c>
      <c r="G1088" s="5">
        <v>43174</v>
      </c>
    </row>
    <row r="1089" spans="1:7" x14ac:dyDescent="0.4">
      <c r="A1089">
        <v>89</v>
      </c>
      <c r="B1089" t="s">
        <v>347</v>
      </c>
      <c r="C1089" s="1">
        <v>4.46</v>
      </c>
      <c r="D1089" s="1">
        <v>0.21</v>
      </c>
      <c r="E1089" s="19">
        <v>4.9400000000000004</v>
      </c>
      <c r="F1089" s="4">
        <v>4838</v>
      </c>
      <c r="G1089" s="5">
        <v>43174</v>
      </c>
    </row>
    <row r="1090" spans="1:7" x14ac:dyDescent="0.4">
      <c r="A1090">
        <v>90</v>
      </c>
      <c r="B1090" t="s">
        <v>348</v>
      </c>
      <c r="C1090" s="1">
        <v>18.98</v>
      </c>
      <c r="D1090" s="1">
        <v>0.89</v>
      </c>
      <c r="E1090" s="19">
        <v>4.92</v>
      </c>
      <c r="F1090" s="4">
        <v>203948</v>
      </c>
      <c r="G1090" s="5">
        <v>43174</v>
      </c>
    </row>
    <row r="1091" spans="1:7" x14ac:dyDescent="0.4">
      <c r="A1091">
        <v>91</v>
      </c>
      <c r="B1091" t="s">
        <v>349</v>
      </c>
      <c r="C1091" s="1">
        <v>27.44</v>
      </c>
      <c r="D1091" s="1">
        <v>1.27</v>
      </c>
      <c r="E1091" s="19">
        <v>4.8499999999999996</v>
      </c>
      <c r="F1091" s="4">
        <v>903491</v>
      </c>
      <c r="G1091" s="5">
        <v>43174</v>
      </c>
    </row>
    <row r="1092" spans="1:7" x14ac:dyDescent="0.4">
      <c r="A1092">
        <v>92</v>
      </c>
      <c r="B1092" t="s">
        <v>350</v>
      </c>
      <c r="C1092" s="1">
        <v>93.44</v>
      </c>
      <c r="D1092" s="1">
        <v>4.24</v>
      </c>
      <c r="E1092" s="19">
        <v>4.75</v>
      </c>
      <c r="F1092" s="4">
        <v>10182513</v>
      </c>
      <c r="G1092" s="5">
        <v>43174</v>
      </c>
    </row>
    <row r="1093" spans="1:7" x14ac:dyDescent="0.4">
      <c r="A1093">
        <v>93</v>
      </c>
      <c r="B1093" t="s">
        <v>235</v>
      </c>
      <c r="C1093" s="1">
        <v>2.25</v>
      </c>
      <c r="D1093" s="1">
        <v>0.1</v>
      </c>
      <c r="E1093" s="19">
        <v>4.6500000000000004</v>
      </c>
      <c r="F1093" s="4">
        <v>49514</v>
      </c>
      <c r="G1093" s="5">
        <v>43174</v>
      </c>
    </row>
    <row r="1094" spans="1:7" x14ac:dyDescent="0.4">
      <c r="A1094">
        <v>94</v>
      </c>
      <c r="B1094" t="s">
        <v>351</v>
      </c>
      <c r="C1094" s="1">
        <v>3.04</v>
      </c>
      <c r="D1094" s="1">
        <v>0.14000000000000001</v>
      </c>
      <c r="E1094" s="19">
        <v>4.6399999999999997</v>
      </c>
      <c r="F1094" s="4">
        <v>8254061</v>
      </c>
      <c r="G1094" s="5">
        <v>43174</v>
      </c>
    </row>
    <row r="1095" spans="1:7" x14ac:dyDescent="0.4">
      <c r="A1095">
        <v>95</v>
      </c>
      <c r="B1095" t="s">
        <v>230</v>
      </c>
      <c r="C1095" s="1">
        <v>16.95</v>
      </c>
      <c r="D1095" s="1">
        <v>0.75</v>
      </c>
      <c r="E1095" s="19">
        <v>4.63</v>
      </c>
      <c r="F1095" s="4">
        <v>190298</v>
      </c>
      <c r="G1095" s="5">
        <v>43174</v>
      </c>
    </row>
    <row r="1096" spans="1:7" x14ac:dyDescent="0.4">
      <c r="A1096">
        <v>96</v>
      </c>
      <c r="B1096" t="s">
        <v>352</v>
      </c>
      <c r="C1096" s="1">
        <v>15.3</v>
      </c>
      <c r="D1096" s="1">
        <v>0.68</v>
      </c>
      <c r="E1096" s="19">
        <v>4.62</v>
      </c>
      <c r="F1096" s="4">
        <v>18437</v>
      </c>
      <c r="G1096" s="5">
        <v>43174</v>
      </c>
    </row>
    <row r="1097" spans="1:7" x14ac:dyDescent="0.4">
      <c r="A1097">
        <v>97</v>
      </c>
      <c r="B1097" t="s">
        <v>353</v>
      </c>
      <c r="C1097" s="1">
        <v>9.8800000000000008</v>
      </c>
      <c r="D1097" s="1">
        <v>0.43</v>
      </c>
      <c r="E1097" s="19">
        <v>4.55</v>
      </c>
      <c r="F1097" s="4">
        <v>560452</v>
      </c>
      <c r="G1097" s="5">
        <v>43174</v>
      </c>
    </row>
    <row r="1098" spans="1:7" x14ac:dyDescent="0.4">
      <c r="A1098">
        <v>98</v>
      </c>
      <c r="B1098" t="s">
        <v>354</v>
      </c>
      <c r="C1098" s="1">
        <v>12.7</v>
      </c>
      <c r="D1098" s="1">
        <v>0.55000000000000004</v>
      </c>
      <c r="E1098" s="19">
        <v>4.53</v>
      </c>
      <c r="F1098" s="4">
        <v>532492</v>
      </c>
      <c r="G1098" s="5">
        <v>43174</v>
      </c>
    </row>
    <row r="1099" spans="1:7" x14ac:dyDescent="0.4">
      <c r="A1099">
        <v>99</v>
      </c>
      <c r="B1099" t="s">
        <v>355</v>
      </c>
      <c r="C1099" s="1">
        <v>7.16</v>
      </c>
      <c r="D1099" s="1">
        <v>0.31</v>
      </c>
      <c r="E1099" s="19">
        <v>4.53</v>
      </c>
      <c r="F1099" s="4">
        <v>291890</v>
      </c>
      <c r="G1099" s="5">
        <v>43174</v>
      </c>
    </row>
    <row r="1100" spans="1:7" x14ac:dyDescent="0.4">
      <c r="A1100">
        <v>100</v>
      </c>
      <c r="B1100" t="s">
        <v>356</v>
      </c>
      <c r="C1100" s="1">
        <v>36.58</v>
      </c>
      <c r="D1100" s="1">
        <v>1.58</v>
      </c>
      <c r="E1100" s="19">
        <v>4.51</v>
      </c>
      <c r="F1100" s="4">
        <v>16467</v>
      </c>
      <c r="G1100" s="5">
        <v>43174</v>
      </c>
    </row>
    <row r="1101" spans="1:7" x14ac:dyDescent="0.4">
      <c r="A1101">
        <v>1</v>
      </c>
      <c r="B1101" t="s">
        <v>209</v>
      </c>
      <c r="C1101" s="1">
        <v>13.35</v>
      </c>
      <c r="D1101" s="1">
        <v>5.55</v>
      </c>
      <c r="E1101" s="19">
        <v>71.16</v>
      </c>
      <c r="F1101" s="4">
        <v>18548818</v>
      </c>
      <c r="G1101" s="5">
        <v>43174</v>
      </c>
    </row>
    <row r="1102" spans="1:7" x14ac:dyDescent="0.4">
      <c r="A1102">
        <v>2</v>
      </c>
      <c r="B1102" t="s">
        <v>358</v>
      </c>
      <c r="C1102" s="1">
        <v>5.65</v>
      </c>
      <c r="D1102" s="1">
        <v>1.65</v>
      </c>
      <c r="E1102" s="19">
        <v>41.25</v>
      </c>
      <c r="F1102" s="4">
        <v>232369</v>
      </c>
      <c r="G1102" s="5">
        <v>43175</v>
      </c>
    </row>
    <row r="1103" spans="1:7" x14ac:dyDescent="0.4">
      <c r="A1103">
        <v>3</v>
      </c>
      <c r="B1103" t="s">
        <v>359</v>
      </c>
      <c r="C1103" s="3">
        <v>11.47</v>
      </c>
      <c r="D1103" s="1">
        <v>2.29</v>
      </c>
      <c r="E1103" s="19">
        <v>24.95</v>
      </c>
      <c r="F1103" s="4">
        <v>391003</v>
      </c>
      <c r="G1103" s="5">
        <v>43175</v>
      </c>
    </row>
    <row r="1104" spans="1:7" x14ac:dyDescent="0.4">
      <c r="A1104">
        <v>4</v>
      </c>
      <c r="B1104" t="s">
        <v>360</v>
      </c>
      <c r="C1104" s="1">
        <v>4.93</v>
      </c>
      <c r="D1104" s="1">
        <v>0.87</v>
      </c>
      <c r="E1104" s="19">
        <v>21.43</v>
      </c>
      <c r="F1104" s="4">
        <v>236180</v>
      </c>
      <c r="G1104" s="5">
        <v>43175</v>
      </c>
    </row>
    <row r="1105" spans="1:7" x14ac:dyDescent="0.4">
      <c r="A1105">
        <v>5</v>
      </c>
      <c r="B1105" t="s">
        <v>361</v>
      </c>
      <c r="C1105" s="1">
        <v>3</v>
      </c>
      <c r="D1105" s="1">
        <v>0.52</v>
      </c>
      <c r="E1105" s="19">
        <v>20.97</v>
      </c>
      <c r="F1105" s="4">
        <v>5018482</v>
      </c>
      <c r="G1105" s="5">
        <v>43175</v>
      </c>
    </row>
    <row r="1106" spans="1:7" x14ac:dyDescent="0.4">
      <c r="A1106">
        <v>6</v>
      </c>
      <c r="B1106" t="s">
        <v>328</v>
      </c>
      <c r="C1106" s="1">
        <v>10.64</v>
      </c>
      <c r="D1106" s="1">
        <v>1.59</v>
      </c>
      <c r="E1106" s="19">
        <v>17.57</v>
      </c>
      <c r="F1106" s="4">
        <v>175257</v>
      </c>
      <c r="G1106" s="5">
        <v>43175</v>
      </c>
    </row>
    <row r="1107" spans="1:7" x14ac:dyDescent="0.4">
      <c r="A1107">
        <v>7</v>
      </c>
      <c r="B1107" t="s">
        <v>362</v>
      </c>
      <c r="C1107" s="1">
        <v>25.15</v>
      </c>
      <c r="D1107" s="1">
        <v>3.65</v>
      </c>
      <c r="E1107" s="19">
        <v>16.98</v>
      </c>
      <c r="F1107" s="4">
        <v>669226</v>
      </c>
      <c r="G1107" s="5">
        <v>43175</v>
      </c>
    </row>
    <row r="1108" spans="1:7" x14ac:dyDescent="0.4">
      <c r="A1108">
        <v>8</v>
      </c>
      <c r="B1108" t="s">
        <v>38</v>
      </c>
      <c r="C1108" s="1">
        <v>50.5</v>
      </c>
      <c r="D1108" s="1">
        <v>6.93</v>
      </c>
      <c r="E1108" s="19">
        <v>15.91</v>
      </c>
      <c r="F1108" s="4">
        <v>3036341</v>
      </c>
      <c r="G1108" s="5">
        <v>43175</v>
      </c>
    </row>
    <row r="1109" spans="1:7" x14ac:dyDescent="0.4">
      <c r="A1109">
        <v>9</v>
      </c>
      <c r="B1109" t="s">
        <v>363</v>
      </c>
      <c r="C1109" s="1">
        <v>7.95</v>
      </c>
      <c r="D1109" s="1">
        <v>1.04</v>
      </c>
      <c r="E1109" s="19">
        <v>15.05</v>
      </c>
      <c r="F1109" s="4">
        <v>136108</v>
      </c>
      <c r="G1109" s="5">
        <v>43175</v>
      </c>
    </row>
    <row r="1110" spans="1:7" x14ac:dyDescent="0.4">
      <c r="A1110">
        <v>10</v>
      </c>
      <c r="B1110" t="s">
        <v>364</v>
      </c>
      <c r="C1110" s="1">
        <v>6.4</v>
      </c>
      <c r="D1110" s="1">
        <v>0.82</v>
      </c>
      <c r="E1110" s="19">
        <v>14.7</v>
      </c>
      <c r="F1110" s="4">
        <v>8183289</v>
      </c>
      <c r="G1110" s="5">
        <v>43175</v>
      </c>
    </row>
    <row r="1111" spans="1:7" x14ac:dyDescent="0.4">
      <c r="A1111">
        <v>11</v>
      </c>
      <c r="B1111" t="s">
        <v>338</v>
      </c>
      <c r="C1111" s="1">
        <v>3.2</v>
      </c>
      <c r="D1111" s="1">
        <v>0.4</v>
      </c>
      <c r="E1111" s="19">
        <v>14.29</v>
      </c>
      <c r="F1111" s="4">
        <v>115061</v>
      </c>
      <c r="G1111" s="5">
        <v>43175</v>
      </c>
    </row>
    <row r="1112" spans="1:7" x14ac:dyDescent="0.4">
      <c r="A1112">
        <v>12</v>
      </c>
      <c r="B1112" t="s">
        <v>189</v>
      </c>
      <c r="C1112" s="1">
        <v>2.4</v>
      </c>
      <c r="D1112" s="1">
        <v>0.3</v>
      </c>
      <c r="E1112" s="19">
        <v>14.29</v>
      </c>
      <c r="F1112" s="4">
        <v>238500</v>
      </c>
      <c r="G1112" s="5">
        <v>43175</v>
      </c>
    </row>
    <row r="1113" spans="1:7" x14ac:dyDescent="0.4">
      <c r="A1113">
        <v>13</v>
      </c>
      <c r="B1113" t="s">
        <v>150</v>
      </c>
      <c r="C1113" s="1">
        <v>2.4500000000000002</v>
      </c>
      <c r="D1113" s="1">
        <v>0.3</v>
      </c>
      <c r="E1113" s="19">
        <v>13.95</v>
      </c>
      <c r="F1113" s="4">
        <v>90849</v>
      </c>
      <c r="G1113" s="5">
        <v>43175</v>
      </c>
    </row>
    <row r="1114" spans="1:7" x14ac:dyDescent="0.4">
      <c r="A1114">
        <v>14</v>
      </c>
      <c r="B1114" t="s">
        <v>365</v>
      </c>
      <c r="C1114" s="1">
        <v>26.47</v>
      </c>
      <c r="D1114" s="1">
        <v>3.1</v>
      </c>
      <c r="E1114" s="19">
        <v>13.26</v>
      </c>
      <c r="F1114" s="4">
        <v>428679</v>
      </c>
      <c r="G1114" s="5">
        <v>43175</v>
      </c>
    </row>
    <row r="1115" spans="1:7" x14ac:dyDescent="0.4">
      <c r="A1115">
        <v>15</v>
      </c>
      <c r="B1115" t="s">
        <v>366</v>
      </c>
      <c r="C1115" s="1">
        <v>5.6</v>
      </c>
      <c r="D1115" s="1">
        <v>0.65</v>
      </c>
      <c r="E1115" s="19">
        <v>13.13</v>
      </c>
      <c r="F1115" s="4">
        <v>3455551</v>
      </c>
      <c r="G1115" s="5">
        <v>43175</v>
      </c>
    </row>
    <row r="1116" spans="1:7" x14ac:dyDescent="0.4">
      <c r="A1116">
        <v>16</v>
      </c>
      <c r="B1116" t="s">
        <v>367</v>
      </c>
      <c r="C1116" s="1">
        <v>12.1</v>
      </c>
      <c r="D1116" s="1">
        <v>1.4</v>
      </c>
      <c r="E1116" s="19">
        <v>13.08</v>
      </c>
      <c r="F1116" s="4">
        <v>5225</v>
      </c>
      <c r="G1116" s="5">
        <v>43175</v>
      </c>
    </row>
    <row r="1117" spans="1:7" x14ac:dyDescent="0.4">
      <c r="A1117">
        <v>17</v>
      </c>
      <c r="B1117" t="s">
        <v>22</v>
      </c>
      <c r="C1117" s="1">
        <v>15.9</v>
      </c>
      <c r="D1117" s="1">
        <v>1.8</v>
      </c>
      <c r="E1117" s="19">
        <v>12.77</v>
      </c>
      <c r="F1117" s="4">
        <v>173207</v>
      </c>
      <c r="G1117" s="5">
        <v>43175</v>
      </c>
    </row>
    <row r="1118" spans="1:7" x14ac:dyDescent="0.4">
      <c r="A1118">
        <v>18</v>
      </c>
      <c r="B1118" t="s">
        <v>368</v>
      </c>
      <c r="C1118" s="1">
        <v>2.77</v>
      </c>
      <c r="D1118" s="1">
        <v>0.31</v>
      </c>
      <c r="E1118" s="19">
        <v>12.6</v>
      </c>
      <c r="F1118" s="4">
        <v>188277</v>
      </c>
      <c r="G1118" s="5">
        <v>43175</v>
      </c>
    </row>
    <row r="1119" spans="1:7" x14ac:dyDescent="0.4">
      <c r="A1119">
        <v>19</v>
      </c>
      <c r="B1119" t="s">
        <v>139</v>
      </c>
      <c r="C1119" s="1">
        <v>17.440000000000001</v>
      </c>
      <c r="D1119" s="1">
        <v>1.94</v>
      </c>
      <c r="E1119" s="19">
        <v>12.52</v>
      </c>
      <c r="F1119" s="4">
        <v>4154870</v>
      </c>
      <c r="G1119" s="5">
        <v>43175</v>
      </c>
    </row>
    <row r="1120" spans="1:7" x14ac:dyDescent="0.4">
      <c r="A1120">
        <v>20</v>
      </c>
      <c r="B1120" t="s">
        <v>212</v>
      </c>
      <c r="C1120" s="1">
        <v>3.45</v>
      </c>
      <c r="D1120" s="1">
        <v>0.38</v>
      </c>
      <c r="E1120" s="19">
        <v>12.38</v>
      </c>
      <c r="F1120" s="4">
        <v>592399</v>
      </c>
      <c r="G1120" s="5">
        <v>43175</v>
      </c>
    </row>
    <row r="1121" spans="1:7" x14ac:dyDescent="0.4">
      <c r="A1121">
        <v>21</v>
      </c>
      <c r="B1121" t="s">
        <v>369</v>
      </c>
      <c r="C1121" s="1">
        <v>8.74</v>
      </c>
      <c r="D1121" s="1">
        <v>0.96</v>
      </c>
      <c r="E1121" s="19">
        <v>12.34</v>
      </c>
      <c r="F1121" s="4">
        <v>1433232</v>
      </c>
      <c r="G1121" s="5">
        <v>43175</v>
      </c>
    </row>
    <row r="1122" spans="1:7" x14ac:dyDescent="0.4">
      <c r="A1122">
        <v>22</v>
      </c>
      <c r="B1122" t="s">
        <v>370</v>
      </c>
      <c r="C1122" s="1">
        <v>10.84</v>
      </c>
      <c r="D1122" s="1">
        <v>1.19</v>
      </c>
      <c r="E1122" s="19">
        <v>12.33</v>
      </c>
      <c r="F1122" s="4">
        <v>244914</v>
      </c>
      <c r="G1122" s="5">
        <v>43175</v>
      </c>
    </row>
    <row r="1123" spans="1:7" x14ac:dyDescent="0.4">
      <c r="A1123">
        <v>23</v>
      </c>
      <c r="B1123" t="s">
        <v>371</v>
      </c>
      <c r="C1123" s="1">
        <v>5.6</v>
      </c>
      <c r="D1123" s="1">
        <v>0.6</v>
      </c>
      <c r="E1123" s="19">
        <v>12</v>
      </c>
      <c r="F1123" s="4">
        <v>250667</v>
      </c>
      <c r="G1123" s="5">
        <v>43175</v>
      </c>
    </row>
    <row r="1124" spans="1:7" x14ac:dyDescent="0.4">
      <c r="A1124">
        <v>24</v>
      </c>
      <c r="B1124" t="s">
        <v>69</v>
      </c>
      <c r="C1124" s="1">
        <v>8.64</v>
      </c>
      <c r="D1124" s="1">
        <v>0.92</v>
      </c>
      <c r="E1124" s="19">
        <v>11.92</v>
      </c>
      <c r="F1124" s="4">
        <v>98157</v>
      </c>
      <c r="G1124" s="5">
        <v>43175</v>
      </c>
    </row>
    <row r="1125" spans="1:7" x14ac:dyDescent="0.4">
      <c r="A1125">
        <v>25</v>
      </c>
      <c r="B1125" t="s">
        <v>372</v>
      </c>
      <c r="C1125" s="1">
        <v>15.65</v>
      </c>
      <c r="D1125" s="1">
        <v>1.6</v>
      </c>
      <c r="E1125" s="19">
        <v>11.39</v>
      </c>
      <c r="F1125" s="4">
        <v>931258</v>
      </c>
      <c r="G1125" s="5">
        <v>43175</v>
      </c>
    </row>
    <row r="1126" spans="1:7" x14ac:dyDescent="0.4">
      <c r="A1126">
        <v>26</v>
      </c>
      <c r="B1126" t="s">
        <v>131</v>
      </c>
      <c r="C1126" s="1">
        <v>3.4</v>
      </c>
      <c r="D1126" s="1">
        <v>0.34</v>
      </c>
      <c r="E1126" s="19">
        <v>11.11</v>
      </c>
      <c r="F1126" s="4">
        <v>78667</v>
      </c>
      <c r="G1126" s="5">
        <v>43175</v>
      </c>
    </row>
    <row r="1127" spans="1:7" x14ac:dyDescent="0.4">
      <c r="A1127">
        <v>27</v>
      </c>
      <c r="B1127" t="s">
        <v>291</v>
      </c>
      <c r="C1127" s="1">
        <v>31.21</v>
      </c>
      <c r="D1127" s="1">
        <v>3.07</v>
      </c>
      <c r="E1127" s="19">
        <v>10.91</v>
      </c>
      <c r="F1127" s="4">
        <v>1276804</v>
      </c>
      <c r="G1127" s="5">
        <v>43175</v>
      </c>
    </row>
    <row r="1128" spans="1:7" x14ac:dyDescent="0.4">
      <c r="A1128">
        <v>28</v>
      </c>
      <c r="B1128" t="s">
        <v>37</v>
      </c>
      <c r="C1128" s="1">
        <v>2.75</v>
      </c>
      <c r="D1128" s="1">
        <v>0.27</v>
      </c>
      <c r="E1128" s="19">
        <v>10.89</v>
      </c>
      <c r="F1128" s="4">
        <v>1553882</v>
      </c>
      <c r="G1128" s="5">
        <v>43175</v>
      </c>
    </row>
    <row r="1129" spans="1:7" x14ac:dyDescent="0.4">
      <c r="A1129">
        <v>29</v>
      </c>
      <c r="B1129" t="s">
        <v>35</v>
      </c>
      <c r="C1129" s="1">
        <v>6.13</v>
      </c>
      <c r="D1129" s="1">
        <v>0.6</v>
      </c>
      <c r="E1129" s="19">
        <v>10.85</v>
      </c>
      <c r="F1129" s="4">
        <v>381207</v>
      </c>
      <c r="G1129" s="5">
        <v>43175</v>
      </c>
    </row>
    <row r="1130" spans="1:7" x14ac:dyDescent="0.4">
      <c r="A1130">
        <v>30</v>
      </c>
      <c r="B1130" t="s">
        <v>373</v>
      </c>
      <c r="C1130" s="1">
        <v>25.37</v>
      </c>
      <c r="D1130" s="1">
        <v>2.46</v>
      </c>
      <c r="E1130" s="19">
        <v>10.74</v>
      </c>
      <c r="F1130" s="4">
        <v>573999</v>
      </c>
      <c r="G1130" s="5">
        <v>43175</v>
      </c>
    </row>
    <row r="1131" spans="1:7" x14ac:dyDescent="0.4">
      <c r="A1131">
        <v>31</v>
      </c>
      <c r="B1131" t="s">
        <v>374</v>
      </c>
      <c r="C1131" s="1">
        <v>4.8499999999999996</v>
      </c>
      <c r="D1131" s="1">
        <v>0.47</v>
      </c>
      <c r="E1131" s="19">
        <v>10.73</v>
      </c>
      <c r="F1131" s="4">
        <v>8742</v>
      </c>
      <c r="G1131" s="5">
        <v>43175</v>
      </c>
    </row>
    <row r="1132" spans="1:7" x14ac:dyDescent="0.4">
      <c r="A1132">
        <v>32</v>
      </c>
      <c r="B1132" t="s">
        <v>88</v>
      </c>
      <c r="C1132" s="1">
        <v>2.88</v>
      </c>
      <c r="D1132" s="1">
        <v>0.28000000000000003</v>
      </c>
      <c r="E1132" s="19">
        <v>10.58</v>
      </c>
      <c r="F1132" s="4">
        <v>2564459</v>
      </c>
      <c r="G1132" s="5">
        <v>43175</v>
      </c>
    </row>
    <row r="1133" spans="1:7" x14ac:dyDescent="0.4">
      <c r="A1133">
        <v>33</v>
      </c>
      <c r="B1133" t="s">
        <v>375</v>
      </c>
      <c r="C1133" s="1">
        <v>22.1</v>
      </c>
      <c r="D1133" s="1">
        <v>2.1</v>
      </c>
      <c r="E1133" s="19">
        <v>10.5</v>
      </c>
      <c r="F1133" s="4">
        <v>2052955</v>
      </c>
      <c r="G1133" s="5">
        <v>43175</v>
      </c>
    </row>
    <row r="1134" spans="1:7" x14ac:dyDescent="0.4">
      <c r="A1134">
        <v>34</v>
      </c>
      <c r="B1134" t="s">
        <v>268</v>
      </c>
      <c r="C1134" s="1">
        <v>15.1</v>
      </c>
      <c r="D1134" s="1">
        <v>1.43</v>
      </c>
      <c r="E1134" s="19">
        <v>10.46</v>
      </c>
      <c r="F1134" s="4">
        <v>462926</v>
      </c>
      <c r="G1134" s="5">
        <v>43175</v>
      </c>
    </row>
    <row r="1135" spans="1:7" x14ac:dyDescent="0.4">
      <c r="A1135">
        <v>35</v>
      </c>
      <c r="B1135" t="s">
        <v>376</v>
      </c>
      <c r="C1135" s="1">
        <v>2.65</v>
      </c>
      <c r="D1135" s="1">
        <v>0.25</v>
      </c>
      <c r="E1135" s="19">
        <v>10.42</v>
      </c>
      <c r="F1135" s="4">
        <v>44344</v>
      </c>
      <c r="G1135" s="5">
        <v>43175</v>
      </c>
    </row>
    <row r="1136" spans="1:7" x14ac:dyDescent="0.4">
      <c r="A1136">
        <v>36</v>
      </c>
      <c r="B1136" t="s">
        <v>377</v>
      </c>
      <c r="C1136" s="1">
        <v>8.2899999999999991</v>
      </c>
      <c r="D1136" s="1">
        <v>0.78</v>
      </c>
      <c r="E1136" s="19">
        <v>10.39</v>
      </c>
      <c r="F1136" s="4">
        <v>1196638</v>
      </c>
      <c r="G1136" s="5">
        <v>43175</v>
      </c>
    </row>
    <row r="1137" spans="1:7" x14ac:dyDescent="0.4">
      <c r="A1137">
        <v>37</v>
      </c>
      <c r="B1137" t="s">
        <v>169</v>
      </c>
      <c r="C1137" s="1">
        <v>13.76</v>
      </c>
      <c r="D1137" s="1">
        <v>1.28</v>
      </c>
      <c r="E1137" s="19">
        <v>10.26</v>
      </c>
      <c r="F1137" s="4">
        <v>740566</v>
      </c>
      <c r="G1137" s="5">
        <v>43175</v>
      </c>
    </row>
    <row r="1138" spans="1:7" x14ac:dyDescent="0.4">
      <c r="A1138">
        <v>38</v>
      </c>
      <c r="B1138" t="s">
        <v>243</v>
      </c>
      <c r="C1138" s="1">
        <v>19.940000000000001</v>
      </c>
      <c r="D1138" s="1">
        <v>1.85</v>
      </c>
      <c r="E1138" s="19">
        <v>10.23</v>
      </c>
      <c r="F1138" s="4">
        <v>79604</v>
      </c>
      <c r="G1138" s="5">
        <v>43175</v>
      </c>
    </row>
    <row r="1139" spans="1:7" x14ac:dyDescent="0.4">
      <c r="A1139">
        <v>39</v>
      </c>
      <c r="B1139" t="s">
        <v>378</v>
      </c>
      <c r="C1139" s="1">
        <v>2.59</v>
      </c>
      <c r="D1139" s="1">
        <v>0.24</v>
      </c>
      <c r="E1139" s="19">
        <v>10.210000000000001</v>
      </c>
      <c r="F1139" s="4">
        <v>606187</v>
      </c>
      <c r="G1139" s="5">
        <v>43175</v>
      </c>
    </row>
    <row r="1140" spans="1:7" x14ac:dyDescent="0.4">
      <c r="A1140">
        <v>40</v>
      </c>
      <c r="B1140" t="s">
        <v>125</v>
      </c>
      <c r="C1140" s="1">
        <v>7.67</v>
      </c>
      <c r="D1140" s="1">
        <v>0.71</v>
      </c>
      <c r="E1140" s="19">
        <v>10.199999999999999</v>
      </c>
      <c r="F1140" s="4">
        <v>44694</v>
      </c>
      <c r="G1140" s="5">
        <v>43175</v>
      </c>
    </row>
    <row r="1141" spans="1:7" x14ac:dyDescent="0.4">
      <c r="A1141">
        <v>41</v>
      </c>
      <c r="B1141" t="s">
        <v>299</v>
      </c>
      <c r="C1141" s="1">
        <v>7.6</v>
      </c>
      <c r="D1141" s="1">
        <v>0.7</v>
      </c>
      <c r="E1141" s="19">
        <v>10.14</v>
      </c>
      <c r="F1141" s="4">
        <v>240287</v>
      </c>
      <c r="G1141" s="5">
        <v>43175</v>
      </c>
    </row>
    <row r="1142" spans="1:7" x14ac:dyDescent="0.4">
      <c r="A1142">
        <v>42</v>
      </c>
      <c r="B1142" t="s">
        <v>379</v>
      </c>
      <c r="C1142" s="1">
        <v>6.95</v>
      </c>
      <c r="D1142" s="1">
        <v>0.64</v>
      </c>
      <c r="E1142" s="19">
        <v>10.14</v>
      </c>
      <c r="F1142" s="4">
        <v>532268</v>
      </c>
      <c r="G1142" s="5">
        <v>43175</v>
      </c>
    </row>
    <row r="1143" spans="1:7" x14ac:dyDescent="0.4">
      <c r="A1143">
        <v>43</v>
      </c>
      <c r="B1143" t="s">
        <v>380</v>
      </c>
      <c r="C1143" s="1">
        <v>31.37</v>
      </c>
      <c r="D1143" s="1">
        <v>2.88</v>
      </c>
      <c r="E1143" s="19">
        <v>10.11</v>
      </c>
      <c r="F1143" s="4">
        <v>10277835</v>
      </c>
      <c r="G1143" s="5">
        <v>43175</v>
      </c>
    </row>
    <row r="1144" spans="1:7" x14ac:dyDescent="0.4">
      <c r="A1144">
        <v>44</v>
      </c>
      <c r="B1144" t="s">
        <v>381</v>
      </c>
      <c r="C1144" s="1">
        <v>3.6</v>
      </c>
      <c r="D1144" s="1">
        <v>0.33</v>
      </c>
      <c r="E1144" s="19">
        <v>10.09</v>
      </c>
      <c r="F1144" s="4">
        <v>9423376</v>
      </c>
      <c r="G1144" s="5">
        <v>43175</v>
      </c>
    </row>
    <row r="1145" spans="1:7" x14ac:dyDescent="0.4">
      <c r="A1145">
        <v>45</v>
      </c>
      <c r="B1145" t="s">
        <v>382</v>
      </c>
      <c r="C1145" s="1">
        <v>12.55</v>
      </c>
      <c r="D1145" s="1">
        <v>1.1499999999999999</v>
      </c>
      <c r="E1145" s="19">
        <v>10.09</v>
      </c>
      <c r="F1145" s="4">
        <v>62550</v>
      </c>
      <c r="G1145" s="5">
        <v>43175</v>
      </c>
    </row>
    <row r="1146" spans="1:7" x14ac:dyDescent="0.4">
      <c r="A1146">
        <v>46</v>
      </c>
      <c r="B1146" t="s">
        <v>383</v>
      </c>
      <c r="C1146" s="1">
        <v>20.3</v>
      </c>
      <c r="D1146" s="1">
        <v>1.85</v>
      </c>
      <c r="E1146" s="19">
        <v>10.029999999999999</v>
      </c>
      <c r="F1146" s="4">
        <v>76996</v>
      </c>
      <c r="G1146" s="5">
        <v>43175</v>
      </c>
    </row>
    <row r="1147" spans="1:7" x14ac:dyDescent="0.4">
      <c r="A1147">
        <v>47</v>
      </c>
      <c r="B1147" t="s">
        <v>384</v>
      </c>
      <c r="C1147" s="1">
        <v>13.74</v>
      </c>
      <c r="D1147" s="1">
        <v>1.25</v>
      </c>
      <c r="E1147" s="19">
        <v>10.01</v>
      </c>
      <c r="F1147" s="4">
        <v>1707980</v>
      </c>
      <c r="G1147" s="5">
        <v>43175</v>
      </c>
    </row>
    <row r="1148" spans="1:7" x14ac:dyDescent="0.4">
      <c r="A1148">
        <v>48</v>
      </c>
      <c r="B1148" t="s">
        <v>54</v>
      </c>
      <c r="C1148" s="1">
        <v>2.86</v>
      </c>
      <c r="D1148" s="1">
        <v>0.26</v>
      </c>
      <c r="E1148" s="19">
        <v>10</v>
      </c>
      <c r="F1148" s="4">
        <v>29499</v>
      </c>
      <c r="G1148" s="5">
        <v>43175</v>
      </c>
    </row>
    <row r="1149" spans="1:7" x14ac:dyDescent="0.4">
      <c r="A1149">
        <v>49</v>
      </c>
      <c r="B1149" t="s">
        <v>228</v>
      </c>
      <c r="C1149" s="1">
        <v>21.54</v>
      </c>
      <c r="D1149" s="1">
        <v>1.96</v>
      </c>
      <c r="E1149" s="19">
        <v>9.98</v>
      </c>
      <c r="F1149" s="4">
        <v>1966719</v>
      </c>
      <c r="G1149" s="5">
        <v>43175</v>
      </c>
    </row>
    <row r="1150" spans="1:7" x14ac:dyDescent="0.4">
      <c r="A1150">
        <v>50</v>
      </c>
      <c r="B1150" t="s">
        <v>72</v>
      </c>
      <c r="C1150" s="1">
        <v>7.08</v>
      </c>
      <c r="D1150" s="1">
        <v>0.64</v>
      </c>
      <c r="E1150" s="19">
        <v>9.94</v>
      </c>
      <c r="F1150" s="4">
        <v>1770581</v>
      </c>
      <c r="G1150" s="5">
        <v>43175</v>
      </c>
    </row>
    <row r="1151" spans="1:7" x14ac:dyDescent="0.4">
      <c r="A1151">
        <v>51</v>
      </c>
      <c r="B1151" t="s">
        <v>385</v>
      </c>
      <c r="C1151" s="1">
        <v>33.4</v>
      </c>
      <c r="D1151" s="1">
        <v>3</v>
      </c>
      <c r="E1151" s="19">
        <v>9.8699999999999992</v>
      </c>
      <c r="F1151" s="4">
        <v>2113193</v>
      </c>
      <c r="G1151" s="5">
        <v>43175</v>
      </c>
    </row>
    <row r="1152" spans="1:7" x14ac:dyDescent="0.4">
      <c r="A1152">
        <v>52</v>
      </c>
      <c r="B1152" t="s">
        <v>168</v>
      </c>
      <c r="C1152" s="1">
        <v>2.79</v>
      </c>
      <c r="D1152" s="1">
        <v>0.25</v>
      </c>
      <c r="E1152" s="19">
        <v>9.84</v>
      </c>
      <c r="F1152" s="4">
        <v>1289325</v>
      </c>
      <c r="G1152" s="5">
        <v>43175</v>
      </c>
    </row>
    <row r="1153" spans="1:7" x14ac:dyDescent="0.4">
      <c r="A1153">
        <v>53</v>
      </c>
      <c r="B1153" t="s">
        <v>261</v>
      </c>
      <c r="C1153" s="1">
        <v>5.74</v>
      </c>
      <c r="D1153" s="1">
        <v>0.5</v>
      </c>
      <c r="E1153" s="19">
        <v>9.5399999999999991</v>
      </c>
      <c r="F1153" s="4">
        <v>4220520</v>
      </c>
      <c r="G1153" s="5">
        <v>43175</v>
      </c>
    </row>
    <row r="1154" spans="1:7" x14ac:dyDescent="0.4">
      <c r="A1154">
        <v>54</v>
      </c>
      <c r="B1154" t="s">
        <v>386</v>
      </c>
      <c r="C1154" s="1">
        <v>2.65</v>
      </c>
      <c r="D1154" s="1">
        <v>0.23</v>
      </c>
      <c r="E1154" s="19">
        <v>9.5</v>
      </c>
      <c r="F1154" s="4">
        <v>1083959</v>
      </c>
      <c r="G1154" s="5">
        <v>43175</v>
      </c>
    </row>
    <row r="1155" spans="1:7" x14ac:dyDescent="0.4">
      <c r="A1155">
        <v>55</v>
      </c>
      <c r="B1155" t="s">
        <v>387</v>
      </c>
      <c r="C1155" s="1">
        <v>4.05</v>
      </c>
      <c r="D1155" s="1">
        <v>0.35</v>
      </c>
      <c r="E1155" s="19">
        <v>9.4600000000000009</v>
      </c>
      <c r="F1155" s="4">
        <v>11231</v>
      </c>
      <c r="G1155" s="5">
        <v>43175</v>
      </c>
    </row>
    <row r="1156" spans="1:7" x14ac:dyDescent="0.4">
      <c r="A1156">
        <v>56</v>
      </c>
      <c r="B1156" t="s">
        <v>206</v>
      </c>
      <c r="C1156" s="1">
        <v>3.38</v>
      </c>
      <c r="D1156" s="1">
        <v>0.28999999999999998</v>
      </c>
      <c r="E1156" s="19">
        <v>9.39</v>
      </c>
      <c r="F1156" s="4">
        <v>19145</v>
      </c>
      <c r="G1156" s="5">
        <v>43175</v>
      </c>
    </row>
    <row r="1157" spans="1:7" x14ac:dyDescent="0.4">
      <c r="A1157">
        <v>57</v>
      </c>
      <c r="B1157" t="s">
        <v>388</v>
      </c>
      <c r="C1157" s="1">
        <v>16.91</v>
      </c>
      <c r="D1157" s="1">
        <v>1.44</v>
      </c>
      <c r="E1157" s="19">
        <v>9.31</v>
      </c>
      <c r="F1157" s="4">
        <v>585792</v>
      </c>
      <c r="G1157" s="5">
        <v>43175</v>
      </c>
    </row>
    <row r="1158" spans="1:7" x14ac:dyDescent="0.4">
      <c r="A1158">
        <v>58</v>
      </c>
      <c r="B1158" t="s">
        <v>389</v>
      </c>
      <c r="C1158" s="1">
        <v>10.07</v>
      </c>
      <c r="D1158" s="1">
        <v>0.85</v>
      </c>
      <c r="E1158" s="19">
        <v>9.2200000000000006</v>
      </c>
      <c r="F1158" s="4">
        <v>44258</v>
      </c>
      <c r="G1158" s="5">
        <v>43175</v>
      </c>
    </row>
    <row r="1159" spans="1:7" x14ac:dyDescent="0.4">
      <c r="A1159">
        <v>59</v>
      </c>
      <c r="B1159" t="s">
        <v>390</v>
      </c>
      <c r="C1159" s="1">
        <v>11.98</v>
      </c>
      <c r="D1159" s="1">
        <v>1.01</v>
      </c>
      <c r="E1159" s="19">
        <v>9.2100000000000009</v>
      </c>
      <c r="F1159" s="4">
        <v>118621</v>
      </c>
      <c r="G1159" s="5">
        <v>43175</v>
      </c>
    </row>
    <row r="1160" spans="1:7" x14ac:dyDescent="0.4">
      <c r="A1160">
        <v>60</v>
      </c>
      <c r="B1160" t="s">
        <v>391</v>
      </c>
      <c r="C1160" s="1">
        <v>40.97</v>
      </c>
      <c r="D1160" s="1">
        <v>3.38</v>
      </c>
      <c r="E1160" s="19">
        <v>8.99</v>
      </c>
      <c r="F1160" s="4">
        <v>43949</v>
      </c>
      <c r="G1160" s="5">
        <v>43175</v>
      </c>
    </row>
    <row r="1161" spans="1:7" x14ac:dyDescent="0.4">
      <c r="A1161">
        <v>61</v>
      </c>
      <c r="B1161" t="s">
        <v>392</v>
      </c>
      <c r="C1161" s="1">
        <v>28.39</v>
      </c>
      <c r="D1161" s="1">
        <v>2.34</v>
      </c>
      <c r="E1161" s="19">
        <v>8.98</v>
      </c>
      <c r="F1161" s="4">
        <v>21257</v>
      </c>
      <c r="G1161" s="5">
        <v>43175</v>
      </c>
    </row>
    <row r="1162" spans="1:7" x14ac:dyDescent="0.4">
      <c r="A1162">
        <v>62</v>
      </c>
      <c r="B1162" t="s">
        <v>393</v>
      </c>
      <c r="C1162" s="1">
        <v>4.87</v>
      </c>
      <c r="D1162" s="1">
        <v>0.4</v>
      </c>
      <c r="E1162" s="19">
        <v>8.9499999999999993</v>
      </c>
      <c r="F1162" s="4">
        <v>64780</v>
      </c>
      <c r="G1162" s="5">
        <v>43175</v>
      </c>
    </row>
    <row r="1163" spans="1:7" x14ac:dyDescent="0.4">
      <c r="A1163">
        <v>63</v>
      </c>
      <c r="B1163" t="s">
        <v>394</v>
      </c>
      <c r="C1163" s="1">
        <v>7.83</v>
      </c>
      <c r="D1163" s="1">
        <v>0.64</v>
      </c>
      <c r="E1163" s="19">
        <v>8.9</v>
      </c>
      <c r="F1163" s="4">
        <v>2181993</v>
      </c>
      <c r="G1163" s="5">
        <v>43175</v>
      </c>
    </row>
    <row r="1164" spans="1:7" x14ac:dyDescent="0.4">
      <c r="A1164">
        <v>64</v>
      </c>
      <c r="B1164" t="s">
        <v>161</v>
      </c>
      <c r="C1164" s="1">
        <v>5.78</v>
      </c>
      <c r="D1164" s="1">
        <v>0.46</v>
      </c>
      <c r="E1164" s="19">
        <v>8.65</v>
      </c>
      <c r="F1164" s="4">
        <v>516003</v>
      </c>
      <c r="G1164" s="5">
        <v>43175</v>
      </c>
    </row>
    <row r="1165" spans="1:7" x14ac:dyDescent="0.4">
      <c r="A1165">
        <v>65</v>
      </c>
      <c r="B1165" t="s">
        <v>395</v>
      </c>
      <c r="C1165" s="1">
        <v>2.92</v>
      </c>
      <c r="D1165" s="1">
        <v>0.23</v>
      </c>
      <c r="E1165" s="19">
        <v>8.5500000000000007</v>
      </c>
      <c r="F1165" s="4">
        <v>227034</v>
      </c>
      <c r="G1165" s="5">
        <v>43175</v>
      </c>
    </row>
    <row r="1166" spans="1:7" x14ac:dyDescent="0.4">
      <c r="A1166">
        <v>66</v>
      </c>
      <c r="B1166" t="s">
        <v>396</v>
      </c>
      <c r="C1166" s="1">
        <v>4.4800000000000004</v>
      </c>
      <c r="D1166" s="1">
        <v>0.35</v>
      </c>
      <c r="E1166" s="19">
        <v>8.4700000000000006</v>
      </c>
      <c r="F1166" s="4">
        <v>126429</v>
      </c>
      <c r="G1166" s="5">
        <v>43175</v>
      </c>
    </row>
    <row r="1167" spans="1:7" x14ac:dyDescent="0.4">
      <c r="A1167">
        <v>67</v>
      </c>
      <c r="B1167" t="s">
        <v>211</v>
      </c>
      <c r="C1167" s="1">
        <v>8.9600000000000009</v>
      </c>
      <c r="D1167" s="1">
        <v>0.7</v>
      </c>
      <c r="E1167" s="19">
        <v>8.4700000000000006</v>
      </c>
      <c r="F1167" s="4">
        <v>84350</v>
      </c>
      <c r="G1167" s="5">
        <v>43175</v>
      </c>
    </row>
    <row r="1168" spans="1:7" x14ac:dyDescent="0.4">
      <c r="A1168">
        <v>68</v>
      </c>
      <c r="B1168" t="s">
        <v>397</v>
      </c>
      <c r="C1168" s="1">
        <v>11.55</v>
      </c>
      <c r="D1168" s="1">
        <v>0.9</v>
      </c>
      <c r="E1168" s="19">
        <v>8.4499999999999993</v>
      </c>
      <c r="F1168" s="4">
        <v>797391</v>
      </c>
      <c r="G1168" s="5">
        <v>43175</v>
      </c>
    </row>
    <row r="1169" spans="1:7" x14ac:dyDescent="0.4">
      <c r="A1169">
        <v>69</v>
      </c>
      <c r="B1169" t="s">
        <v>398</v>
      </c>
      <c r="C1169" s="1">
        <v>36.85</v>
      </c>
      <c r="D1169" s="1">
        <v>2.8</v>
      </c>
      <c r="E1169" s="19">
        <v>8.2200000000000006</v>
      </c>
      <c r="F1169" s="4">
        <v>954401</v>
      </c>
      <c r="G1169" s="5">
        <v>43175</v>
      </c>
    </row>
    <row r="1170" spans="1:7" x14ac:dyDescent="0.4">
      <c r="A1170">
        <v>70</v>
      </c>
      <c r="B1170" t="s">
        <v>399</v>
      </c>
      <c r="C1170" s="1">
        <v>5.95</v>
      </c>
      <c r="D1170" s="1">
        <v>0.45</v>
      </c>
      <c r="E1170" s="19">
        <v>8.18</v>
      </c>
      <c r="F1170" s="4">
        <v>161775</v>
      </c>
      <c r="G1170" s="5">
        <v>43175</v>
      </c>
    </row>
    <row r="1171" spans="1:7" x14ac:dyDescent="0.4">
      <c r="A1171">
        <v>71</v>
      </c>
      <c r="B1171" t="s">
        <v>400</v>
      </c>
      <c r="C1171" s="1">
        <v>2.25</v>
      </c>
      <c r="D1171" s="1">
        <v>0.17</v>
      </c>
      <c r="E1171" s="19">
        <v>8.17</v>
      </c>
      <c r="F1171" s="4">
        <v>2278678</v>
      </c>
      <c r="G1171" s="5">
        <v>43175</v>
      </c>
    </row>
    <row r="1172" spans="1:7" x14ac:dyDescent="0.4">
      <c r="A1172">
        <v>72</v>
      </c>
      <c r="B1172" t="s">
        <v>401</v>
      </c>
      <c r="C1172" s="1">
        <v>18.02</v>
      </c>
      <c r="D1172" s="1">
        <v>1.33</v>
      </c>
      <c r="E1172" s="19">
        <v>7.97</v>
      </c>
      <c r="F1172" s="4">
        <v>51049</v>
      </c>
      <c r="G1172" s="5">
        <v>43175</v>
      </c>
    </row>
    <row r="1173" spans="1:7" x14ac:dyDescent="0.4">
      <c r="A1173">
        <v>73</v>
      </c>
      <c r="B1173" t="s">
        <v>402</v>
      </c>
      <c r="C1173" s="1">
        <v>9.86</v>
      </c>
      <c r="D1173" s="1">
        <v>0.73</v>
      </c>
      <c r="E1173" s="19">
        <v>7.94</v>
      </c>
      <c r="F1173" s="4">
        <v>779060</v>
      </c>
      <c r="G1173" s="5">
        <v>43175</v>
      </c>
    </row>
    <row r="1174" spans="1:7" x14ac:dyDescent="0.4">
      <c r="A1174">
        <v>74</v>
      </c>
      <c r="B1174" t="s">
        <v>403</v>
      </c>
      <c r="C1174" s="1">
        <v>3.4</v>
      </c>
      <c r="D1174" s="1">
        <v>0.25</v>
      </c>
      <c r="E1174" s="19">
        <v>7.94</v>
      </c>
      <c r="F1174" s="4">
        <v>1272271</v>
      </c>
      <c r="G1174" s="5">
        <v>43175</v>
      </c>
    </row>
    <row r="1175" spans="1:7" x14ac:dyDescent="0.4">
      <c r="A1175">
        <v>75</v>
      </c>
      <c r="B1175" t="s">
        <v>404</v>
      </c>
      <c r="C1175" s="1">
        <v>5.09</v>
      </c>
      <c r="D1175" s="1">
        <v>0.37</v>
      </c>
      <c r="E1175" s="19">
        <v>7.84</v>
      </c>
      <c r="F1175" s="4">
        <v>318177</v>
      </c>
      <c r="G1175" s="5">
        <v>43175</v>
      </c>
    </row>
    <row r="1176" spans="1:7" x14ac:dyDescent="0.4">
      <c r="A1176">
        <v>76</v>
      </c>
      <c r="B1176" t="s">
        <v>405</v>
      </c>
      <c r="C1176" s="1">
        <v>39.35</v>
      </c>
      <c r="D1176" s="1">
        <v>2.86</v>
      </c>
      <c r="E1176" s="19">
        <v>7.84</v>
      </c>
      <c r="F1176" s="4">
        <v>170762</v>
      </c>
      <c r="G1176" s="5">
        <v>43175</v>
      </c>
    </row>
    <row r="1177" spans="1:7" x14ac:dyDescent="0.4">
      <c r="A1177">
        <v>77</v>
      </c>
      <c r="B1177" t="s">
        <v>406</v>
      </c>
      <c r="C1177" s="1">
        <v>11.1</v>
      </c>
      <c r="D1177" s="1">
        <v>0.81</v>
      </c>
      <c r="E1177" s="19">
        <v>7.82</v>
      </c>
      <c r="F1177" s="4">
        <v>143593</v>
      </c>
      <c r="G1177" s="5">
        <v>43175</v>
      </c>
    </row>
    <row r="1178" spans="1:7" x14ac:dyDescent="0.4">
      <c r="A1178">
        <v>78</v>
      </c>
      <c r="B1178" t="s">
        <v>407</v>
      </c>
      <c r="C1178" s="1">
        <v>24.33</v>
      </c>
      <c r="D1178" s="1">
        <v>1.76</v>
      </c>
      <c r="E1178" s="19">
        <v>7.8</v>
      </c>
      <c r="F1178" s="4">
        <v>191727</v>
      </c>
      <c r="G1178" s="5">
        <v>43175</v>
      </c>
    </row>
    <row r="1179" spans="1:7" x14ac:dyDescent="0.4">
      <c r="A1179">
        <v>79</v>
      </c>
      <c r="B1179" t="s">
        <v>408</v>
      </c>
      <c r="C1179" s="1">
        <v>18.100000000000001</v>
      </c>
      <c r="D1179" s="1">
        <v>1.3</v>
      </c>
      <c r="E1179" s="19">
        <v>7.74</v>
      </c>
      <c r="F1179" s="4">
        <v>725629</v>
      </c>
      <c r="G1179" s="5">
        <v>43175</v>
      </c>
    </row>
    <row r="1180" spans="1:7" x14ac:dyDescent="0.4">
      <c r="A1180">
        <v>80</v>
      </c>
      <c r="B1180" t="s">
        <v>409</v>
      </c>
      <c r="C1180" s="1">
        <v>221.88</v>
      </c>
      <c r="D1180" s="1">
        <v>15.74</v>
      </c>
      <c r="E1180" s="19">
        <v>7.64</v>
      </c>
      <c r="F1180" s="4">
        <v>5690582</v>
      </c>
      <c r="G1180" s="5">
        <v>43175</v>
      </c>
    </row>
    <row r="1181" spans="1:7" x14ac:dyDescent="0.4">
      <c r="A1181">
        <v>81</v>
      </c>
      <c r="B1181" t="s">
        <v>410</v>
      </c>
      <c r="C1181" s="1">
        <v>12.1</v>
      </c>
      <c r="D1181" s="1">
        <v>0.85</v>
      </c>
      <c r="E1181" s="19">
        <v>7.56</v>
      </c>
      <c r="F1181" s="4">
        <v>608886</v>
      </c>
      <c r="G1181" s="5">
        <v>43175</v>
      </c>
    </row>
    <row r="1182" spans="1:7" x14ac:dyDescent="0.4">
      <c r="A1182">
        <v>82</v>
      </c>
      <c r="B1182" t="s">
        <v>411</v>
      </c>
      <c r="C1182" s="1">
        <v>7.42</v>
      </c>
      <c r="D1182" s="1">
        <v>0.52</v>
      </c>
      <c r="E1182" s="19">
        <v>7.54</v>
      </c>
      <c r="F1182" s="4">
        <v>211506</v>
      </c>
      <c r="G1182" s="5">
        <v>43175</v>
      </c>
    </row>
    <row r="1183" spans="1:7" x14ac:dyDescent="0.4">
      <c r="A1183">
        <v>83</v>
      </c>
      <c r="B1183" t="s">
        <v>412</v>
      </c>
      <c r="C1183" s="1">
        <v>30.36</v>
      </c>
      <c r="D1183" s="1">
        <v>2.12</v>
      </c>
      <c r="E1183" s="19">
        <v>7.51</v>
      </c>
      <c r="F1183" s="4">
        <v>1442548</v>
      </c>
      <c r="G1183" s="5">
        <v>43175</v>
      </c>
    </row>
    <row r="1184" spans="1:7" x14ac:dyDescent="0.4">
      <c r="A1184">
        <v>84</v>
      </c>
      <c r="B1184" t="s">
        <v>413</v>
      </c>
      <c r="C1184" s="1">
        <v>4.46</v>
      </c>
      <c r="D1184" s="1">
        <v>0.31</v>
      </c>
      <c r="E1184" s="19">
        <v>7.47</v>
      </c>
      <c r="F1184" s="4">
        <v>265488</v>
      </c>
      <c r="G1184" s="5">
        <v>43175</v>
      </c>
    </row>
    <row r="1185" spans="1:7" x14ac:dyDescent="0.4">
      <c r="A1185">
        <v>85</v>
      </c>
      <c r="B1185" t="s">
        <v>414</v>
      </c>
      <c r="C1185" s="1">
        <v>46.15</v>
      </c>
      <c r="D1185" s="1">
        <v>3.2</v>
      </c>
      <c r="E1185" s="19">
        <v>7.45</v>
      </c>
      <c r="F1185" s="4">
        <v>1146878</v>
      </c>
      <c r="G1185" s="5">
        <v>43175</v>
      </c>
    </row>
    <row r="1186" spans="1:7" x14ac:dyDescent="0.4">
      <c r="A1186">
        <v>86</v>
      </c>
      <c r="B1186" t="s">
        <v>415</v>
      </c>
      <c r="C1186" s="1">
        <v>11.86</v>
      </c>
      <c r="D1186" s="1">
        <v>0.81</v>
      </c>
      <c r="E1186" s="19">
        <v>7.33</v>
      </c>
      <c r="F1186" s="4">
        <v>26024</v>
      </c>
      <c r="G1186" s="5">
        <v>43175</v>
      </c>
    </row>
    <row r="1187" spans="1:7" x14ac:dyDescent="0.4">
      <c r="A1187">
        <v>87</v>
      </c>
      <c r="B1187" t="s">
        <v>416</v>
      </c>
      <c r="C1187" s="1">
        <v>2.25</v>
      </c>
      <c r="D1187" s="1">
        <v>0.15</v>
      </c>
      <c r="E1187" s="19">
        <v>7.14</v>
      </c>
      <c r="F1187" s="4">
        <v>217216</v>
      </c>
      <c r="G1187" s="5">
        <v>43175</v>
      </c>
    </row>
    <row r="1188" spans="1:7" x14ac:dyDescent="0.4">
      <c r="A1188">
        <v>88</v>
      </c>
      <c r="B1188" t="s">
        <v>248</v>
      </c>
      <c r="C1188" s="1">
        <v>4.72</v>
      </c>
      <c r="D1188" s="1">
        <v>0.31</v>
      </c>
      <c r="E1188" s="19">
        <v>7.03</v>
      </c>
      <c r="F1188" s="4">
        <v>2830666</v>
      </c>
      <c r="G1188" s="5">
        <v>43175</v>
      </c>
    </row>
    <row r="1189" spans="1:7" x14ac:dyDescent="0.4">
      <c r="A1189">
        <v>89</v>
      </c>
      <c r="B1189" t="s">
        <v>417</v>
      </c>
      <c r="C1189" s="1">
        <v>2.15</v>
      </c>
      <c r="D1189" s="1">
        <v>0.14000000000000001</v>
      </c>
      <c r="E1189" s="19">
        <v>6.97</v>
      </c>
      <c r="F1189" s="4">
        <v>63336</v>
      </c>
      <c r="G1189" s="5">
        <v>43175</v>
      </c>
    </row>
    <row r="1190" spans="1:7" x14ac:dyDescent="0.4">
      <c r="A1190">
        <v>90</v>
      </c>
      <c r="B1190" t="s">
        <v>418</v>
      </c>
      <c r="C1190" s="1">
        <v>8.4600000000000009</v>
      </c>
      <c r="D1190" s="1">
        <v>0.55000000000000004</v>
      </c>
      <c r="E1190" s="19">
        <v>6.95</v>
      </c>
      <c r="F1190" s="4">
        <v>245665</v>
      </c>
      <c r="G1190" s="5">
        <v>43175</v>
      </c>
    </row>
    <row r="1191" spans="1:7" x14ac:dyDescent="0.4">
      <c r="A1191">
        <v>91</v>
      </c>
      <c r="B1191" t="s">
        <v>419</v>
      </c>
      <c r="C1191" s="1">
        <v>3.86</v>
      </c>
      <c r="D1191" s="1">
        <v>0.25</v>
      </c>
      <c r="E1191" s="19">
        <v>6.93</v>
      </c>
      <c r="F1191" s="4">
        <v>1091602</v>
      </c>
      <c r="G1191" s="5">
        <v>43175</v>
      </c>
    </row>
    <row r="1192" spans="1:7" x14ac:dyDescent="0.4">
      <c r="A1192">
        <v>92</v>
      </c>
      <c r="B1192" t="s">
        <v>420</v>
      </c>
      <c r="C1192" s="1">
        <v>21.95</v>
      </c>
      <c r="D1192" s="1">
        <v>1.42</v>
      </c>
      <c r="E1192" s="19">
        <v>6.92</v>
      </c>
      <c r="F1192" s="4">
        <v>1649828</v>
      </c>
      <c r="G1192" s="5">
        <v>43175</v>
      </c>
    </row>
    <row r="1193" spans="1:7" x14ac:dyDescent="0.4">
      <c r="A1193">
        <v>93</v>
      </c>
      <c r="B1193" t="s">
        <v>252</v>
      </c>
      <c r="C1193" s="1">
        <v>4.18</v>
      </c>
      <c r="D1193" s="1">
        <v>0.27</v>
      </c>
      <c r="E1193" s="19">
        <v>6.91</v>
      </c>
      <c r="F1193" s="4">
        <v>185364</v>
      </c>
      <c r="G1193" s="5">
        <v>43175</v>
      </c>
    </row>
    <row r="1194" spans="1:7" x14ac:dyDescent="0.4">
      <c r="A1194">
        <v>94</v>
      </c>
      <c r="B1194" t="s">
        <v>421</v>
      </c>
      <c r="C1194" s="1">
        <v>3.9</v>
      </c>
      <c r="D1194" s="1">
        <v>0.25</v>
      </c>
      <c r="E1194" s="19">
        <v>6.85</v>
      </c>
      <c r="F1194" s="4">
        <v>510904</v>
      </c>
      <c r="G1194" s="5">
        <v>43175</v>
      </c>
    </row>
    <row r="1195" spans="1:7" x14ac:dyDescent="0.4">
      <c r="A1195">
        <v>95</v>
      </c>
      <c r="B1195" t="s">
        <v>422</v>
      </c>
      <c r="C1195" s="1">
        <v>19.5</v>
      </c>
      <c r="D1195" s="1">
        <v>1.25</v>
      </c>
      <c r="E1195" s="19">
        <v>6.85</v>
      </c>
      <c r="F1195" s="4">
        <v>1853458</v>
      </c>
      <c r="G1195" s="5">
        <v>43175</v>
      </c>
    </row>
    <row r="1196" spans="1:7" x14ac:dyDescent="0.4">
      <c r="A1196">
        <v>96</v>
      </c>
      <c r="B1196" t="s">
        <v>423</v>
      </c>
      <c r="C1196" s="1">
        <v>31.5</v>
      </c>
      <c r="D1196" s="1">
        <v>2</v>
      </c>
      <c r="E1196" s="19">
        <v>6.78</v>
      </c>
      <c r="F1196" s="4">
        <v>13214</v>
      </c>
      <c r="G1196" s="5">
        <v>43175</v>
      </c>
    </row>
    <row r="1197" spans="1:7" x14ac:dyDescent="0.4">
      <c r="A1197">
        <v>97</v>
      </c>
      <c r="B1197" t="s">
        <v>424</v>
      </c>
      <c r="C1197" s="1">
        <v>3.15</v>
      </c>
      <c r="D1197" s="1">
        <v>0.2</v>
      </c>
      <c r="E1197" s="19">
        <v>6.78</v>
      </c>
      <c r="F1197" s="4">
        <v>960284</v>
      </c>
      <c r="G1197" s="5">
        <v>43175</v>
      </c>
    </row>
    <row r="1198" spans="1:7" x14ac:dyDescent="0.4">
      <c r="A1198">
        <v>98</v>
      </c>
      <c r="B1198" t="s">
        <v>201</v>
      </c>
      <c r="C1198" s="1">
        <v>11.74</v>
      </c>
      <c r="D1198" s="1">
        <v>0.74</v>
      </c>
      <c r="E1198" s="19">
        <v>6.73</v>
      </c>
      <c r="F1198" s="4">
        <v>3087</v>
      </c>
      <c r="G1198" s="5">
        <v>43175</v>
      </c>
    </row>
    <row r="1199" spans="1:7" x14ac:dyDescent="0.4">
      <c r="A1199">
        <v>99</v>
      </c>
      <c r="B1199" t="s">
        <v>425</v>
      </c>
      <c r="C1199" s="1">
        <v>16.7</v>
      </c>
      <c r="D1199" s="1">
        <v>1.05</v>
      </c>
      <c r="E1199" s="19">
        <v>6.71</v>
      </c>
      <c r="F1199" s="4">
        <v>4307</v>
      </c>
      <c r="G1199" s="5">
        <v>43175</v>
      </c>
    </row>
    <row r="1200" spans="1:7" x14ac:dyDescent="0.4">
      <c r="A1200">
        <v>100</v>
      </c>
      <c r="B1200" t="s">
        <v>426</v>
      </c>
      <c r="C1200" s="1">
        <v>4.1399999999999997</v>
      </c>
      <c r="D1200" s="1">
        <v>0.26</v>
      </c>
      <c r="E1200" s="19">
        <v>6.7</v>
      </c>
      <c r="F1200" s="4">
        <v>710495</v>
      </c>
      <c r="G1200" s="5">
        <v>43175</v>
      </c>
    </row>
    <row r="1201" spans="1:7" x14ac:dyDescent="0.4">
      <c r="A1201">
        <v>1</v>
      </c>
      <c r="B1201" t="s">
        <v>357</v>
      </c>
      <c r="C1201" s="1">
        <v>33</v>
      </c>
      <c r="D1201" s="1">
        <v>17</v>
      </c>
      <c r="E1201" s="19">
        <v>106.25</v>
      </c>
      <c r="F1201" s="4">
        <v>16755981</v>
      </c>
      <c r="G1201" s="5">
        <v>43175</v>
      </c>
    </row>
    <row r="1202" spans="1:7" x14ac:dyDescent="0.4">
      <c r="A1202">
        <v>2</v>
      </c>
      <c r="B1202" t="s">
        <v>427</v>
      </c>
      <c r="C1202" s="1">
        <v>26.34</v>
      </c>
      <c r="D1202" s="1">
        <v>5.69</v>
      </c>
      <c r="E1202" s="19">
        <v>27.55</v>
      </c>
      <c r="F1202" s="4">
        <v>539989</v>
      </c>
      <c r="G1202" s="5">
        <v>43178</v>
      </c>
    </row>
    <row r="1203" spans="1:7" x14ac:dyDescent="0.4">
      <c r="A1203">
        <v>3</v>
      </c>
      <c r="B1203" t="s">
        <v>204</v>
      </c>
      <c r="C1203" s="3">
        <v>27.3</v>
      </c>
      <c r="D1203" s="1">
        <v>5.8</v>
      </c>
      <c r="E1203" s="19">
        <v>26.98</v>
      </c>
      <c r="F1203" s="4">
        <v>10407493</v>
      </c>
      <c r="G1203" s="5">
        <v>43178</v>
      </c>
    </row>
    <row r="1204" spans="1:7" x14ac:dyDescent="0.4">
      <c r="A1204">
        <v>4</v>
      </c>
      <c r="B1204" t="s">
        <v>22</v>
      </c>
      <c r="C1204" s="1">
        <v>19.48</v>
      </c>
      <c r="D1204" s="1">
        <v>3.58</v>
      </c>
      <c r="E1204" s="19">
        <v>22.52</v>
      </c>
      <c r="F1204" s="4">
        <v>247888</v>
      </c>
      <c r="G1204" s="5">
        <v>43178</v>
      </c>
    </row>
    <row r="1205" spans="1:7" x14ac:dyDescent="0.4">
      <c r="A1205">
        <v>5</v>
      </c>
      <c r="B1205" t="s">
        <v>428</v>
      </c>
      <c r="C1205" s="1">
        <v>6.54</v>
      </c>
      <c r="D1205" s="1">
        <v>1.07</v>
      </c>
      <c r="E1205" s="19">
        <v>19.559999999999999</v>
      </c>
      <c r="F1205" s="4">
        <v>537625</v>
      </c>
      <c r="G1205" s="5">
        <v>43178</v>
      </c>
    </row>
    <row r="1206" spans="1:7" x14ac:dyDescent="0.4">
      <c r="A1206">
        <v>6</v>
      </c>
      <c r="B1206" t="s">
        <v>429</v>
      </c>
      <c r="C1206" s="1">
        <v>8.09</v>
      </c>
      <c r="D1206" s="1">
        <v>1.21</v>
      </c>
      <c r="E1206" s="19">
        <v>17.59</v>
      </c>
      <c r="F1206" s="4">
        <v>70028929</v>
      </c>
      <c r="G1206" s="5">
        <v>43178</v>
      </c>
    </row>
    <row r="1207" spans="1:7" x14ac:dyDescent="0.4">
      <c r="A1207">
        <v>7</v>
      </c>
      <c r="B1207" t="s">
        <v>57</v>
      </c>
      <c r="C1207" s="1">
        <v>16.48</v>
      </c>
      <c r="D1207" s="1">
        <v>2.14</v>
      </c>
      <c r="E1207" s="19">
        <v>14.92</v>
      </c>
      <c r="F1207" s="4">
        <v>487097</v>
      </c>
      <c r="G1207" s="5">
        <v>43178</v>
      </c>
    </row>
    <row r="1208" spans="1:7" x14ac:dyDescent="0.4">
      <c r="A1208">
        <v>8</v>
      </c>
      <c r="B1208" t="s">
        <v>430</v>
      </c>
      <c r="C1208" s="1">
        <v>16.399999999999999</v>
      </c>
      <c r="D1208" s="1">
        <v>2.04</v>
      </c>
      <c r="E1208" s="19">
        <v>14.21</v>
      </c>
      <c r="F1208" s="4">
        <v>57978211</v>
      </c>
      <c r="G1208" s="5">
        <v>43178</v>
      </c>
    </row>
    <row r="1209" spans="1:7" x14ac:dyDescent="0.4">
      <c r="A1209">
        <v>9</v>
      </c>
      <c r="B1209" t="s">
        <v>431</v>
      </c>
      <c r="C1209" s="1">
        <v>11.28</v>
      </c>
      <c r="D1209" s="1">
        <v>1.28</v>
      </c>
      <c r="E1209" s="19">
        <v>12.84</v>
      </c>
      <c r="F1209" s="4">
        <v>15810</v>
      </c>
      <c r="G1209" s="5">
        <v>43178</v>
      </c>
    </row>
    <row r="1210" spans="1:7" x14ac:dyDescent="0.4">
      <c r="A1210">
        <v>10</v>
      </c>
      <c r="B1210" t="s">
        <v>432</v>
      </c>
      <c r="C1210" s="1">
        <v>4.67</v>
      </c>
      <c r="D1210" s="1">
        <v>0.52</v>
      </c>
      <c r="E1210" s="19">
        <v>12.65</v>
      </c>
      <c r="F1210" s="4">
        <v>244928</v>
      </c>
      <c r="G1210" s="5">
        <v>43178</v>
      </c>
    </row>
    <row r="1211" spans="1:7" x14ac:dyDescent="0.4">
      <c r="A1211">
        <v>11</v>
      </c>
      <c r="B1211" t="s">
        <v>433</v>
      </c>
      <c r="C1211" s="1">
        <v>11.8</v>
      </c>
      <c r="D1211" s="1">
        <v>1.3</v>
      </c>
      <c r="E1211" s="19">
        <v>12.38</v>
      </c>
      <c r="F1211" s="4">
        <v>350313</v>
      </c>
      <c r="G1211" s="5">
        <v>43178</v>
      </c>
    </row>
    <row r="1212" spans="1:7" x14ac:dyDescent="0.4">
      <c r="A1212">
        <v>12</v>
      </c>
      <c r="B1212" t="s">
        <v>434</v>
      </c>
      <c r="C1212" s="1">
        <v>5.56</v>
      </c>
      <c r="D1212" s="1">
        <v>0.6</v>
      </c>
      <c r="E1212" s="19">
        <v>12.1</v>
      </c>
      <c r="F1212" s="4">
        <v>2720702</v>
      </c>
      <c r="G1212" s="5">
        <v>43178</v>
      </c>
    </row>
    <row r="1213" spans="1:7" x14ac:dyDescent="0.4">
      <c r="A1213">
        <v>13</v>
      </c>
      <c r="B1213" t="s">
        <v>435</v>
      </c>
      <c r="C1213" s="1">
        <v>9.33</v>
      </c>
      <c r="D1213" s="1">
        <v>1</v>
      </c>
      <c r="E1213" s="19">
        <v>12</v>
      </c>
      <c r="F1213" s="4">
        <v>300991</v>
      </c>
      <c r="G1213" s="5">
        <v>43178</v>
      </c>
    </row>
    <row r="1214" spans="1:7" x14ac:dyDescent="0.4">
      <c r="A1214">
        <v>14</v>
      </c>
      <c r="B1214" t="s">
        <v>436</v>
      </c>
      <c r="C1214" s="1">
        <v>14.36</v>
      </c>
      <c r="D1214" s="1">
        <v>1.53</v>
      </c>
      <c r="E1214" s="19">
        <v>11.94</v>
      </c>
      <c r="F1214" s="4">
        <v>5569</v>
      </c>
      <c r="G1214" s="5">
        <v>43178</v>
      </c>
    </row>
    <row r="1215" spans="1:7" x14ac:dyDescent="0.4">
      <c r="A1215">
        <v>15</v>
      </c>
      <c r="B1215" t="s">
        <v>437</v>
      </c>
      <c r="C1215" s="1">
        <v>8.75</v>
      </c>
      <c r="D1215" s="1">
        <v>0.93</v>
      </c>
      <c r="E1215" s="19">
        <v>11.89</v>
      </c>
      <c r="F1215" s="4">
        <v>6622365</v>
      </c>
      <c r="G1215" s="5">
        <v>43178</v>
      </c>
    </row>
    <row r="1216" spans="1:7" x14ac:dyDescent="0.4">
      <c r="A1216">
        <v>16</v>
      </c>
      <c r="B1216" t="s">
        <v>438</v>
      </c>
      <c r="C1216" s="1">
        <v>8.49</v>
      </c>
      <c r="D1216" s="1">
        <v>0.89</v>
      </c>
      <c r="E1216" s="19">
        <v>11.71</v>
      </c>
      <c r="F1216" s="4">
        <v>300105</v>
      </c>
      <c r="G1216" s="5">
        <v>43178</v>
      </c>
    </row>
    <row r="1217" spans="1:7" x14ac:dyDescent="0.4">
      <c r="A1217">
        <v>17</v>
      </c>
      <c r="B1217" t="s">
        <v>439</v>
      </c>
      <c r="C1217" s="1">
        <v>2.2999999999999998</v>
      </c>
      <c r="D1217" s="1">
        <v>0.21</v>
      </c>
      <c r="E1217" s="19">
        <v>10.050000000000001</v>
      </c>
      <c r="F1217" s="4">
        <v>2996752</v>
      </c>
      <c r="G1217" s="5">
        <v>43178</v>
      </c>
    </row>
    <row r="1218" spans="1:7" x14ac:dyDescent="0.4">
      <c r="A1218">
        <v>18</v>
      </c>
      <c r="B1218" t="s">
        <v>440</v>
      </c>
      <c r="C1218" s="1">
        <v>43.35</v>
      </c>
      <c r="D1218" s="1">
        <v>3.85</v>
      </c>
      <c r="E1218" s="19">
        <v>9.75</v>
      </c>
      <c r="F1218" s="4">
        <v>56325112</v>
      </c>
      <c r="G1218" s="5">
        <v>43178</v>
      </c>
    </row>
    <row r="1219" spans="1:7" x14ac:dyDescent="0.4">
      <c r="A1219">
        <v>19</v>
      </c>
      <c r="B1219" t="s">
        <v>242</v>
      </c>
      <c r="C1219" s="1">
        <v>2.2000000000000002</v>
      </c>
      <c r="D1219" s="1">
        <v>0.19</v>
      </c>
      <c r="E1219" s="19">
        <v>9.4499999999999993</v>
      </c>
      <c r="F1219" s="4">
        <v>339160</v>
      </c>
      <c r="G1219" s="5">
        <v>43178</v>
      </c>
    </row>
    <row r="1220" spans="1:7" x14ac:dyDescent="0.4">
      <c r="A1220">
        <v>20</v>
      </c>
      <c r="B1220" t="s">
        <v>441</v>
      </c>
      <c r="C1220" s="1">
        <v>18.29</v>
      </c>
      <c r="D1220" s="1">
        <v>1.57</v>
      </c>
      <c r="E1220" s="19">
        <v>9.39</v>
      </c>
      <c r="F1220" s="4">
        <v>258526</v>
      </c>
      <c r="G1220" s="5">
        <v>43178</v>
      </c>
    </row>
    <row r="1221" spans="1:7" x14ac:dyDescent="0.4">
      <c r="A1221">
        <v>21</v>
      </c>
      <c r="B1221" t="s">
        <v>442</v>
      </c>
      <c r="C1221" s="1">
        <v>35.82</v>
      </c>
      <c r="D1221" s="1">
        <v>3.05</v>
      </c>
      <c r="E1221" s="19">
        <v>9.31</v>
      </c>
      <c r="F1221" s="4">
        <v>3792443</v>
      </c>
      <c r="G1221" s="5">
        <v>43178</v>
      </c>
    </row>
    <row r="1222" spans="1:7" x14ac:dyDescent="0.4">
      <c r="A1222">
        <v>22</v>
      </c>
      <c r="B1222" t="s">
        <v>25</v>
      </c>
      <c r="C1222" s="1">
        <v>45.69</v>
      </c>
      <c r="D1222" s="1">
        <v>3.78</v>
      </c>
      <c r="E1222" s="19">
        <v>9.02</v>
      </c>
      <c r="F1222" s="4">
        <v>2401215</v>
      </c>
      <c r="G1222" s="5">
        <v>43178</v>
      </c>
    </row>
    <row r="1223" spans="1:7" x14ac:dyDescent="0.4">
      <c r="A1223">
        <v>23</v>
      </c>
      <c r="B1223" t="s">
        <v>443</v>
      </c>
      <c r="C1223" s="1">
        <v>6.05</v>
      </c>
      <c r="D1223" s="1">
        <v>0.5</v>
      </c>
      <c r="E1223" s="19">
        <v>9.01</v>
      </c>
      <c r="F1223" s="4">
        <v>85194</v>
      </c>
      <c r="G1223" s="5">
        <v>43178</v>
      </c>
    </row>
    <row r="1224" spans="1:7" x14ac:dyDescent="0.4">
      <c r="A1224">
        <v>24</v>
      </c>
      <c r="B1224" t="s">
        <v>40</v>
      </c>
      <c r="C1224" s="1">
        <v>3.7</v>
      </c>
      <c r="D1224" s="1">
        <v>0.3</v>
      </c>
      <c r="E1224" s="19">
        <v>8.82</v>
      </c>
      <c r="F1224" s="4">
        <v>5115</v>
      </c>
      <c r="G1224" s="5">
        <v>43178</v>
      </c>
    </row>
    <row r="1225" spans="1:7" x14ac:dyDescent="0.4">
      <c r="A1225">
        <v>25</v>
      </c>
      <c r="B1225" t="s">
        <v>211</v>
      </c>
      <c r="C1225" s="1">
        <v>9.75</v>
      </c>
      <c r="D1225" s="1">
        <v>0.79</v>
      </c>
      <c r="E1225" s="19">
        <v>8.82</v>
      </c>
      <c r="F1225" s="4">
        <v>685298</v>
      </c>
      <c r="G1225" s="5">
        <v>43178</v>
      </c>
    </row>
    <row r="1226" spans="1:7" x14ac:dyDescent="0.4">
      <c r="A1226">
        <v>26</v>
      </c>
      <c r="B1226" t="s">
        <v>154</v>
      </c>
      <c r="C1226" s="1">
        <v>36</v>
      </c>
      <c r="D1226" s="1">
        <v>2.84</v>
      </c>
      <c r="E1226" s="19">
        <v>8.58</v>
      </c>
      <c r="F1226" s="4">
        <v>49027</v>
      </c>
      <c r="G1226" s="5">
        <v>43178</v>
      </c>
    </row>
    <row r="1227" spans="1:7" x14ac:dyDescent="0.4">
      <c r="A1227">
        <v>27</v>
      </c>
      <c r="B1227" t="s">
        <v>444</v>
      </c>
      <c r="C1227" s="1">
        <v>13.19</v>
      </c>
      <c r="D1227" s="1">
        <v>0.99</v>
      </c>
      <c r="E1227" s="19">
        <v>8.11</v>
      </c>
      <c r="F1227" s="4">
        <v>3342846</v>
      </c>
      <c r="G1227" s="5">
        <v>43178</v>
      </c>
    </row>
    <row r="1228" spans="1:7" x14ac:dyDescent="0.4">
      <c r="A1228">
        <v>28</v>
      </c>
      <c r="B1228" t="s">
        <v>318</v>
      </c>
      <c r="C1228" s="1">
        <v>30.84</v>
      </c>
      <c r="D1228" s="1">
        <v>2.29</v>
      </c>
      <c r="E1228" s="19">
        <v>8.02</v>
      </c>
      <c r="F1228" s="4">
        <v>34248</v>
      </c>
      <c r="G1228" s="5">
        <v>43178</v>
      </c>
    </row>
    <row r="1229" spans="1:7" x14ac:dyDescent="0.4">
      <c r="A1229">
        <v>29</v>
      </c>
      <c r="B1229" t="s">
        <v>345</v>
      </c>
      <c r="C1229" s="1">
        <v>4.3899999999999997</v>
      </c>
      <c r="D1229" s="1">
        <v>0.31</v>
      </c>
      <c r="E1229" s="19">
        <v>7.6</v>
      </c>
      <c r="F1229" s="4">
        <v>5347963</v>
      </c>
      <c r="G1229" s="5">
        <v>43178</v>
      </c>
    </row>
    <row r="1230" spans="1:7" x14ac:dyDescent="0.4">
      <c r="A1230">
        <v>30</v>
      </c>
      <c r="B1230" t="s">
        <v>445</v>
      </c>
      <c r="C1230" s="1">
        <v>14.5</v>
      </c>
      <c r="D1230" s="1">
        <v>1</v>
      </c>
      <c r="E1230" s="19">
        <v>7.41</v>
      </c>
      <c r="F1230" s="4">
        <v>1551564</v>
      </c>
      <c r="G1230" s="5">
        <v>43178</v>
      </c>
    </row>
    <row r="1231" spans="1:7" x14ac:dyDescent="0.4">
      <c r="A1231">
        <v>31</v>
      </c>
      <c r="B1231" t="s">
        <v>446</v>
      </c>
      <c r="C1231" s="1">
        <v>40.97</v>
      </c>
      <c r="D1231" s="1">
        <v>2.81</v>
      </c>
      <c r="E1231" s="19">
        <v>7.36</v>
      </c>
      <c r="F1231" s="4">
        <v>22156</v>
      </c>
      <c r="G1231" s="5">
        <v>43178</v>
      </c>
    </row>
    <row r="1232" spans="1:7" x14ac:dyDescent="0.4">
      <c r="A1232">
        <v>32</v>
      </c>
      <c r="B1232" t="s">
        <v>447</v>
      </c>
      <c r="C1232" s="1">
        <v>9.11</v>
      </c>
      <c r="D1232" s="1">
        <v>0.61</v>
      </c>
      <c r="E1232" s="19">
        <v>7.18</v>
      </c>
      <c r="F1232" s="4">
        <v>81769</v>
      </c>
      <c r="G1232" s="5">
        <v>43178</v>
      </c>
    </row>
    <row r="1233" spans="1:7" x14ac:dyDescent="0.4">
      <c r="A1233">
        <v>33</v>
      </c>
      <c r="B1233" t="s">
        <v>448</v>
      </c>
      <c r="C1233" s="1">
        <v>16.600000000000001</v>
      </c>
      <c r="D1233" s="1">
        <v>1.1100000000000001</v>
      </c>
      <c r="E1233" s="19">
        <v>7.17</v>
      </c>
      <c r="F1233" s="4">
        <v>2520236</v>
      </c>
      <c r="G1233" s="5">
        <v>43178</v>
      </c>
    </row>
    <row r="1234" spans="1:7" x14ac:dyDescent="0.4">
      <c r="A1234">
        <v>34</v>
      </c>
      <c r="B1234" t="s">
        <v>449</v>
      </c>
      <c r="C1234" s="1">
        <v>35.950000000000003</v>
      </c>
      <c r="D1234" s="1">
        <v>2.35</v>
      </c>
      <c r="E1234" s="19">
        <v>6.99</v>
      </c>
      <c r="F1234" s="4">
        <v>219372</v>
      </c>
      <c r="G1234" s="5">
        <v>43178</v>
      </c>
    </row>
    <row r="1235" spans="1:7" x14ac:dyDescent="0.4">
      <c r="A1235">
        <v>35</v>
      </c>
      <c r="B1235" t="s">
        <v>450</v>
      </c>
      <c r="C1235" s="1">
        <v>63.99</v>
      </c>
      <c r="D1235" s="1">
        <v>4.09</v>
      </c>
      <c r="E1235" s="19">
        <v>6.83</v>
      </c>
      <c r="F1235" s="4">
        <v>5979276</v>
      </c>
      <c r="G1235" s="5">
        <v>43178</v>
      </c>
    </row>
    <row r="1236" spans="1:7" x14ac:dyDescent="0.4">
      <c r="A1236">
        <v>36</v>
      </c>
      <c r="B1236" t="s">
        <v>451</v>
      </c>
      <c r="C1236" s="1">
        <v>8.4600000000000009</v>
      </c>
      <c r="D1236" s="1">
        <v>0.54</v>
      </c>
      <c r="E1236" s="19">
        <v>6.82</v>
      </c>
      <c r="F1236" s="4">
        <v>148687</v>
      </c>
      <c r="G1236" s="5">
        <v>43178</v>
      </c>
    </row>
    <row r="1237" spans="1:7" x14ac:dyDescent="0.4">
      <c r="A1237">
        <v>37</v>
      </c>
      <c r="B1237" t="s">
        <v>452</v>
      </c>
      <c r="C1237" s="1">
        <v>14.43</v>
      </c>
      <c r="D1237" s="1">
        <v>0.91</v>
      </c>
      <c r="E1237" s="19">
        <v>6.73</v>
      </c>
      <c r="F1237" s="4">
        <v>20569</v>
      </c>
      <c r="G1237" s="5">
        <v>43178</v>
      </c>
    </row>
    <row r="1238" spans="1:7" x14ac:dyDescent="0.4">
      <c r="A1238">
        <v>38</v>
      </c>
      <c r="B1238" t="s">
        <v>453</v>
      </c>
      <c r="C1238" s="1">
        <v>2.25</v>
      </c>
      <c r="D1238" s="1">
        <v>0.14000000000000001</v>
      </c>
      <c r="E1238" s="19">
        <v>6.64</v>
      </c>
      <c r="F1238" s="4">
        <v>22930</v>
      </c>
      <c r="G1238" s="5">
        <v>43178</v>
      </c>
    </row>
    <row r="1239" spans="1:7" x14ac:dyDescent="0.4">
      <c r="A1239">
        <v>39</v>
      </c>
      <c r="B1239" t="s">
        <v>454</v>
      </c>
      <c r="C1239" s="1">
        <v>10.14</v>
      </c>
      <c r="D1239" s="1">
        <v>0.63</v>
      </c>
      <c r="E1239" s="19">
        <v>6.62</v>
      </c>
      <c r="F1239" s="4">
        <v>99024</v>
      </c>
      <c r="G1239" s="5">
        <v>43178</v>
      </c>
    </row>
    <row r="1240" spans="1:7" x14ac:dyDescent="0.4">
      <c r="A1240">
        <v>40</v>
      </c>
      <c r="B1240" t="s">
        <v>455</v>
      </c>
      <c r="C1240" s="1">
        <v>121.19</v>
      </c>
      <c r="D1240" s="1">
        <v>7.38</v>
      </c>
      <c r="E1240" s="19">
        <v>6.48</v>
      </c>
      <c r="F1240" s="4">
        <v>630915</v>
      </c>
      <c r="G1240" s="5">
        <v>43178</v>
      </c>
    </row>
    <row r="1241" spans="1:7" x14ac:dyDescent="0.4">
      <c r="A1241">
        <v>41</v>
      </c>
      <c r="B1241" t="s">
        <v>456</v>
      </c>
      <c r="C1241" s="1">
        <v>20.25</v>
      </c>
      <c r="D1241" s="1">
        <v>1.23</v>
      </c>
      <c r="E1241" s="19">
        <v>6.47</v>
      </c>
      <c r="F1241" s="4">
        <v>155669</v>
      </c>
      <c r="G1241" s="5">
        <v>43178</v>
      </c>
    </row>
    <row r="1242" spans="1:7" x14ac:dyDescent="0.4">
      <c r="A1242">
        <v>42</v>
      </c>
      <c r="B1242" t="s">
        <v>457</v>
      </c>
      <c r="C1242" s="1">
        <v>2.15</v>
      </c>
      <c r="D1242" s="1">
        <v>0.13</v>
      </c>
      <c r="E1242" s="19">
        <v>6.44</v>
      </c>
      <c r="F1242" s="4">
        <v>435947</v>
      </c>
      <c r="G1242" s="5">
        <v>43178</v>
      </c>
    </row>
    <row r="1243" spans="1:7" x14ac:dyDescent="0.4">
      <c r="A1243">
        <v>43</v>
      </c>
      <c r="B1243" t="s">
        <v>458</v>
      </c>
      <c r="C1243" s="1">
        <v>16.52</v>
      </c>
      <c r="D1243" s="1">
        <v>0.98</v>
      </c>
      <c r="E1243" s="19">
        <v>6.31</v>
      </c>
      <c r="F1243" s="4">
        <v>23202308</v>
      </c>
      <c r="G1243" s="5">
        <v>43178</v>
      </c>
    </row>
    <row r="1244" spans="1:7" x14ac:dyDescent="0.4">
      <c r="A1244">
        <v>44</v>
      </c>
      <c r="B1244" t="s">
        <v>459</v>
      </c>
      <c r="C1244" s="1">
        <v>14.55</v>
      </c>
      <c r="D1244" s="1">
        <v>0.85</v>
      </c>
      <c r="E1244" s="19">
        <v>6.2</v>
      </c>
      <c r="F1244" s="4">
        <v>10107</v>
      </c>
      <c r="G1244" s="5">
        <v>43178</v>
      </c>
    </row>
    <row r="1245" spans="1:7" x14ac:dyDescent="0.4">
      <c r="A1245">
        <v>45</v>
      </c>
      <c r="B1245" t="s">
        <v>460</v>
      </c>
      <c r="C1245" s="1">
        <v>10.83</v>
      </c>
      <c r="D1245" s="1">
        <v>0.62</v>
      </c>
      <c r="E1245" s="19">
        <v>6.07</v>
      </c>
      <c r="F1245" s="4">
        <v>294985</v>
      </c>
      <c r="G1245" s="5">
        <v>43178</v>
      </c>
    </row>
    <row r="1246" spans="1:7" x14ac:dyDescent="0.4">
      <c r="A1246">
        <v>46</v>
      </c>
      <c r="B1246" t="s">
        <v>461</v>
      </c>
      <c r="C1246" s="1">
        <v>7.22</v>
      </c>
      <c r="D1246" s="1">
        <v>0.41</v>
      </c>
      <c r="E1246" s="19">
        <v>6.02</v>
      </c>
      <c r="F1246" s="4">
        <v>1049713</v>
      </c>
      <c r="G1246" s="5">
        <v>43178</v>
      </c>
    </row>
    <row r="1247" spans="1:7" x14ac:dyDescent="0.4">
      <c r="A1247">
        <v>47</v>
      </c>
      <c r="B1247" t="s">
        <v>285</v>
      </c>
      <c r="C1247" s="1">
        <v>7.1</v>
      </c>
      <c r="D1247" s="1">
        <v>0.4</v>
      </c>
      <c r="E1247" s="19">
        <v>5.97</v>
      </c>
      <c r="F1247" s="4">
        <v>40621</v>
      </c>
      <c r="G1247" s="5">
        <v>43178</v>
      </c>
    </row>
    <row r="1248" spans="1:7" x14ac:dyDescent="0.4">
      <c r="A1248">
        <v>48</v>
      </c>
      <c r="B1248" t="s">
        <v>462</v>
      </c>
      <c r="C1248" s="1">
        <v>5.34</v>
      </c>
      <c r="D1248" s="1">
        <v>0.3</v>
      </c>
      <c r="E1248" s="19">
        <v>5.95</v>
      </c>
      <c r="F1248" s="4">
        <v>1787368</v>
      </c>
      <c r="G1248" s="5">
        <v>43178</v>
      </c>
    </row>
    <row r="1249" spans="1:7" x14ac:dyDescent="0.4">
      <c r="A1249">
        <v>49</v>
      </c>
      <c r="B1249" t="s">
        <v>463</v>
      </c>
      <c r="C1249" s="1">
        <v>23.25</v>
      </c>
      <c r="D1249" s="1">
        <v>1.3</v>
      </c>
      <c r="E1249" s="19">
        <v>5.92</v>
      </c>
      <c r="F1249" s="4">
        <v>1150790</v>
      </c>
      <c r="G1249" s="5">
        <v>43178</v>
      </c>
    </row>
    <row r="1250" spans="1:7" x14ac:dyDescent="0.4">
      <c r="A1250">
        <v>50</v>
      </c>
      <c r="B1250" t="s">
        <v>375</v>
      </c>
      <c r="C1250" s="1">
        <v>23.4</v>
      </c>
      <c r="D1250" s="1">
        <v>1.3</v>
      </c>
      <c r="E1250" s="19">
        <v>5.88</v>
      </c>
      <c r="F1250" s="4">
        <v>843801</v>
      </c>
      <c r="G1250" s="5">
        <v>43178</v>
      </c>
    </row>
    <row r="1251" spans="1:7" x14ac:dyDescent="0.4">
      <c r="A1251">
        <v>51</v>
      </c>
      <c r="B1251" t="s">
        <v>207</v>
      </c>
      <c r="C1251" s="1">
        <v>10.82</v>
      </c>
      <c r="D1251" s="1">
        <v>0.59</v>
      </c>
      <c r="E1251" s="19">
        <v>5.77</v>
      </c>
      <c r="F1251" s="4">
        <v>3315872</v>
      </c>
      <c r="G1251" s="5">
        <v>43178</v>
      </c>
    </row>
    <row r="1252" spans="1:7" x14ac:dyDescent="0.4">
      <c r="A1252">
        <v>52</v>
      </c>
      <c r="B1252" t="s">
        <v>464</v>
      </c>
      <c r="C1252" s="1">
        <v>4.78</v>
      </c>
      <c r="D1252" s="1">
        <v>0.26</v>
      </c>
      <c r="E1252" s="19">
        <v>5.75</v>
      </c>
      <c r="F1252" s="4">
        <v>615165</v>
      </c>
      <c r="G1252" s="5">
        <v>43178</v>
      </c>
    </row>
    <row r="1253" spans="1:7" x14ac:dyDescent="0.4">
      <c r="A1253">
        <v>53</v>
      </c>
      <c r="B1253" t="s">
        <v>465</v>
      </c>
      <c r="C1253" s="1">
        <v>9.6</v>
      </c>
      <c r="D1253" s="1">
        <v>0.52</v>
      </c>
      <c r="E1253" s="19">
        <v>5.73</v>
      </c>
      <c r="F1253" s="4">
        <v>96367</v>
      </c>
      <c r="G1253" s="5">
        <v>43178</v>
      </c>
    </row>
    <row r="1254" spans="1:7" x14ac:dyDescent="0.4">
      <c r="A1254">
        <v>54</v>
      </c>
      <c r="B1254" t="s">
        <v>38</v>
      </c>
      <c r="C1254" s="1">
        <v>53.39</v>
      </c>
      <c r="D1254" s="1">
        <v>2.89</v>
      </c>
      <c r="E1254" s="19">
        <v>5.72</v>
      </c>
      <c r="F1254" s="4">
        <v>1322641</v>
      </c>
      <c r="G1254" s="5">
        <v>43178</v>
      </c>
    </row>
    <row r="1255" spans="1:7" x14ac:dyDescent="0.4">
      <c r="A1255">
        <v>55</v>
      </c>
      <c r="B1255" t="s">
        <v>148</v>
      </c>
      <c r="C1255" s="1">
        <v>3.7</v>
      </c>
      <c r="D1255" s="1">
        <v>0.2</v>
      </c>
      <c r="E1255" s="19">
        <v>5.71</v>
      </c>
      <c r="F1255" s="4">
        <v>23414</v>
      </c>
      <c r="G1255" s="5">
        <v>43178</v>
      </c>
    </row>
    <row r="1256" spans="1:7" x14ac:dyDescent="0.4">
      <c r="A1256">
        <v>56</v>
      </c>
      <c r="B1256" t="s">
        <v>466</v>
      </c>
      <c r="C1256" s="1">
        <v>8.4</v>
      </c>
      <c r="D1256" s="1">
        <v>0.45</v>
      </c>
      <c r="E1256" s="19">
        <v>5.66</v>
      </c>
      <c r="F1256" s="4">
        <v>113863</v>
      </c>
      <c r="G1256" s="5">
        <v>43178</v>
      </c>
    </row>
    <row r="1257" spans="1:7" x14ac:dyDescent="0.4">
      <c r="A1257">
        <v>57</v>
      </c>
      <c r="B1257" t="s">
        <v>467</v>
      </c>
      <c r="C1257" s="1">
        <v>11.63</v>
      </c>
      <c r="D1257" s="1">
        <v>0.62</v>
      </c>
      <c r="E1257" s="19">
        <v>5.63</v>
      </c>
      <c r="F1257" s="4">
        <v>27628</v>
      </c>
      <c r="G1257" s="5">
        <v>43178</v>
      </c>
    </row>
    <row r="1258" spans="1:7" x14ac:dyDescent="0.4">
      <c r="A1258">
        <v>58</v>
      </c>
      <c r="B1258" t="s">
        <v>468</v>
      </c>
      <c r="C1258" s="1">
        <v>21.38</v>
      </c>
      <c r="D1258" s="1">
        <v>1.1299999999999999</v>
      </c>
      <c r="E1258" s="19">
        <v>5.58</v>
      </c>
      <c r="F1258" s="4">
        <v>6774</v>
      </c>
      <c r="G1258" s="5">
        <v>43178</v>
      </c>
    </row>
    <row r="1259" spans="1:7" x14ac:dyDescent="0.4">
      <c r="A1259">
        <v>59</v>
      </c>
      <c r="B1259" t="s">
        <v>274</v>
      </c>
      <c r="C1259" s="1">
        <v>3.98</v>
      </c>
      <c r="D1259" s="1">
        <v>0.21</v>
      </c>
      <c r="E1259" s="19">
        <v>5.57</v>
      </c>
      <c r="F1259" s="4">
        <v>387202</v>
      </c>
      <c r="G1259" s="5">
        <v>43178</v>
      </c>
    </row>
    <row r="1260" spans="1:7" x14ac:dyDescent="0.4">
      <c r="A1260">
        <v>60</v>
      </c>
      <c r="B1260" t="s">
        <v>140</v>
      </c>
      <c r="C1260" s="1">
        <v>6.65</v>
      </c>
      <c r="D1260" s="1">
        <v>0.35</v>
      </c>
      <c r="E1260" s="19">
        <v>5.56</v>
      </c>
      <c r="F1260" s="4">
        <v>200897</v>
      </c>
      <c r="G1260" s="5">
        <v>43178</v>
      </c>
    </row>
    <row r="1261" spans="1:7" x14ac:dyDescent="0.4">
      <c r="A1261">
        <v>61</v>
      </c>
      <c r="B1261" t="s">
        <v>469</v>
      </c>
      <c r="C1261" s="1">
        <v>15.25</v>
      </c>
      <c r="D1261" s="1">
        <v>0.8</v>
      </c>
      <c r="E1261" s="19">
        <v>5.54</v>
      </c>
      <c r="F1261" s="4">
        <v>9654</v>
      </c>
      <c r="G1261" s="5">
        <v>43178</v>
      </c>
    </row>
    <row r="1262" spans="1:7" x14ac:dyDescent="0.4">
      <c r="A1262">
        <v>62</v>
      </c>
      <c r="B1262" t="s">
        <v>295</v>
      </c>
      <c r="C1262" s="1">
        <v>40.83</v>
      </c>
      <c r="D1262" s="1">
        <v>2.13</v>
      </c>
      <c r="E1262" s="19">
        <v>5.5</v>
      </c>
      <c r="F1262" s="4">
        <v>119155</v>
      </c>
      <c r="G1262" s="5">
        <v>43178</v>
      </c>
    </row>
    <row r="1263" spans="1:7" x14ac:dyDescent="0.4">
      <c r="A1263">
        <v>63</v>
      </c>
      <c r="B1263" t="s">
        <v>351</v>
      </c>
      <c r="C1263" s="1">
        <v>3.26</v>
      </c>
      <c r="D1263" s="1">
        <v>0.17</v>
      </c>
      <c r="E1263" s="19">
        <v>5.5</v>
      </c>
      <c r="F1263" s="4">
        <v>12895638</v>
      </c>
      <c r="G1263" s="5">
        <v>43178</v>
      </c>
    </row>
    <row r="1264" spans="1:7" x14ac:dyDescent="0.4">
      <c r="A1264">
        <v>64</v>
      </c>
      <c r="B1264" t="s">
        <v>470</v>
      </c>
      <c r="C1264" s="1">
        <v>62.27</v>
      </c>
      <c r="D1264" s="1">
        <v>3.17</v>
      </c>
      <c r="E1264" s="19">
        <v>5.36</v>
      </c>
      <c r="F1264" s="4">
        <v>62556</v>
      </c>
      <c r="G1264" s="5">
        <v>43178</v>
      </c>
    </row>
    <row r="1265" spans="1:7" x14ac:dyDescent="0.4">
      <c r="A1265">
        <v>65</v>
      </c>
      <c r="B1265" t="s">
        <v>361</v>
      </c>
      <c r="C1265" s="1">
        <v>3.16</v>
      </c>
      <c r="D1265" s="1">
        <v>0.16</v>
      </c>
      <c r="E1265" s="19">
        <v>5.33</v>
      </c>
      <c r="F1265" s="4">
        <v>1389417</v>
      </c>
      <c r="G1265" s="5">
        <v>43178</v>
      </c>
    </row>
    <row r="1266" spans="1:7" x14ac:dyDescent="0.4">
      <c r="A1266">
        <v>66</v>
      </c>
      <c r="B1266" t="s">
        <v>364</v>
      </c>
      <c r="C1266" s="1">
        <v>6.74</v>
      </c>
      <c r="D1266" s="1">
        <v>0.34</v>
      </c>
      <c r="E1266" s="19">
        <v>5.31</v>
      </c>
      <c r="F1266" s="4">
        <v>1227535</v>
      </c>
      <c r="G1266" s="5">
        <v>43178</v>
      </c>
    </row>
    <row r="1267" spans="1:7" x14ac:dyDescent="0.4">
      <c r="A1267">
        <v>67</v>
      </c>
      <c r="B1267" t="s">
        <v>471</v>
      </c>
      <c r="C1267" s="1">
        <v>18.25</v>
      </c>
      <c r="D1267" s="1">
        <v>0.92</v>
      </c>
      <c r="E1267" s="19">
        <v>5.31</v>
      </c>
      <c r="F1267" s="4">
        <v>1151703</v>
      </c>
      <c r="G1267" s="5">
        <v>43178</v>
      </c>
    </row>
    <row r="1268" spans="1:7" x14ac:dyDescent="0.4">
      <c r="A1268">
        <v>68</v>
      </c>
      <c r="B1268" t="s">
        <v>472</v>
      </c>
      <c r="C1268" s="1">
        <v>92.5</v>
      </c>
      <c r="D1268" s="1">
        <v>4.6500000000000004</v>
      </c>
      <c r="E1268" s="19">
        <v>5.29</v>
      </c>
      <c r="F1268" s="4">
        <v>51032</v>
      </c>
      <c r="G1268" s="5">
        <v>43178</v>
      </c>
    </row>
    <row r="1269" spans="1:7" x14ac:dyDescent="0.4">
      <c r="A1269">
        <v>69</v>
      </c>
      <c r="B1269" t="s">
        <v>473</v>
      </c>
      <c r="C1269" s="1">
        <v>9.98</v>
      </c>
      <c r="D1269" s="1">
        <v>0.5</v>
      </c>
      <c r="E1269" s="19">
        <v>5.27</v>
      </c>
      <c r="F1269" s="4">
        <v>575346</v>
      </c>
      <c r="G1269" s="5">
        <v>43178</v>
      </c>
    </row>
    <row r="1270" spans="1:7" x14ac:dyDescent="0.4">
      <c r="A1270">
        <v>70</v>
      </c>
      <c r="B1270" t="s">
        <v>474</v>
      </c>
      <c r="C1270" s="1">
        <v>8.18</v>
      </c>
      <c r="D1270" s="1">
        <v>0.4</v>
      </c>
      <c r="E1270" s="19">
        <v>5.2</v>
      </c>
      <c r="F1270" s="4">
        <v>9754</v>
      </c>
      <c r="G1270" s="5">
        <v>43178</v>
      </c>
    </row>
    <row r="1271" spans="1:7" x14ac:dyDescent="0.4">
      <c r="A1271">
        <v>71</v>
      </c>
      <c r="B1271" t="s">
        <v>475</v>
      </c>
      <c r="C1271" s="1">
        <v>12.76</v>
      </c>
      <c r="D1271" s="1">
        <v>0.62</v>
      </c>
      <c r="E1271" s="19">
        <v>5.13</v>
      </c>
      <c r="F1271" s="4">
        <v>9544</v>
      </c>
      <c r="G1271" s="5">
        <v>43178</v>
      </c>
    </row>
    <row r="1272" spans="1:7" x14ac:dyDescent="0.4">
      <c r="A1272">
        <v>72</v>
      </c>
      <c r="B1272" t="s">
        <v>394</v>
      </c>
      <c r="C1272" s="1">
        <v>8.23</v>
      </c>
      <c r="D1272" s="1">
        <v>0.4</v>
      </c>
      <c r="E1272" s="19">
        <v>5.1100000000000003</v>
      </c>
      <c r="F1272" s="4">
        <v>1133180</v>
      </c>
      <c r="G1272" s="5">
        <v>43178</v>
      </c>
    </row>
    <row r="1273" spans="1:7" x14ac:dyDescent="0.4">
      <c r="A1273">
        <v>73</v>
      </c>
      <c r="B1273" t="s">
        <v>291</v>
      </c>
      <c r="C1273" s="1">
        <v>32.799999999999997</v>
      </c>
      <c r="D1273" s="1">
        <v>1.59</v>
      </c>
      <c r="E1273" s="19">
        <v>5.09</v>
      </c>
      <c r="F1273" s="4">
        <v>697279</v>
      </c>
      <c r="G1273" s="5">
        <v>43178</v>
      </c>
    </row>
    <row r="1274" spans="1:7" x14ac:dyDescent="0.4">
      <c r="A1274">
        <v>74</v>
      </c>
      <c r="B1274" t="s">
        <v>476</v>
      </c>
      <c r="C1274" s="1">
        <v>99.87</v>
      </c>
      <c r="D1274" s="1">
        <v>4.82</v>
      </c>
      <c r="E1274" s="19">
        <v>5.07</v>
      </c>
      <c r="F1274" s="4">
        <v>2593</v>
      </c>
      <c r="G1274" s="5">
        <v>43178</v>
      </c>
    </row>
    <row r="1275" spans="1:7" x14ac:dyDescent="0.4">
      <c r="A1275">
        <v>75</v>
      </c>
      <c r="B1275" t="s">
        <v>477</v>
      </c>
      <c r="C1275" s="1">
        <v>2.91</v>
      </c>
      <c r="D1275" s="1">
        <v>0.14000000000000001</v>
      </c>
      <c r="E1275" s="19">
        <v>5.05</v>
      </c>
      <c r="F1275" s="4">
        <v>3041591</v>
      </c>
      <c r="G1275" s="5">
        <v>43178</v>
      </c>
    </row>
    <row r="1276" spans="1:7" x14ac:dyDescent="0.4">
      <c r="A1276">
        <v>76</v>
      </c>
      <c r="B1276" t="s">
        <v>317</v>
      </c>
      <c r="C1276" s="1">
        <v>16.75</v>
      </c>
      <c r="D1276" s="1">
        <v>0.8</v>
      </c>
      <c r="E1276" s="19">
        <v>5.03</v>
      </c>
      <c r="F1276" s="4">
        <v>8896</v>
      </c>
      <c r="G1276" s="5">
        <v>43178</v>
      </c>
    </row>
    <row r="1277" spans="1:7" x14ac:dyDescent="0.4">
      <c r="A1277">
        <v>77</v>
      </c>
      <c r="B1277" t="s">
        <v>358</v>
      </c>
      <c r="C1277" s="1">
        <v>5.93</v>
      </c>
      <c r="D1277" s="1">
        <v>0.28000000000000003</v>
      </c>
      <c r="E1277" s="19">
        <v>4.96</v>
      </c>
      <c r="F1277" s="4">
        <v>111895</v>
      </c>
      <c r="G1277" s="5">
        <v>43178</v>
      </c>
    </row>
    <row r="1278" spans="1:7" x14ac:dyDescent="0.4">
      <c r="A1278">
        <v>78</v>
      </c>
      <c r="B1278" t="s">
        <v>478</v>
      </c>
      <c r="C1278" s="1">
        <v>5.39</v>
      </c>
      <c r="D1278" s="1">
        <v>0.25</v>
      </c>
      <c r="E1278" s="19">
        <v>4.8600000000000003</v>
      </c>
      <c r="F1278" s="4">
        <v>4256</v>
      </c>
      <c r="G1278" s="5">
        <v>43178</v>
      </c>
    </row>
    <row r="1279" spans="1:7" x14ac:dyDescent="0.4">
      <c r="A1279">
        <v>79</v>
      </c>
      <c r="B1279" t="s">
        <v>479</v>
      </c>
      <c r="C1279" s="1">
        <v>15.1</v>
      </c>
      <c r="D1279" s="1">
        <v>0.7</v>
      </c>
      <c r="E1279" s="19">
        <v>4.8600000000000003</v>
      </c>
      <c r="F1279" s="4">
        <v>46908</v>
      </c>
      <c r="G1279" s="5">
        <v>43178</v>
      </c>
    </row>
    <row r="1280" spans="1:7" x14ac:dyDescent="0.4">
      <c r="A1280">
        <v>80</v>
      </c>
      <c r="B1280" t="s">
        <v>480</v>
      </c>
      <c r="C1280" s="1">
        <v>12.33</v>
      </c>
      <c r="D1280" s="1">
        <v>0.56999999999999995</v>
      </c>
      <c r="E1280" s="19">
        <v>4.8499999999999996</v>
      </c>
      <c r="F1280" s="4">
        <v>5510352</v>
      </c>
      <c r="G1280" s="5">
        <v>43178</v>
      </c>
    </row>
    <row r="1281" spans="1:7" x14ac:dyDescent="0.4">
      <c r="A1281">
        <v>81</v>
      </c>
      <c r="B1281" t="s">
        <v>481</v>
      </c>
      <c r="C1281" s="1">
        <v>24</v>
      </c>
      <c r="D1281" s="1">
        <v>1.1000000000000001</v>
      </c>
      <c r="E1281" s="19">
        <v>4.8</v>
      </c>
      <c r="F1281" s="4">
        <v>34384</v>
      </c>
      <c r="G1281" s="5">
        <v>43178</v>
      </c>
    </row>
    <row r="1282" spans="1:7" x14ac:dyDescent="0.4">
      <c r="A1282">
        <v>82</v>
      </c>
      <c r="B1282" t="s">
        <v>482</v>
      </c>
      <c r="C1282" s="1">
        <v>22.62</v>
      </c>
      <c r="D1282" s="1">
        <v>1.03</v>
      </c>
      <c r="E1282" s="19">
        <v>4.7699999999999996</v>
      </c>
      <c r="F1282" s="4">
        <v>1388825</v>
      </c>
      <c r="G1282" s="5">
        <v>43178</v>
      </c>
    </row>
    <row r="1283" spans="1:7" x14ac:dyDescent="0.4">
      <c r="A1283">
        <v>83</v>
      </c>
      <c r="B1283" t="s">
        <v>156</v>
      </c>
      <c r="C1283" s="1">
        <v>18.5</v>
      </c>
      <c r="D1283" s="1">
        <v>0.83</v>
      </c>
      <c r="E1283" s="19">
        <v>4.7</v>
      </c>
      <c r="F1283" s="4">
        <v>46513</v>
      </c>
      <c r="G1283" s="5">
        <v>43178</v>
      </c>
    </row>
    <row r="1284" spans="1:7" x14ac:dyDescent="0.4">
      <c r="A1284">
        <v>84</v>
      </c>
      <c r="B1284" t="s">
        <v>483</v>
      </c>
      <c r="C1284" s="1">
        <v>9.14</v>
      </c>
      <c r="D1284" s="1">
        <v>0.41</v>
      </c>
      <c r="E1284" s="19">
        <v>4.7</v>
      </c>
      <c r="F1284" s="4">
        <v>5446048</v>
      </c>
      <c r="G1284" s="5">
        <v>43178</v>
      </c>
    </row>
    <row r="1285" spans="1:7" x14ac:dyDescent="0.4">
      <c r="A1285">
        <v>85</v>
      </c>
      <c r="B1285" t="s">
        <v>484</v>
      </c>
      <c r="C1285" s="1">
        <v>8.8800000000000008</v>
      </c>
      <c r="D1285" s="1">
        <v>0.4</v>
      </c>
      <c r="E1285" s="19">
        <v>4.68</v>
      </c>
      <c r="F1285" s="4">
        <v>2488</v>
      </c>
      <c r="G1285" s="5">
        <v>43178</v>
      </c>
    </row>
    <row r="1286" spans="1:7" x14ac:dyDescent="0.4">
      <c r="A1286">
        <v>86</v>
      </c>
      <c r="B1286" t="s">
        <v>485</v>
      </c>
      <c r="C1286" s="1">
        <v>7.85</v>
      </c>
      <c r="D1286" s="1">
        <v>0.35</v>
      </c>
      <c r="E1286" s="19">
        <v>4.67</v>
      </c>
      <c r="F1286" s="4">
        <v>5167</v>
      </c>
      <c r="G1286" s="5">
        <v>43178</v>
      </c>
    </row>
    <row r="1287" spans="1:7" x14ac:dyDescent="0.4">
      <c r="A1287">
        <v>87</v>
      </c>
      <c r="B1287" t="s">
        <v>486</v>
      </c>
      <c r="C1287" s="1">
        <v>10.8</v>
      </c>
      <c r="D1287" s="1">
        <v>0.48</v>
      </c>
      <c r="E1287" s="19">
        <v>4.6500000000000004</v>
      </c>
      <c r="F1287" s="4">
        <v>776012</v>
      </c>
      <c r="G1287" s="5">
        <v>43178</v>
      </c>
    </row>
    <row r="1288" spans="1:7" x14ac:dyDescent="0.4">
      <c r="A1288">
        <v>88</v>
      </c>
      <c r="B1288" t="s">
        <v>487</v>
      </c>
      <c r="C1288" s="1">
        <v>42.61</v>
      </c>
      <c r="D1288" s="1">
        <v>1.89</v>
      </c>
      <c r="E1288" s="19">
        <v>4.6399999999999997</v>
      </c>
      <c r="F1288" s="4">
        <v>2894843</v>
      </c>
      <c r="G1288" s="5">
        <v>43178</v>
      </c>
    </row>
    <row r="1289" spans="1:7" x14ac:dyDescent="0.4">
      <c r="A1289">
        <v>89</v>
      </c>
      <c r="B1289" t="s">
        <v>488</v>
      </c>
      <c r="C1289" s="1">
        <v>3.17</v>
      </c>
      <c r="D1289" s="1">
        <v>0.14000000000000001</v>
      </c>
      <c r="E1289" s="19">
        <v>4.62</v>
      </c>
      <c r="F1289" s="4">
        <v>18087</v>
      </c>
      <c r="G1289" s="5">
        <v>43178</v>
      </c>
    </row>
    <row r="1290" spans="1:7" x14ac:dyDescent="0.4">
      <c r="A1290">
        <v>90</v>
      </c>
      <c r="B1290" t="s">
        <v>489</v>
      </c>
      <c r="C1290" s="1">
        <v>20.239999999999998</v>
      </c>
      <c r="D1290" s="1">
        <v>0.89</v>
      </c>
      <c r="E1290" s="19">
        <v>4.5999999999999996</v>
      </c>
      <c r="F1290" s="4">
        <v>1339314</v>
      </c>
      <c r="G1290" s="5">
        <v>43178</v>
      </c>
    </row>
    <row r="1291" spans="1:7" x14ac:dyDescent="0.4">
      <c r="A1291">
        <v>91</v>
      </c>
      <c r="B1291" t="s">
        <v>490</v>
      </c>
      <c r="C1291" s="1">
        <v>47.8</v>
      </c>
      <c r="D1291" s="1">
        <v>2.1</v>
      </c>
      <c r="E1291" s="19">
        <v>4.5999999999999996</v>
      </c>
      <c r="F1291" s="4">
        <v>4215486</v>
      </c>
      <c r="G1291" s="5">
        <v>43178</v>
      </c>
    </row>
    <row r="1292" spans="1:7" x14ac:dyDescent="0.4">
      <c r="A1292">
        <v>92</v>
      </c>
      <c r="B1292" t="s">
        <v>155</v>
      </c>
      <c r="C1292" s="1">
        <v>18.21</v>
      </c>
      <c r="D1292" s="1">
        <v>0.8</v>
      </c>
      <c r="E1292" s="19">
        <v>4.5999999999999996</v>
      </c>
      <c r="F1292" s="4">
        <v>131977</v>
      </c>
      <c r="G1292" s="5">
        <v>43178</v>
      </c>
    </row>
    <row r="1293" spans="1:7" x14ac:dyDescent="0.4">
      <c r="A1293">
        <v>93</v>
      </c>
      <c r="B1293" t="s">
        <v>280</v>
      </c>
      <c r="C1293" s="1">
        <v>29.52</v>
      </c>
      <c r="D1293" s="1">
        <v>1.29</v>
      </c>
      <c r="E1293" s="19">
        <v>4.57</v>
      </c>
      <c r="F1293" s="4">
        <v>1682069</v>
      </c>
      <c r="G1293" s="5">
        <v>43178</v>
      </c>
    </row>
    <row r="1294" spans="1:7" x14ac:dyDescent="0.4">
      <c r="A1294">
        <v>94</v>
      </c>
      <c r="B1294" t="s">
        <v>491</v>
      </c>
      <c r="C1294" s="1">
        <v>13.75</v>
      </c>
      <c r="D1294" s="1">
        <v>0.6</v>
      </c>
      <c r="E1294" s="19">
        <v>4.5599999999999996</v>
      </c>
      <c r="F1294" s="4">
        <v>13486</v>
      </c>
      <c r="G1294" s="5">
        <v>43178</v>
      </c>
    </row>
    <row r="1295" spans="1:7" x14ac:dyDescent="0.4">
      <c r="A1295">
        <v>95</v>
      </c>
      <c r="B1295" t="s">
        <v>312</v>
      </c>
      <c r="C1295" s="1">
        <v>15.84</v>
      </c>
      <c r="D1295" s="1">
        <v>0.69</v>
      </c>
      <c r="E1295" s="19">
        <v>4.55</v>
      </c>
      <c r="F1295" s="4">
        <v>83507</v>
      </c>
      <c r="G1295" s="5">
        <v>43178</v>
      </c>
    </row>
    <row r="1296" spans="1:7" x14ac:dyDescent="0.4">
      <c r="A1296">
        <v>96</v>
      </c>
      <c r="B1296" t="s">
        <v>492</v>
      </c>
      <c r="C1296" s="1">
        <v>4.03</v>
      </c>
      <c r="D1296" s="1">
        <v>0.18</v>
      </c>
      <c r="E1296" s="19">
        <v>4.55</v>
      </c>
      <c r="F1296" s="4">
        <v>21862</v>
      </c>
      <c r="G1296" s="5">
        <v>43178</v>
      </c>
    </row>
    <row r="1297" spans="1:7" x14ac:dyDescent="0.4">
      <c r="A1297">
        <v>97</v>
      </c>
      <c r="B1297" t="s">
        <v>493</v>
      </c>
      <c r="C1297" s="1">
        <v>19.440000000000001</v>
      </c>
      <c r="D1297" s="1">
        <v>0.84</v>
      </c>
      <c r="E1297" s="19">
        <v>4.5199999999999996</v>
      </c>
      <c r="F1297" s="4">
        <v>327878</v>
      </c>
      <c r="G1297" s="5">
        <v>43178</v>
      </c>
    </row>
    <row r="1298" spans="1:7" x14ac:dyDescent="0.4">
      <c r="A1298">
        <v>98</v>
      </c>
      <c r="B1298" t="s">
        <v>494</v>
      </c>
      <c r="C1298" s="1">
        <v>17.5</v>
      </c>
      <c r="D1298" s="1">
        <v>0.75</v>
      </c>
      <c r="E1298" s="19">
        <v>4.4800000000000004</v>
      </c>
      <c r="F1298" s="4">
        <v>413449</v>
      </c>
      <c r="G1298" s="5">
        <v>43178</v>
      </c>
    </row>
    <row r="1299" spans="1:7" x14ac:dyDescent="0.4">
      <c r="A1299">
        <v>99</v>
      </c>
      <c r="B1299" t="s">
        <v>495</v>
      </c>
      <c r="C1299" s="1">
        <v>4.4800000000000004</v>
      </c>
      <c r="D1299" s="1">
        <v>0.19</v>
      </c>
      <c r="E1299" s="19">
        <v>4.43</v>
      </c>
      <c r="F1299" s="4">
        <v>319446</v>
      </c>
      <c r="G1299" s="5">
        <v>43178</v>
      </c>
    </row>
    <row r="1300" spans="1:7" x14ac:dyDescent="0.4">
      <c r="A1300">
        <v>100</v>
      </c>
      <c r="B1300" t="s">
        <v>365</v>
      </c>
      <c r="C1300" s="1">
        <v>27.63</v>
      </c>
      <c r="D1300" s="1">
        <v>1.1599999999999999</v>
      </c>
      <c r="E1300" s="19">
        <v>4.38</v>
      </c>
      <c r="F1300" s="4">
        <v>188516</v>
      </c>
      <c r="G1300" s="5">
        <v>43178</v>
      </c>
    </row>
    <row r="1301" spans="1:7" x14ac:dyDescent="0.4">
      <c r="A1301">
        <v>1</v>
      </c>
      <c r="B1301" t="s">
        <v>266</v>
      </c>
      <c r="C1301" s="1">
        <v>4.34</v>
      </c>
      <c r="D1301" s="1">
        <v>0.97</v>
      </c>
      <c r="E1301" s="19">
        <v>28.78</v>
      </c>
      <c r="F1301" s="4">
        <v>25961412</v>
      </c>
      <c r="G1301" s="5">
        <v>43178</v>
      </c>
    </row>
    <row r="1302" spans="1:7" x14ac:dyDescent="0.4">
      <c r="A1302">
        <v>2</v>
      </c>
      <c r="B1302" t="s">
        <v>497</v>
      </c>
      <c r="C1302" s="9">
        <v>42</v>
      </c>
      <c r="D1302" s="9">
        <v>8.9700000000000006</v>
      </c>
      <c r="E1302" s="19">
        <v>27.16</v>
      </c>
      <c r="F1302" s="4">
        <v>14014620</v>
      </c>
      <c r="G1302" s="5">
        <v>43179</v>
      </c>
    </row>
    <row r="1303" spans="1:7" x14ac:dyDescent="0.4">
      <c r="A1303">
        <v>3</v>
      </c>
      <c r="B1303" t="s">
        <v>498</v>
      </c>
      <c r="C1303" s="3">
        <v>3.91</v>
      </c>
      <c r="D1303" s="1">
        <v>0.7</v>
      </c>
      <c r="E1303" s="19">
        <v>21.81</v>
      </c>
      <c r="F1303" s="4">
        <v>838398</v>
      </c>
      <c r="G1303" s="5">
        <v>43179</v>
      </c>
    </row>
    <row r="1304" spans="1:7" x14ac:dyDescent="0.4">
      <c r="A1304">
        <v>4</v>
      </c>
      <c r="B1304" t="s">
        <v>499</v>
      </c>
      <c r="C1304" s="1">
        <v>28.79</v>
      </c>
      <c r="D1304" s="1">
        <v>4.0199999999999996</v>
      </c>
      <c r="E1304" s="19">
        <v>16.23</v>
      </c>
      <c r="F1304" s="4">
        <v>1478474</v>
      </c>
      <c r="G1304" s="5">
        <v>43179</v>
      </c>
    </row>
    <row r="1305" spans="1:7" x14ac:dyDescent="0.4">
      <c r="A1305">
        <v>5</v>
      </c>
      <c r="B1305" t="s">
        <v>432</v>
      </c>
      <c r="C1305" s="1">
        <v>5.4</v>
      </c>
      <c r="D1305" s="1">
        <v>0.73</v>
      </c>
      <c r="E1305" s="19">
        <v>15.51</v>
      </c>
      <c r="F1305" s="4">
        <v>329927</v>
      </c>
      <c r="G1305" s="5">
        <v>43179</v>
      </c>
    </row>
    <row r="1306" spans="1:7" x14ac:dyDescent="0.4">
      <c r="A1306">
        <v>6</v>
      </c>
      <c r="B1306" t="s">
        <v>500</v>
      </c>
      <c r="C1306" s="1">
        <v>3.97</v>
      </c>
      <c r="D1306" s="1">
        <v>0.53</v>
      </c>
      <c r="E1306" s="19">
        <v>15.41</v>
      </c>
      <c r="F1306" s="4">
        <v>24502</v>
      </c>
      <c r="G1306" s="5">
        <v>43179</v>
      </c>
    </row>
    <row r="1307" spans="1:7" x14ac:dyDescent="0.4">
      <c r="A1307">
        <v>7</v>
      </c>
      <c r="B1307" t="s">
        <v>278</v>
      </c>
      <c r="C1307" s="1">
        <v>13.17</v>
      </c>
      <c r="D1307" s="1">
        <v>1.74</v>
      </c>
      <c r="E1307" s="19">
        <v>15.22</v>
      </c>
      <c r="F1307" s="4">
        <v>70210</v>
      </c>
      <c r="G1307" s="5">
        <v>43179</v>
      </c>
    </row>
    <row r="1308" spans="1:7" x14ac:dyDescent="0.4">
      <c r="A1308">
        <v>8</v>
      </c>
      <c r="B1308" t="s">
        <v>438</v>
      </c>
      <c r="C1308" s="1">
        <v>9.7100000000000009</v>
      </c>
      <c r="D1308" s="1">
        <v>1.22</v>
      </c>
      <c r="E1308" s="19">
        <v>14.37</v>
      </c>
      <c r="F1308" s="4">
        <v>483567</v>
      </c>
      <c r="G1308" s="5">
        <v>43179</v>
      </c>
    </row>
    <row r="1309" spans="1:7" x14ac:dyDescent="0.4">
      <c r="A1309">
        <v>9</v>
      </c>
      <c r="B1309" t="s">
        <v>501</v>
      </c>
      <c r="C1309" s="1">
        <v>4.4000000000000004</v>
      </c>
      <c r="D1309" s="1">
        <v>0.5</v>
      </c>
      <c r="E1309" s="19">
        <v>12.68</v>
      </c>
      <c r="F1309" s="4">
        <v>73059</v>
      </c>
      <c r="G1309" s="5">
        <v>43179</v>
      </c>
    </row>
    <row r="1310" spans="1:7" x14ac:dyDescent="0.4">
      <c r="A1310">
        <v>10</v>
      </c>
      <c r="B1310" t="s">
        <v>502</v>
      </c>
      <c r="C1310" s="1">
        <v>64.540000000000006</v>
      </c>
      <c r="D1310" s="1">
        <v>6.64</v>
      </c>
      <c r="E1310" s="19">
        <v>11.47</v>
      </c>
      <c r="F1310" s="4">
        <v>2801771</v>
      </c>
      <c r="G1310" s="5">
        <v>43179</v>
      </c>
    </row>
    <row r="1311" spans="1:7" x14ac:dyDescent="0.4">
      <c r="A1311">
        <v>11</v>
      </c>
      <c r="B1311" t="s">
        <v>503</v>
      </c>
      <c r="C1311" s="1">
        <v>16.18</v>
      </c>
      <c r="D1311" s="1">
        <v>1.56</v>
      </c>
      <c r="E1311" s="19">
        <v>10.71</v>
      </c>
      <c r="F1311" s="4">
        <v>24533</v>
      </c>
      <c r="G1311" s="5">
        <v>43179</v>
      </c>
    </row>
    <row r="1312" spans="1:7" x14ac:dyDescent="0.4">
      <c r="A1312">
        <v>12</v>
      </c>
      <c r="B1312" t="s">
        <v>403</v>
      </c>
      <c r="C1312" s="1">
        <v>3.7</v>
      </c>
      <c r="D1312" s="1">
        <v>0.35</v>
      </c>
      <c r="E1312" s="19">
        <v>10.45</v>
      </c>
      <c r="F1312" s="4">
        <v>1300500</v>
      </c>
      <c r="G1312" s="5">
        <v>43179</v>
      </c>
    </row>
    <row r="1313" spans="1:7" x14ac:dyDescent="0.4">
      <c r="A1313">
        <v>13</v>
      </c>
      <c r="B1313" t="s">
        <v>504</v>
      </c>
      <c r="C1313" s="1">
        <v>7.6</v>
      </c>
      <c r="D1313" s="1">
        <v>0.7</v>
      </c>
      <c r="E1313" s="19">
        <v>10.14</v>
      </c>
      <c r="F1313" s="4">
        <v>246849</v>
      </c>
      <c r="G1313" s="5">
        <v>43179</v>
      </c>
    </row>
    <row r="1314" spans="1:7" x14ac:dyDescent="0.4">
      <c r="A1314">
        <v>14</v>
      </c>
      <c r="B1314" t="s">
        <v>505</v>
      </c>
      <c r="C1314" s="1">
        <v>31.94</v>
      </c>
      <c r="D1314" s="1">
        <v>2.92</v>
      </c>
      <c r="E1314" s="19">
        <v>10.06</v>
      </c>
      <c r="F1314" s="4">
        <v>192974</v>
      </c>
      <c r="G1314" s="5">
        <v>43179</v>
      </c>
    </row>
    <row r="1315" spans="1:7" x14ac:dyDescent="0.4">
      <c r="A1315">
        <v>15</v>
      </c>
      <c r="B1315" t="s">
        <v>119</v>
      </c>
      <c r="C1315" s="1">
        <v>26.03</v>
      </c>
      <c r="D1315" s="1">
        <v>2.23</v>
      </c>
      <c r="E1315" s="19">
        <v>9.3699999999999992</v>
      </c>
      <c r="F1315" s="4">
        <v>24232</v>
      </c>
      <c r="G1315" s="5">
        <v>43179</v>
      </c>
    </row>
    <row r="1316" spans="1:7" x14ac:dyDescent="0.4">
      <c r="A1316">
        <v>16</v>
      </c>
      <c r="B1316" t="s">
        <v>506</v>
      </c>
      <c r="C1316" s="1">
        <v>3.53</v>
      </c>
      <c r="D1316" s="1">
        <v>0.3</v>
      </c>
      <c r="E1316" s="19">
        <v>9.2899999999999991</v>
      </c>
      <c r="F1316" s="4">
        <v>2500623</v>
      </c>
      <c r="G1316" s="5">
        <v>43179</v>
      </c>
    </row>
    <row r="1317" spans="1:7" x14ac:dyDescent="0.4">
      <c r="A1317">
        <v>17</v>
      </c>
      <c r="B1317" t="s">
        <v>357</v>
      </c>
      <c r="C1317" s="1">
        <v>30.38</v>
      </c>
      <c r="D1317" s="1">
        <v>2.48</v>
      </c>
      <c r="E1317" s="19">
        <v>8.89</v>
      </c>
      <c r="F1317" s="4">
        <v>3252619</v>
      </c>
      <c r="G1317" s="5">
        <v>43179</v>
      </c>
    </row>
    <row r="1318" spans="1:7" x14ac:dyDescent="0.4">
      <c r="A1318">
        <v>18</v>
      </c>
      <c r="B1318" t="s">
        <v>507</v>
      </c>
      <c r="C1318" s="1">
        <v>38.200000000000003</v>
      </c>
      <c r="D1318" s="1">
        <v>2.82</v>
      </c>
      <c r="E1318" s="19">
        <v>7.97</v>
      </c>
      <c r="F1318" s="4">
        <v>488692</v>
      </c>
      <c r="G1318" s="5">
        <v>43179</v>
      </c>
    </row>
    <row r="1319" spans="1:7" x14ac:dyDescent="0.4">
      <c r="A1319">
        <v>19</v>
      </c>
      <c r="B1319" t="s">
        <v>508</v>
      </c>
      <c r="C1319" s="1">
        <v>3.45</v>
      </c>
      <c r="D1319" s="1">
        <v>0.25</v>
      </c>
      <c r="E1319" s="19">
        <v>7.81</v>
      </c>
      <c r="F1319" s="4">
        <v>2981</v>
      </c>
      <c r="G1319" s="5">
        <v>43179</v>
      </c>
    </row>
    <row r="1320" spans="1:7" x14ac:dyDescent="0.4">
      <c r="A1320">
        <v>20</v>
      </c>
      <c r="B1320" t="s">
        <v>226</v>
      </c>
      <c r="C1320" s="1">
        <v>3.04</v>
      </c>
      <c r="D1320" s="1">
        <v>0.22</v>
      </c>
      <c r="E1320" s="19">
        <v>7.8</v>
      </c>
      <c r="F1320" s="4">
        <v>241623</v>
      </c>
      <c r="G1320" s="5">
        <v>43179</v>
      </c>
    </row>
    <row r="1321" spans="1:7" x14ac:dyDescent="0.4">
      <c r="A1321">
        <v>21</v>
      </c>
      <c r="B1321" t="s">
        <v>365</v>
      </c>
      <c r="C1321" s="1">
        <v>29.76</v>
      </c>
      <c r="D1321" s="1">
        <v>2.13</v>
      </c>
      <c r="E1321" s="19">
        <v>7.71</v>
      </c>
      <c r="F1321" s="4">
        <v>307860</v>
      </c>
      <c r="G1321" s="5">
        <v>43179</v>
      </c>
    </row>
    <row r="1322" spans="1:7" x14ac:dyDescent="0.4">
      <c r="A1322">
        <v>22</v>
      </c>
      <c r="B1322" t="s">
        <v>509</v>
      </c>
      <c r="C1322" s="1">
        <v>31.85</v>
      </c>
      <c r="D1322" s="1">
        <v>2.27</v>
      </c>
      <c r="E1322" s="19">
        <v>7.67</v>
      </c>
      <c r="F1322" s="4">
        <v>412336</v>
      </c>
      <c r="G1322" s="5">
        <v>43179</v>
      </c>
    </row>
    <row r="1323" spans="1:7" x14ac:dyDescent="0.4">
      <c r="A1323">
        <v>23</v>
      </c>
      <c r="B1323" t="s">
        <v>510</v>
      </c>
      <c r="C1323" s="1">
        <v>49.7</v>
      </c>
      <c r="D1323" s="1">
        <v>3.53</v>
      </c>
      <c r="E1323" s="19">
        <v>7.65</v>
      </c>
      <c r="F1323" s="4">
        <v>394536</v>
      </c>
      <c r="G1323" s="5">
        <v>43179</v>
      </c>
    </row>
    <row r="1324" spans="1:7" x14ac:dyDescent="0.4">
      <c r="A1324">
        <v>24</v>
      </c>
      <c r="B1324" t="s">
        <v>511</v>
      </c>
      <c r="C1324" s="1">
        <v>8.0399999999999991</v>
      </c>
      <c r="D1324" s="1">
        <v>0.56999999999999995</v>
      </c>
      <c r="E1324" s="19">
        <v>7.63</v>
      </c>
      <c r="F1324" s="4">
        <v>3508032</v>
      </c>
      <c r="G1324" s="5">
        <v>43179</v>
      </c>
    </row>
    <row r="1325" spans="1:7" x14ac:dyDescent="0.4">
      <c r="A1325">
        <v>25</v>
      </c>
      <c r="B1325" t="s">
        <v>136</v>
      </c>
      <c r="C1325" s="1">
        <v>40.35</v>
      </c>
      <c r="D1325" s="1">
        <v>2.8</v>
      </c>
      <c r="E1325" s="19">
        <v>7.46</v>
      </c>
      <c r="F1325" s="4">
        <v>296971</v>
      </c>
      <c r="G1325" s="5">
        <v>43179</v>
      </c>
    </row>
    <row r="1326" spans="1:7" x14ac:dyDescent="0.4">
      <c r="A1326">
        <v>26</v>
      </c>
      <c r="B1326" t="s">
        <v>512</v>
      </c>
      <c r="C1326" s="1">
        <v>127.43</v>
      </c>
      <c r="D1326" s="1">
        <v>8.68</v>
      </c>
      <c r="E1326" s="19">
        <v>7.31</v>
      </c>
      <c r="F1326" s="4">
        <v>2427625</v>
      </c>
      <c r="G1326" s="5">
        <v>43179</v>
      </c>
    </row>
    <row r="1327" spans="1:7" x14ac:dyDescent="0.4">
      <c r="A1327">
        <v>27</v>
      </c>
      <c r="B1327" t="s">
        <v>513</v>
      </c>
      <c r="C1327" s="1">
        <v>19.239999999999998</v>
      </c>
      <c r="D1327" s="1">
        <v>1.3</v>
      </c>
      <c r="E1327" s="19">
        <v>7.25</v>
      </c>
      <c r="F1327" s="4">
        <v>50131</v>
      </c>
      <c r="G1327" s="5">
        <v>43179</v>
      </c>
    </row>
    <row r="1328" spans="1:7" x14ac:dyDescent="0.4">
      <c r="A1328">
        <v>28</v>
      </c>
      <c r="B1328" t="s">
        <v>514</v>
      </c>
      <c r="C1328" s="1">
        <v>5.19</v>
      </c>
      <c r="D1328" s="1">
        <v>0.35</v>
      </c>
      <c r="E1328" s="19">
        <v>7.23</v>
      </c>
      <c r="F1328" s="4">
        <v>1127199</v>
      </c>
      <c r="G1328" s="5">
        <v>43179</v>
      </c>
    </row>
    <row r="1329" spans="1:7" x14ac:dyDescent="0.4">
      <c r="A1329">
        <v>29</v>
      </c>
      <c r="B1329" t="s">
        <v>515</v>
      </c>
      <c r="C1329" s="1">
        <v>14.72</v>
      </c>
      <c r="D1329" s="1">
        <v>0.99</v>
      </c>
      <c r="E1329" s="19">
        <v>7.21</v>
      </c>
      <c r="F1329" s="4">
        <v>3880</v>
      </c>
      <c r="G1329" s="5">
        <v>43179</v>
      </c>
    </row>
    <row r="1330" spans="1:7" x14ac:dyDescent="0.4">
      <c r="A1330">
        <v>30</v>
      </c>
      <c r="B1330" t="s">
        <v>516</v>
      </c>
      <c r="C1330" s="1">
        <v>32.28</v>
      </c>
      <c r="D1330" s="1">
        <v>2.16</v>
      </c>
      <c r="E1330" s="19">
        <v>7.17</v>
      </c>
      <c r="F1330" s="4">
        <v>849464</v>
      </c>
      <c r="G1330" s="5">
        <v>43179</v>
      </c>
    </row>
    <row r="1331" spans="1:7" x14ac:dyDescent="0.4">
      <c r="A1331">
        <v>31</v>
      </c>
      <c r="B1331" t="s">
        <v>517</v>
      </c>
      <c r="C1331" s="1">
        <v>2.31</v>
      </c>
      <c r="D1331" s="1">
        <v>0.15</v>
      </c>
      <c r="E1331" s="19">
        <v>6.94</v>
      </c>
      <c r="F1331" s="4">
        <v>37878</v>
      </c>
      <c r="G1331" s="5">
        <v>43179</v>
      </c>
    </row>
    <row r="1332" spans="1:7" x14ac:dyDescent="0.4">
      <c r="A1332">
        <v>32</v>
      </c>
      <c r="B1332" t="s">
        <v>518</v>
      </c>
      <c r="C1332" s="1">
        <v>51.3</v>
      </c>
      <c r="D1332" s="1">
        <v>3.28</v>
      </c>
      <c r="E1332" s="19">
        <v>6.83</v>
      </c>
      <c r="F1332" s="4">
        <v>3554462</v>
      </c>
      <c r="G1332" s="5">
        <v>43179</v>
      </c>
    </row>
    <row r="1333" spans="1:7" x14ac:dyDescent="0.4">
      <c r="A1333">
        <v>33</v>
      </c>
      <c r="B1333" t="s">
        <v>64</v>
      </c>
      <c r="C1333" s="1">
        <v>5.95</v>
      </c>
      <c r="D1333" s="1">
        <v>0.38</v>
      </c>
      <c r="E1333" s="19">
        <v>6.8</v>
      </c>
      <c r="F1333" s="4">
        <v>10800</v>
      </c>
      <c r="G1333" s="5">
        <v>43179</v>
      </c>
    </row>
    <row r="1334" spans="1:7" x14ac:dyDescent="0.4">
      <c r="A1334">
        <v>34</v>
      </c>
      <c r="B1334" t="s">
        <v>519</v>
      </c>
      <c r="C1334" s="1">
        <v>8.33</v>
      </c>
      <c r="D1334" s="1">
        <v>0.53</v>
      </c>
      <c r="E1334" s="19">
        <v>6.79</v>
      </c>
      <c r="F1334" s="4">
        <v>110767</v>
      </c>
      <c r="G1334" s="5">
        <v>43179</v>
      </c>
    </row>
    <row r="1335" spans="1:7" x14ac:dyDescent="0.4">
      <c r="A1335">
        <v>35</v>
      </c>
      <c r="B1335" t="s">
        <v>520</v>
      </c>
      <c r="C1335" s="1">
        <v>27.6</v>
      </c>
      <c r="D1335" s="1">
        <v>1.76</v>
      </c>
      <c r="E1335" s="19">
        <v>6.79</v>
      </c>
      <c r="F1335" s="4">
        <v>16558</v>
      </c>
      <c r="G1335" s="5">
        <v>43179</v>
      </c>
    </row>
    <row r="1336" spans="1:7" x14ac:dyDescent="0.4">
      <c r="A1336">
        <v>36</v>
      </c>
      <c r="B1336" t="s">
        <v>521</v>
      </c>
      <c r="C1336" s="1">
        <v>22.16</v>
      </c>
      <c r="D1336" s="1">
        <v>1.38</v>
      </c>
      <c r="E1336" s="19">
        <v>6.64</v>
      </c>
      <c r="F1336" s="4">
        <v>434918</v>
      </c>
      <c r="G1336" s="5">
        <v>43179</v>
      </c>
    </row>
    <row r="1337" spans="1:7" x14ac:dyDescent="0.4">
      <c r="A1337">
        <v>37</v>
      </c>
      <c r="B1337" t="s">
        <v>522</v>
      </c>
      <c r="C1337" s="1">
        <v>8.0500000000000007</v>
      </c>
      <c r="D1337" s="1">
        <v>0.5</v>
      </c>
      <c r="E1337" s="19">
        <v>6.62</v>
      </c>
      <c r="F1337" s="4">
        <v>3040361</v>
      </c>
      <c r="G1337" s="5">
        <v>43179</v>
      </c>
    </row>
    <row r="1338" spans="1:7" x14ac:dyDescent="0.4">
      <c r="A1338">
        <v>38</v>
      </c>
      <c r="B1338" t="s">
        <v>523</v>
      </c>
      <c r="C1338" s="1">
        <v>9.2200000000000006</v>
      </c>
      <c r="D1338" s="1">
        <v>0.56999999999999995</v>
      </c>
      <c r="E1338" s="19">
        <v>6.59</v>
      </c>
      <c r="F1338" s="4">
        <v>44074</v>
      </c>
      <c r="G1338" s="5">
        <v>43179</v>
      </c>
    </row>
    <row r="1339" spans="1:7" x14ac:dyDescent="0.4">
      <c r="A1339">
        <v>39</v>
      </c>
      <c r="B1339" t="s">
        <v>524</v>
      </c>
      <c r="C1339" s="1">
        <v>48.65</v>
      </c>
      <c r="D1339" s="1">
        <v>3</v>
      </c>
      <c r="E1339" s="19">
        <v>6.57</v>
      </c>
      <c r="F1339" s="4">
        <v>2136780</v>
      </c>
      <c r="G1339" s="5">
        <v>43179</v>
      </c>
    </row>
    <row r="1340" spans="1:7" x14ac:dyDescent="0.4">
      <c r="A1340">
        <v>40</v>
      </c>
      <c r="B1340" t="s">
        <v>525</v>
      </c>
      <c r="C1340" s="1">
        <v>3.1</v>
      </c>
      <c r="D1340" s="1">
        <v>0.19</v>
      </c>
      <c r="E1340" s="19">
        <v>6.53</v>
      </c>
      <c r="F1340" s="4">
        <v>15052</v>
      </c>
      <c r="G1340" s="5">
        <v>43179</v>
      </c>
    </row>
    <row r="1341" spans="1:7" x14ac:dyDescent="0.4">
      <c r="A1341">
        <v>41</v>
      </c>
      <c r="B1341" t="s">
        <v>249</v>
      </c>
      <c r="C1341" s="1">
        <v>8.58</v>
      </c>
      <c r="D1341" s="1">
        <v>0.52</v>
      </c>
      <c r="E1341" s="19">
        <v>6.45</v>
      </c>
      <c r="F1341" s="4">
        <v>4473</v>
      </c>
      <c r="G1341" s="5">
        <v>43179</v>
      </c>
    </row>
    <row r="1342" spans="1:7" x14ac:dyDescent="0.4">
      <c r="A1342">
        <v>42</v>
      </c>
      <c r="B1342" t="s">
        <v>526</v>
      </c>
      <c r="C1342" s="1">
        <v>115.97</v>
      </c>
      <c r="D1342" s="1">
        <v>6.97</v>
      </c>
      <c r="E1342" s="19">
        <v>6.4</v>
      </c>
      <c r="F1342" s="4">
        <v>2554849</v>
      </c>
      <c r="G1342" s="5">
        <v>43179</v>
      </c>
    </row>
    <row r="1343" spans="1:7" x14ac:dyDescent="0.4">
      <c r="A1343">
        <v>43</v>
      </c>
      <c r="B1343" t="s">
        <v>65</v>
      </c>
      <c r="C1343" s="1">
        <v>2.84</v>
      </c>
      <c r="D1343" s="1">
        <v>0.17</v>
      </c>
      <c r="E1343" s="19">
        <v>6.37</v>
      </c>
      <c r="F1343" s="4">
        <v>116085</v>
      </c>
      <c r="G1343" s="5">
        <v>43179</v>
      </c>
    </row>
    <row r="1344" spans="1:7" x14ac:dyDescent="0.4">
      <c r="A1344">
        <v>44</v>
      </c>
      <c r="B1344" t="s">
        <v>527</v>
      </c>
      <c r="C1344" s="1">
        <v>7.55</v>
      </c>
      <c r="D1344" s="1">
        <v>0.45</v>
      </c>
      <c r="E1344" s="19">
        <v>6.34</v>
      </c>
      <c r="F1344" s="4">
        <v>177295</v>
      </c>
      <c r="G1344" s="5">
        <v>43179</v>
      </c>
    </row>
    <row r="1345" spans="1:7" x14ac:dyDescent="0.4">
      <c r="A1345">
        <v>45</v>
      </c>
      <c r="B1345" t="s">
        <v>528</v>
      </c>
      <c r="C1345" s="1">
        <v>3.54</v>
      </c>
      <c r="D1345" s="1">
        <v>0.21</v>
      </c>
      <c r="E1345" s="19">
        <v>6.31</v>
      </c>
      <c r="F1345" s="4">
        <v>39264</v>
      </c>
      <c r="G1345" s="5">
        <v>43179</v>
      </c>
    </row>
    <row r="1346" spans="1:7" x14ac:dyDescent="0.4">
      <c r="A1346">
        <v>46</v>
      </c>
      <c r="B1346" t="s">
        <v>529</v>
      </c>
      <c r="C1346" s="1">
        <v>30.51</v>
      </c>
      <c r="D1346" s="1">
        <v>1.8</v>
      </c>
      <c r="E1346" s="19">
        <v>6.27</v>
      </c>
      <c r="F1346" s="4">
        <v>432716</v>
      </c>
      <c r="G1346" s="5">
        <v>43179</v>
      </c>
    </row>
    <row r="1347" spans="1:7" x14ac:dyDescent="0.4">
      <c r="A1347">
        <v>47</v>
      </c>
      <c r="B1347" t="s">
        <v>530</v>
      </c>
      <c r="C1347" s="1">
        <v>2.5499999999999998</v>
      </c>
      <c r="D1347" s="1">
        <v>0.15</v>
      </c>
      <c r="E1347" s="19">
        <v>6.25</v>
      </c>
      <c r="F1347" s="4">
        <v>4316</v>
      </c>
      <c r="G1347" s="5">
        <v>43179</v>
      </c>
    </row>
    <row r="1348" spans="1:7" x14ac:dyDescent="0.4">
      <c r="A1348">
        <v>48</v>
      </c>
      <c r="B1348" t="s">
        <v>336</v>
      </c>
      <c r="C1348" s="1">
        <v>44.92</v>
      </c>
      <c r="D1348" s="1">
        <v>2.63</v>
      </c>
      <c r="E1348" s="19">
        <v>6.22</v>
      </c>
      <c r="F1348" s="4">
        <v>787232</v>
      </c>
      <c r="G1348" s="5">
        <v>43179</v>
      </c>
    </row>
    <row r="1349" spans="1:7" x14ac:dyDescent="0.4">
      <c r="A1349">
        <v>49</v>
      </c>
      <c r="B1349" t="s">
        <v>460</v>
      </c>
      <c r="C1349" s="1">
        <v>11.5</v>
      </c>
      <c r="D1349" s="1">
        <v>0.67</v>
      </c>
      <c r="E1349" s="19">
        <v>6.19</v>
      </c>
      <c r="F1349" s="4">
        <v>217501</v>
      </c>
      <c r="G1349" s="5">
        <v>43179</v>
      </c>
    </row>
    <row r="1350" spans="1:7" x14ac:dyDescent="0.4">
      <c r="A1350">
        <v>50</v>
      </c>
      <c r="B1350" t="s">
        <v>531</v>
      </c>
      <c r="C1350" s="1">
        <v>3.09</v>
      </c>
      <c r="D1350" s="1">
        <v>0.18</v>
      </c>
      <c r="E1350" s="19">
        <v>6.19</v>
      </c>
      <c r="F1350" s="4">
        <v>731330</v>
      </c>
      <c r="G1350" s="5">
        <v>43179</v>
      </c>
    </row>
    <row r="1351" spans="1:7" x14ac:dyDescent="0.4">
      <c r="A1351">
        <v>51</v>
      </c>
      <c r="B1351" t="s">
        <v>532</v>
      </c>
      <c r="C1351" s="1">
        <v>29.21</v>
      </c>
      <c r="D1351" s="1">
        <v>1.7</v>
      </c>
      <c r="E1351" s="19">
        <v>6.18</v>
      </c>
      <c r="F1351" s="4">
        <v>209059</v>
      </c>
      <c r="G1351" s="5">
        <v>43179</v>
      </c>
    </row>
    <row r="1352" spans="1:7" x14ac:dyDescent="0.4">
      <c r="A1352">
        <v>52</v>
      </c>
      <c r="B1352" t="s">
        <v>533</v>
      </c>
      <c r="C1352" s="1">
        <v>2.2599999999999998</v>
      </c>
      <c r="D1352" s="1">
        <v>0.13</v>
      </c>
      <c r="E1352" s="19">
        <v>6.1</v>
      </c>
      <c r="F1352" s="4">
        <v>14718</v>
      </c>
      <c r="G1352" s="5">
        <v>43179</v>
      </c>
    </row>
    <row r="1353" spans="1:7" x14ac:dyDescent="0.4">
      <c r="A1353">
        <v>53</v>
      </c>
      <c r="B1353" t="s">
        <v>173</v>
      </c>
      <c r="C1353" s="1">
        <v>7</v>
      </c>
      <c r="D1353" s="1">
        <v>0.4</v>
      </c>
      <c r="E1353" s="19">
        <v>6.06</v>
      </c>
      <c r="F1353" s="4">
        <v>143241</v>
      </c>
      <c r="G1353" s="5">
        <v>43179</v>
      </c>
    </row>
    <row r="1354" spans="1:7" x14ac:dyDescent="0.4">
      <c r="A1354">
        <v>54</v>
      </c>
      <c r="B1354" t="s">
        <v>323</v>
      </c>
      <c r="C1354" s="1">
        <v>4.38</v>
      </c>
      <c r="D1354" s="1">
        <v>0.25</v>
      </c>
      <c r="E1354" s="19">
        <v>6.06</v>
      </c>
      <c r="F1354" s="4">
        <v>7353</v>
      </c>
      <c r="G1354" s="5">
        <v>43179</v>
      </c>
    </row>
    <row r="1355" spans="1:7" x14ac:dyDescent="0.4">
      <c r="A1355">
        <v>55</v>
      </c>
      <c r="B1355" t="s">
        <v>534</v>
      </c>
      <c r="C1355" s="1">
        <v>43.52</v>
      </c>
      <c r="D1355" s="1">
        <v>2.48</v>
      </c>
      <c r="E1355" s="19">
        <v>6.04</v>
      </c>
      <c r="F1355" s="4">
        <v>248609</v>
      </c>
      <c r="G1355" s="5">
        <v>43179</v>
      </c>
    </row>
    <row r="1356" spans="1:7" x14ac:dyDescent="0.4">
      <c r="A1356">
        <v>56</v>
      </c>
      <c r="B1356" t="s">
        <v>535</v>
      </c>
      <c r="C1356" s="1">
        <v>28.47</v>
      </c>
      <c r="D1356" s="1">
        <v>1.62</v>
      </c>
      <c r="E1356" s="19">
        <v>6.03</v>
      </c>
      <c r="F1356" s="4">
        <v>2538238</v>
      </c>
      <c r="G1356" s="5">
        <v>43179</v>
      </c>
    </row>
    <row r="1357" spans="1:7" x14ac:dyDescent="0.4">
      <c r="A1357">
        <v>57</v>
      </c>
      <c r="B1357" t="s">
        <v>536</v>
      </c>
      <c r="C1357" s="1">
        <v>2.14</v>
      </c>
      <c r="D1357" s="1">
        <v>0.12</v>
      </c>
      <c r="E1357" s="19">
        <v>5.94</v>
      </c>
      <c r="F1357" s="4">
        <v>2577271</v>
      </c>
      <c r="G1357" s="5">
        <v>43179</v>
      </c>
    </row>
    <row r="1358" spans="1:7" x14ac:dyDescent="0.4">
      <c r="A1358">
        <v>58</v>
      </c>
      <c r="B1358" t="s">
        <v>537</v>
      </c>
      <c r="C1358" s="1">
        <v>4.3600000000000003</v>
      </c>
      <c r="D1358" s="1">
        <v>0.24</v>
      </c>
      <c r="E1358" s="19">
        <v>5.83</v>
      </c>
      <c r="F1358" s="4">
        <v>1625490</v>
      </c>
      <c r="G1358" s="5">
        <v>43179</v>
      </c>
    </row>
    <row r="1359" spans="1:7" x14ac:dyDescent="0.4">
      <c r="A1359">
        <v>59</v>
      </c>
      <c r="B1359" t="s">
        <v>538</v>
      </c>
      <c r="C1359" s="1">
        <v>41.23</v>
      </c>
      <c r="D1359" s="1">
        <v>2.2599999999999998</v>
      </c>
      <c r="E1359" s="19">
        <v>5.8</v>
      </c>
      <c r="F1359" s="4">
        <v>6346438</v>
      </c>
      <c r="G1359" s="5">
        <v>43179</v>
      </c>
    </row>
    <row r="1360" spans="1:7" x14ac:dyDescent="0.4">
      <c r="A1360">
        <v>60</v>
      </c>
      <c r="B1360" t="s">
        <v>539</v>
      </c>
      <c r="C1360" s="1">
        <v>5.04</v>
      </c>
      <c r="D1360" s="1">
        <v>0.27</v>
      </c>
      <c r="E1360" s="19">
        <v>5.78</v>
      </c>
      <c r="F1360" s="4">
        <v>2525</v>
      </c>
      <c r="G1360" s="5">
        <v>43179</v>
      </c>
    </row>
    <row r="1361" spans="1:7" x14ac:dyDescent="0.4">
      <c r="A1361">
        <v>61</v>
      </c>
      <c r="B1361" t="s">
        <v>37</v>
      </c>
      <c r="C1361" s="1">
        <v>2.77</v>
      </c>
      <c r="D1361" s="1">
        <v>0.15</v>
      </c>
      <c r="E1361" s="19">
        <v>5.73</v>
      </c>
      <c r="F1361" s="4">
        <v>688601</v>
      </c>
      <c r="G1361" s="5">
        <v>43179</v>
      </c>
    </row>
    <row r="1362" spans="1:7" x14ac:dyDescent="0.4">
      <c r="A1362">
        <v>62</v>
      </c>
      <c r="B1362" t="s">
        <v>348</v>
      </c>
      <c r="C1362" s="1">
        <v>19.239999999999998</v>
      </c>
      <c r="D1362" s="1">
        <v>1.04</v>
      </c>
      <c r="E1362" s="19">
        <v>5.71</v>
      </c>
      <c r="F1362" s="4">
        <v>43556</v>
      </c>
      <c r="G1362" s="5">
        <v>43179</v>
      </c>
    </row>
    <row r="1363" spans="1:7" x14ac:dyDescent="0.4">
      <c r="A1363">
        <v>63</v>
      </c>
      <c r="B1363" t="s">
        <v>267</v>
      </c>
      <c r="C1363" s="1">
        <v>57.69</v>
      </c>
      <c r="D1363" s="1">
        <v>3.11</v>
      </c>
      <c r="E1363" s="19">
        <v>5.7</v>
      </c>
      <c r="F1363" s="4">
        <v>17070439</v>
      </c>
      <c r="G1363" s="5">
        <v>43179</v>
      </c>
    </row>
    <row r="1364" spans="1:7" x14ac:dyDescent="0.4">
      <c r="A1364">
        <v>64</v>
      </c>
      <c r="B1364" t="s">
        <v>540</v>
      </c>
      <c r="C1364" s="1">
        <v>4.6500000000000004</v>
      </c>
      <c r="D1364" s="1">
        <v>0.25</v>
      </c>
      <c r="E1364" s="19">
        <v>5.68</v>
      </c>
      <c r="F1364" s="4">
        <v>257218</v>
      </c>
      <c r="G1364" s="5">
        <v>43179</v>
      </c>
    </row>
    <row r="1365" spans="1:7" x14ac:dyDescent="0.4">
      <c r="A1365">
        <v>65</v>
      </c>
      <c r="B1365" t="s">
        <v>289</v>
      </c>
      <c r="C1365" s="1">
        <v>6.53</v>
      </c>
      <c r="D1365" s="1">
        <v>0.35</v>
      </c>
      <c r="E1365" s="19">
        <v>5.67</v>
      </c>
      <c r="F1365" s="4">
        <v>73459</v>
      </c>
      <c r="G1365" s="5">
        <v>43179</v>
      </c>
    </row>
    <row r="1366" spans="1:7" x14ac:dyDescent="0.4">
      <c r="A1366">
        <v>66</v>
      </c>
      <c r="B1366" t="s">
        <v>142</v>
      </c>
      <c r="C1366" s="1">
        <v>4.3</v>
      </c>
      <c r="D1366" s="1">
        <v>0.23</v>
      </c>
      <c r="E1366" s="19">
        <v>5.65</v>
      </c>
      <c r="F1366" s="4">
        <v>16974</v>
      </c>
      <c r="G1366" s="5">
        <v>43179</v>
      </c>
    </row>
    <row r="1367" spans="1:7" x14ac:dyDescent="0.4">
      <c r="A1367">
        <v>67</v>
      </c>
      <c r="B1367" t="s">
        <v>541</v>
      </c>
      <c r="C1367" s="1">
        <v>85.16</v>
      </c>
      <c r="D1367" s="1">
        <v>4.55</v>
      </c>
      <c r="E1367" s="19">
        <v>5.64</v>
      </c>
      <c r="F1367" s="4">
        <v>1494488</v>
      </c>
      <c r="G1367" s="5">
        <v>43179</v>
      </c>
    </row>
    <row r="1368" spans="1:7" x14ac:dyDescent="0.4">
      <c r="A1368">
        <v>68</v>
      </c>
      <c r="B1368" t="s">
        <v>349</v>
      </c>
      <c r="C1368" s="1">
        <v>28.35</v>
      </c>
      <c r="D1368" s="1">
        <v>1.51</v>
      </c>
      <c r="E1368" s="19">
        <v>5.63</v>
      </c>
      <c r="F1368" s="4">
        <v>336094</v>
      </c>
      <c r="G1368" s="5">
        <v>43179</v>
      </c>
    </row>
    <row r="1369" spans="1:7" x14ac:dyDescent="0.4">
      <c r="A1369">
        <v>69</v>
      </c>
      <c r="B1369" t="s">
        <v>542</v>
      </c>
      <c r="C1369" s="1">
        <v>49.39</v>
      </c>
      <c r="D1369" s="1">
        <v>2.62</v>
      </c>
      <c r="E1369" s="19">
        <v>5.6</v>
      </c>
      <c r="F1369" s="4">
        <v>545035</v>
      </c>
      <c r="G1369" s="5">
        <v>43179</v>
      </c>
    </row>
    <row r="1370" spans="1:7" x14ac:dyDescent="0.4">
      <c r="A1370">
        <v>70</v>
      </c>
      <c r="B1370" t="s">
        <v>543</v>
      </c>
      <c r="C1370" s="1">
        <v>16.87</v>
      </c>
      <c r="D1370" s="1">
        <v>0.89</v>
      </c>
      <c r="E1370" s="19">
        <v>5.57</v>
      </c>
      <c r="F1370" s="4">
        <v>575209</v>
      </c>
      <c r="G1370" s="5">
        <v>43179</v>
      </c>
    </row>
    <row r="1371" spans="1:7" x14ac:dyDescent="0.4">
      <c r="A1371">
        <v>71</v>
      </c>
      <c r="B1371" t="s">
        <v>269</v>
      </c>
      <c r="C1371" s="1">
        <v>8.0500000000000007</v>
      </c>
      <c r="D1371" s="1">
        <v>0.42</v>
      </c>
      <c r="E1371" s="19">
        <v>5.5</v>
      </c>
      <c r="F1371" s="4">
        <v>2715042</v>
      </c>
      <c r="G1371" s="5">
        <v>43179</v>
      </c>
    </row>
    <row r="1372" spans="1:7" x14ac:dyDescent="0.4">
      <c r="A1372">
        <v>72</v>
      </c>
      <c r="B1372" t="s">
        <v>544</v>
      </c>
      <c r="C1372" s="1">
        <v>40.799999999999997</v>
      </c>
      <c r="D1372" s="1">
        <v>2.13</v>
      </c>
      <c r="E1372" s="19">
        <v>5.49</v>
      </c>
      <c r="F1372" s="4">
        <v>585122</v>
      </c>
      <c r="G1372" s="5">
        <v>43179</v>
      </c>
    </row>
    <row r="1373" spans="1:7" x14ac:dyDescent="0.4">
      <c r="A1373">
        <v>73</v>
      </c>
      <c r="B1373" t="s">
        <v>545</v>
      </c>
      <c r="C1373" s="1">
        <v>2.69</v>
      </c>
      <c r="D1373" s="1">
        <v>0.14000000000000001</v>
      </c>
      <c r="E1373" s="19">
        <v>5.49</v>
      </c>
      <c r="F1373" s="4">
        <v>87609</v>
      </c>
      <c r="G1373" s="5">
        <v>43179</v>
      </c>
    </row>
    <row r="1374" spans="1:7" x14ac:dyDescent="0.4">
      <c r="A1374">
        <v>74</v>
      </c>
      <c r="B1374" t="s">
        <v>546</v>
      </c>
      <c r="C1374" s="1">
        <v>14.61</v>
      </c>
      <c r="D1374" s="1">
        <v>0.76</v>
      </c>
      <c r="E1374" s="19">
        <v>5.49</v>
      </c>
      <c r="F1374" s="4">
        <v>4657</v>
      </c>
      <c r="G1374" s="5">
        <v>43179</v>
      </c>
    </row>
    <row r="1375" spans="1:7" x14ac:dyDescent="0.4">
      <c r="A1375">
        <v>75</v>
      </c>
      <c r="B1375" t="s">
        <v>38</v>
      </c>
      <c r="C1375" s="1">
        <v>56.3</v>
      </c>
      <c r="D1375" s="1">
        <v>2.91</v>
      </c>
      <c r="E1375" s="19">
        <v>5.45</v>
      </c>
      <c r="F1375" s="4">
        <v>795699</v>
      </c>
      <c r="G1375" s="5">
        <v>43179</v>
      </c>
    </row>
    <row r="1376" spans="1:7" x14ac:dyDescent="0.4">
      <c r="A1376">
        <v>76</v>
      </c>
      <c r="B1376" t="s">
        <v>155</v>
      </c>
      <c r="C1376" s="1">
        <v>19.2</v>
      </c>
      <c r="D1376" s="1">
        <v>0.99</v>
      </c>
      <c r="E1376" s="19">
        <v>5.44</v>
      </c>
      <c r="F1376" s="4">
        <v>206006</v>
      </c>
      <c r="G1376" s="5">
        <v>43179</v>
      </c>
    </row>
    <row r="1377" spans="1:7" x14ac:dyDescent="0.4">
      <c r="A1377">
        <v>77</v>
      </c>
      <c r="B1377" t="s">
        <v>49</v>
      </c>
      <c r="C1377" s="1">
        <v>2.73</v>
      </c>
      <c r="D1377" s="1">
        <v>0.14000000000000001</v>
      </c>
      <c r="E1377" s="19">
        <v>5.41</v>
      </c>
      <c r="F1377" s="4">
        <v>125934</v>
      </c>
      <c r="G1377" s="5">
        <v>43179</v>
      </c>
    </row>
    <row r="1378" spans="1:7" x14ac:dyDescent="0.4">
      <c r="A1378">
        <v>78</v>
      </c>
      <c r="B1378" t="s">
        <v>547</v>
      </c>
      <c r="C1378" s="1">
        <v>49.7</v>
      </c>
      <c r="D1378" s="1">
        <v>2.5</v>
      </c>
      <c r="E1378" s="19">
        <v>5.3</v>
      </c>
      <c r="F1378" s="4">
        <v>1405713</v>
      </c>
      <c r="G1378" s="5">
        <v>43179</v>
      </c>
    </row>
    <row r="1379" spans="1:7" x14ac:dyDescent="0.4">
      <c r="A1379">
        <v>79</v>
      </c>
      <c r="B1379" t="s">
        <v>231</v>
      </c>
      <c r="C1379" s="1">
        <v>15</v>
      </c>
      <c r="D1379" s="1">
        <v>0.75</v>
      </c>
      <c r="E1379" s="19">
        <v>5.26</v>
      </c>
      <c r="F1379" s="4">
        <v>74291</v>
      </c>
      <c r="G1379" s="5">
        <v>43179</v>
      </c>
    </row>
    <row r="1380" spans="1:7" x14ac:dyDescent="0.4">
      <c r="A1380">
        <v>80</v>
      </c>
      <c r="B1380" t="s">
        <v>548</v>
      </c>
      <c r="C1380" s="1">
        <v>3</v>
      </c>
      <c r="D1380" s="1">
        <v>0.15</v>
      </c>
      <c r="E1380" s="19">
        <v>5.26</v>
      </c>
      <c r="F1380" s="4">
        <v>38028</v>
      </c>
      <c r="G1380" s="5">
        <v>43179</v>
      </c>
    </row>
    <row r="1381" spans="1:7" x14ac:dyDescent="0.4">
      <c r="A1381">
        <v>81</v>
      </c>
      <c r="B1381" t="s">
        <v>549</v>
      </c>
      <c r="C1381" s="1">
        <v>15.24</v>
      </c>
      <c r="D1381" s="1">
        <v>0.76</v>
      </c>
      <c r="E1381" s="19">
        <v>5.25</v>
      </c>
      <c r="F1381" s="4">
        <v>12478</v>
      </c>
      <c r="G1381" s="5">
        <v>43179</v>
      </c>
    </row>
    <row r="1382" spans="1:7" x14ac:dyDescent="0.4">
      <c r="A1382">
        <v>82</v>
      </c>
      <c r="B1382" t="s">
        <v>550</v>
      </c>
      <c r="C1382" s="1">
        <v>172.17</v>
      </c>
      <c r="D1382" s="1">
        <v>8.56</v>
      </c>
      <c r="E1382" s="19">
        <v>5.23</v>
      </c>
      <c r="F1382" s="4">
        <v>641476</v>
      </c>
      <c r="G1382" s="5">
        <v>43179</v>
      </c>
    </row>
    <row r="1383" spans="1:7" x14ac:dyDescent="0.4">
      <c r="A1383">
        <v>83</v>
      </c>
      <c r="B1383" t="s">
        <v>551</v>
      </c>
      <c r="C1383" s="1">
        <v>153.11000000000001</v>
      </c>
      <c r="D1383" s="1">
        <v>7.49</v>
      </c>
      <c r="E1383" s="19">
        <v>5.14</v>
      </c>
      <c r="F1383" s="4">
        <v>1898221</v>
      </c>
      <c r="G1383" s="5">
        <v>43179</v>
      </c>
    </row>
    <row r="1384" spans="1:7" x14ac:dyDescent="0.4">
      <c r="A1384">
        <v>84</v>
      </c>
      <c r="B1384" t="s">
        <v>552</v>
      </c>
      <c r="C1384" s="1">
        <v>23.75</v>
      </c>
      <c r="D1384" s="1">
        <v>1.1499999999999999</v>
      </c>
      <c r="E1384" s="19">
        <v>5.09</v>
      </c>
      <c r="F1384" s="4">
        <v>190241</v>
      </c>
      <c r="G1384" s="5">
        <v>43179</v>
      </c>
    </row>
    <row r="1385" spans="1:7" x14ac:dyDescent="0.4">
      <c r="A1385">
        <v>85</v>
      </c>
      <c r="B1385" t="s">
        <v>305</v>
      </c>
      <c r="C1385" s="1">
        <v>4.3499999999999996</v>
      </c>
      <c r="D1385" s="1">
        <v>0.21</v>
      </c>
      <c r="E1385" s="19">
        <v>5.07</v>
      </c>
      <c r="F1385" s="4">
        <v>6507</v>
      </c>
      <c r="G1385" s="5">
        <v>43179</v>
      </c>
    </row>
    <row r="1386" spans="1:7" x14ac:dyDescent="0.4">
      <c r="A1386">
        <v>86</v>
      </c>
      <c r="B1386" t="s">
        <v>553</v>
      </c>
      <c r="C1386" s="1">
        <v>7.25</v>
      </c>
      <c r="D1386" s="1">
        <v>0.35</v>
      </c>
      <c r="E1386" s="19">
        <v>5.07</v>
      </c>
      <c r="F1386" s="4">
        <v>41184</v>
      </c>
      <c r="G1386" s="5">
        <v>43179</v>
      </c>
    </row>
    <row r="1387" spans="1:7" x14ac:dyDescent="0.4">
      <c r="A1387">
        <v>87</v>
      </c>
      <c r="B1387" t="s">
        <v>554</v>
      </c>
      <c r="C1387" s="1">
        <v>2.1</v>
      </c>
      <c r="D1387" s="1">
        <v>0.1</v>
      </c>
      <c r="E1387" s="19">
        <v>5</v>
      </c>
      <c r="F1387" s="4">
        <v>300771</v>
      </c>
      <c r="G1387" s="5">
        <v>43179</v>
      </c>
    </row>
    <row r="1388" spans="1:7" x14ac:dyDescent="0.4">
      <c r="A1388">
        <v>88</v>
      </c>
      <c r="B1388" t="s">
        <v>555</v>
      </c>
      <c r="C1388" s="1">
        <v>24.31</v>
      </c>
      <c r="D1388" s="1">
        <v>1.1499999999999999</v>
      </c>
      <c r="E1388" s="19">
        <v>4.97</v>
      </c>
      <c r="F1388" s="4">
        <v>135725</v>
      </c>
      <c r="G1388" s="5">
        <v>43179</v>
      </c>
    </row>
    <row r="1389" spans="1:7" x14ac:dyDescent="0.4">
      <c r="A1389">
        <v>89</v>
      </c>
      <c r="B1389" t="s">
        <v>556</v>
      </c>
      <c r="C1389" s="1">
        <v>11.65</v>
      </c>
      <c r="D1389" s="1">
        <v>0.55000000000000004</v>
      </c>
      <c r="E1389" s="19">
        <v>4.95</v>
      </c>
      <c r="F1389" s="4">
        <v>9385</v>
      </c>
      <c r="G1389" s="5">
        <v>43179</v>
      </c>
    </row>
    <row r="1390" spans="1:7" x14ac:dyDescent="0.4">
      <c r="A1390">
        <v>90</v>
      </c>
      <c r="B1390" t="s">
        <v>300</v>
      </c>
      <c r="C1390" s="1">
        <v>2.78</v>
      </c>
      <c r="D1390" s="1">
        <v>0.13</v>
      </c>
      <c r="E1390" s="19">
        <v>4.91</v>
      </c>
      <c r="F1390" s="4">
        <v>70469</v>
      </c>
      <c r="G1390" s="5">
        <v>43179</v>
      </c>
    </row>
    <row r="1391" spans="1:7" x14ac:dyDescent="0.4">
      <c r="A1391">
        <v>91</v>
      </c>
      <c r="B1391" t="s">
        <v>557</v>
      </c>
      <c r="C1391" s="1">
        <v>27.85</v>
      </c>
      <c r="D1391" s="1">
        <v>1.3</v>
      </c>
      <c r="E1391" s="19">
        <v>4.9000000000000004</v>
      </c>
      <c r="F1391" s="4">
        <v>19148</v>
      </c>
      <c r="G1391" s="5">
        <v>43179</v>
      </c>
    </row>
    <row r="1392" spans="1:7" x14ac:dyDescent="0.4">
      <c r="A1392">
        <v>92</v>
      </c>
      <c r="B1392" t="s">
        <v>170</v>
      </c>
      <c r="C1392" s="1">
        <v>18.22</v>
      </c>
      <c r="D1392" s="1">
        <v>0.84</v>
      </c>
      <c r="E1392" s="19">
        <v>4.83</v>
      </c>
      <c r="F1392" s="4">
        <v>246877</v>
      </c>
      <c r="G1392" s="5">
        <v>43179</v>
      </c>
    </row>
    <row r="1393" spans="1:7" x14ac:dyDescent="0.4">
      <c r="A1393">
        <v>93</v>
      </c>
      <c r="B1393" t="s">
        <v>558</v>
      </c>
      <c r="C1393" s="1">
        <v>33.04</v>
      </c>
      <c r="D1393" s="1">
        <v>1.52</v>
      </c>
      <c r="E1393" s="19">
        <v>4.82</v>
      </c>
      <c r="F1393" s="4">
        <v>2473815</v>
      </c>
      <c r="G1393" s="5">
        <v>43179</v>
      </c>
    </row>
    <row r="1394" spans="1:7" x14ac:dyDescent="0.4">
      <c r="A1394">
        <v>94</v>
      </c>
      <c r="B1394" t="s">
        <v>559</v>
      </c>
      <c r="C1394" s="1">
        <v>38.76</v>
      </c>
      <c r="D1394" s="1">
        <v>1.78</v>
      </c>
      <c r="E1394" s="19">
        <v>4.8099999999999996</v>
      </c>
      <c r="F1394" s="4">
        <v>6461059</v>
      </c>
      <c r="G1394" s="5">
        <v>43179</v>
      </c>
    </row>
    <row r="1395" spans="1:7" x14ac:dyDescent="0.4">
      <c r="A1395">
        <v>95</v>
      </c>
      <c r="B1395" t="s">
        <v>560</v>
      </c>
      <c r="C1395" s="1">
        <v>20.260000000000002</v>
      </c>
      <c r="D1395" s="1">
        <v>0.93</v>
      </c>
      <c r="E1395" s="19">
        <v>4.8099999999999996</v>
      </c>
      <c r="F1395" s="4">
        <v>1457716</v>
      </c>
      <c r="G1395" s="5">
        <v>43179</v>
      </c>
    </row>
    <row r="1396" spans="1:7" x14ac:dyDescent="0.4">
      <c r="A1396">
        <v>96</v>
      </c>
      <c r="B1396" t="s">
        <v>561</v>
      </c>
      <c r="C1396" s="1">
        <v>21.9</v>
      </c>
      <c r="D1396" s="1">
        <v>1</v>
      </c>
      <c r="E1396" s="19">
        <v>4.78</v>
      </c>
      <c r="F1396" s="4">
        <v>937681</v>
      </c>
      <c r="G1396" s="5">
        <v>43179</v>
      </c>
    </row>
    <row r="1397" spans="1:7" x14ac:dyDescent="0.4">
      <c r="A1397">
        <v>97</v>
      </c>
      <c r="B1397" t="s">
        <v>562</v>
      </c>
      <c r="C1397" s="1">
        <v>17.57</v>
      </c>
      <c r="D1397" s="1">
        <v>0.8</v>
      </c>
      <c r="E1397" s="19">
        <v>4.7699999999999996</v>
      </c>
      <c r="F1397" s="4">
        <v>1078707</v>
      </c>
      <c r="G1397" s="5">
        <v>43179</v>
      </c>
    </row>
    <row r="1398" spans="1:7" x14ac:dyDescent="0.4">
      <c r="A1398">
        <v>98</v>
      </c>
      <c r="B1398" t="s">
        <v>563</v>
      </c>
      <c r="C1398" s="1">
        <v>26.19</v>
      </c>
      <c r="D1398" s="1">
        <v>1.19</v>
      </c>
      <c r="E1398" s="19">
        <v>4.76</v>
      </c>
      <c r="F1398" s="4">
        <v>188511</v>
      </c>
      <c r="G1398" s="5">
        <v>43179</v>
      </c>
    </row>
    <row r="1399" spans="1:7" x14ac:dyDescent="0.4">
      <c r="A1399">
        <v>99</v>
      </c>
      <c r="B1399" t="s">
        <v>400</v>
      </c>
      <c r="C1399" s="1">
        <v>2.4300000000000002</v>
      </c>
      <c r="D1399" s="1">
        <v>0.11</v>
      </c>
      <c r="E1399" s="19">
        <v>4.74</v>
      </c>
      <c r="F1399" s="4">
        <v>1030472</v>
      </c>
      <c r="G1399" s="5">
        <v>43179</v>
      </c>
    </row>
    <row r="1400" spans="1:7" x14ac:dyDescent="0.4">
      <c r="A1400">
        <v>100</v>
      </c>
      <c r="B1400" t="s">
        <v>564</v>
      </c>
      <c r="C1400" s="1">
        <v>21.87</v>
      </c>
      <c r="D1400" s="1">
        <v>0.99</v>
      </c>
      <c r="E1400" s="19">
        <v>4.74</v>
      </c>
      <c r="F1400" s="4">
        <v>1221919</v>
      </c>
      <c r="G1400" s="5">
        <v>43179</v>
      </c>
    </row>
    <row r="1401" spans="1:7" x14ac:dyDescent="0.4">
      <c r="A1401">
        <v>1</v>
      </c>
      <c r="B1401" t="s">
        <v>496</v>
      </c>
      <c r="C1401" s="9">
        <v>39.75</v>
      </c>
      <c r="D1401" s="9">
        <v>8.86</v>
      </c>
      <c r="E1401" s="19">
        <v>28.68</v>
      </c>
      <c r="F1401" s="4">
        <v>11587788</v>
      </c>
      <c r="G1401" s="5">
        <v>43179</v>
      </c>
    </row>
    <row r="1402" spans="1:7" x14ac:dyDescent="0.4">
      <c r="A1402">
        <v>2</v>
      </c>
      <c r="B1402" t="s">
        <v>565</v>
      </c>
      <c r="C1402" s="9">
        <v>39.92</v>
      </c>
      <c r="D1402" s="9">
        <v>7.16</v>
      </c>
      <c r="E1402" s="19">
        <v>21.86</v>
      </c>
      <c r="F1402" s="4">
        <v>1025593</v>
      </c>
      <c r="G1402" s="5">
        <v>43180</v>
      </c>
    </row>
    <row r="1403" spans="1:7" x14ac:dyDescent="0.4">
      <c r="A1403">
        <v>3</v>
      </c>
      <c r="B1403" t="s">
        <v>530</v>
      </c>
      <c r="C1403" s="9">
        <v>3.1</v>
      </c>
      <c r="D1403" s="9">
        <v>0.55000000000000004</v>
      </c>
      <c r="E1403" s="19">
        <v>21.57</v>
      </c>
      <c r="F1403" s="4">
        <v>12013</v>
      </c>
      <c r="G1403" s="5">
        <v>43180</v>
      </c>
    </row>
    <row r="1404" spans="1:7" x14ac:dyDescent="0.4">
      <c r="A1404">
        <v>4</v>
      </c>
      <c r="B1404" t="s">
        <v>566</v>
      </c>
      <c r="C1404" s="9">
        <v>3.85</v>
      </c>
      <c r="D1404" s="9">
        <v>0.65</v>
      </c>
      <c r="E1404" s="19">
        <v>20.309999999999999</v>
      </c>
      <c r="F1404" s="4">
        <v>160803</v>
      </c>
      <c r="G1404" s="5">
        <v>43180</v>
      </c>
    </row>
    <row r="1405" spans="1:7" x14ac:dyDescent="0.4">
      <c r="A1405">
        <v>5</v>
      </c>
      <c r="B1405" t="s">
        <v>266</v>
      </c>
      <c r="C1405" s="9">
        <v>4.99</v>
      </c>
      <c r="D1405" s="9">
        <v>0.8</v>
      </c>
      <c r="E1405" s="19">
        <v>19.09</v>
      </c>
      <c r="F1405" s="4">
        <v>18126049</v>
      </c>
      <c r="G1405" s="5">
        <v>43180</v>
      </c>
    </row>
    <row r="1406" spans="1:7" x14ac:dyDescent="0.4">
      <c r="A1406">
        <v>6</v>
      </c>
      <c r="B1406" t="s">
        <v>567</v>
      </c>
      <c r="C1406" s="9">
        <v>2.92</v>
      </c>
      <c r="D1406" s="9">
        <v>0.45</v>
      </c>
      <c r="E1406" s="19">
        <v>18.22</v>
      </c>
      <c r="F1406" s="4">
        <v>270682</v>
      </c>
      <c r="G1406" s="5">
        <v>43180</v>
      </c>
    </row>
    <row r="1407" spans="1:7" x14ac:dyDescent="0.4">
      <c r="A1407">
        <v>7</v>
      </c>
      <c r="B1407" t="s">
        <v>400</v>
      </c>
      <c r="C1407" s="9">
        <v>2.87</v>
      </c>
      <c r="D1407" s="9">
        <v>0.44</v>
      </c>
      <c r="E1407" s="19">
        <v>18.11</v>
      </c>
      <c r="F1407" s="4">
        <v>2450110</v>
      </c>
      <c r="G1407" s="5">
        <v>43180</v>
      </c>
    </row>
    <row r="1408" spans="1:7" x14ac:dyDescent="0.4">
      <c r="A1408">
        <v>8</v>
      </c>
      <c r="B1408" t="s">
        <v>568</v>
      </c>
      <c r="C1408" s="9">
        <v>3.35</v>
      </c>
      <c r="D1408" s="9">
        <v>0.5</v>
      </c>
      <c r="E1408" s="19">
        <v>17.54</v>
      </c>
      <c r="F1408" s="4">
        <v>10842214</v>
      </c>
      <c r="G1408" s="5">
        <v>43180</v>
      </c>
    </row>
    <row r="1409" spans="1:7" x14ac:dyDescent="0.4">
      <c r="A1409">
        <v>9</v>
      </c>
      <c r="B1409" t="s">
        <v>569</v>
      </c>
      <c r="C1409" s="9">
        <v>3.52</v>
      </c>
      <c r="D1409" s="9">
        <v>0.49</v>
      </c>
      <c r="E1409" s="19">
        <v>16.170000000000002</v>
      </c>
      <c r="F1409" s="4">
        <v>267309</v>
      </c>
      <c r="G1409" s="5">
        <v>43180</v>
      </c>
    </row>
    <row r="1410" spans="1:7" x14ac:dyDescent="0.4">
      <c r="A1410">
        <v>10</v>
      </c>
      <c r="B1410" t="s">
        <v>570</v>
      </c>
      <c r="C1410" s="9">
        <v>8.7200000000000006</v>
      </c>
      <c r="D1410" s="9">
        <v>1.1399999999999999</v>
      </c>
      <c r="E1410" s="19">
        <v>15.04</v>
      </c>
      <c r="F1410" s="4">
        <v>1154379</v>
      </c>
      <c r="G1410" s="5">
        <v>43180</v>
      </c>
    </row>
    <row r="1411" spans="1:7" x14ac:dyDescent="0.4">
      <c r="A1411">
        <v>11</v>
      </c>
      <c r="B1411" t="s">
        <v>571</v>
      </c>
      <c r="C1411" s="9">
        <v>38.72</v>
      </c>
      <c r="D1411" s="9">
        <v>4.87</v>
      </c>
      <c r="E1411" s="19">
        <v>14.39</v>
      </c>
      <c r="F1411" s="4">
        <v>3248511</v>
      </c>
      <c r="G1411" s="5">
        <v>43180</v>
      </c>
    </row>
    <row r="1412" spans="1:7" x14ac:dyDescent="0.4">
      <c r="A1412">
        <v>12</v>
      </c>
      <c r="B1412" t="s">
        <v>173</v>
      </c>
      <c r="C1412" s="9">
        <v>8</v>
      </c>
      <c r="D1412" s="9">
        <v>1</v>
      </c>
      <c r="E1412" s="19">
        <v>14.29</v>
      </c>
      <c r="F1412" s="4">
        <v>677167</v>
      </c>
      <c r="G1412" s="5">
        <v>43180</v>
      </c>
    </row>
    <row r="1413" spans="1:7" x14ac:dyDescent="0.4">
      <c r="A1413">
        <v>13</v>
      </c>
      <c r="B1413" t="s">
        <v>572</v>
      </c>
      <c r="C1413" s="9">
        <v>6.05</v>
      </c>
      <c r="D1413" s="9">
        <v>0.75</v>
      </c>
      <c r="E1413" s="19">
        <v>14.15</v>
      </c>
      <c r="F1413" s="4">
        <v>81902</v>
      </c>
      <c r="G1413" s="5">
        <v>43180</v>
      </c>
    </row>
    <row r="1414" spans="1:7" x14ac:dyDescent="0.4">
      <c r="A1414">
        <v>14</v>
      </c>
      <c r="B1414" t="s">
        <v>573</v>
      </c>
      <c r="C1414" s="9">
        <v>3.32</v>
      </c>
      <c r="D1414" s="9">
        <v>0.41</v>
      </c>
      <c r="E1414" s="19">
        <v>14.09</v>
      </c>
      <c r="F1414" s="4">
        <v>4779136</v>
      </c>
      <c r="G1414" s="5">
        <v>43180</v>
      </c>
    </row>
    <row r="1415" spans="1:7" x14ac:dyDescent="0.4">
      <c r="A1415">
        <v>15</v>
      </c>
      <c r="B1415" t="s">
        <v>574</v>
      </c>
      <c r="C1415" s="9">
        <v>12.48</v>
      </c>
      <c r="D1415" s="9">
        <v>1.48</v>
      </c>
      <c r="E1415" s="19">
        <v>13.45</v>
      </c>
      <c r="F1415" s="4">
        <v>1984506</v>
      </c>
      <c r="G1415" s="5">
        <v>43180</v>
      </c>
    </row>
    <row r="1416" spans="1:7" x14ac:dyDescent="0.4">
      <c r="A1416">
        <v>16</v>
      </c>
      <c r="B1416" t="s">
        <v>575</v>
      </c>
      <c r="C1416" s="9">
        <v>16.7</v>
      </c>
      <c r="D1416" s="9">
        <v>1.92</v>
      </c>
      <c r="E1416" s="19">
        <v>12.99</v>
      </c>
      <c r="F1416" s="4">
        <v>2424030</v>
      </c>
      <c r="G1416" s="5">
        <v>43180</v>
      </c>
    </row>
    <row r="1417" spans="1:7" x14ac:dyDescent="0.4">
      <c r="A1417">
        <v>17</v>
      </c>
      <c r="B1417" t="s">
        <v>576</v>
      </c>
      <c r="C1417" s="9">
        <v>18.809999999999999</v>
      </c>
      <c r="D1417" s="9">
        <v>2.12</v>
      </c>
      <c r="E1417" s="19">
        <v>12.7</v>
      </c>
      <c r="F1417" s="4">
        <v>704924</v>
      </c>
      <c r="G1417" s="5">
        <v>43180</v>
      </c>
    </row>
    <row r="1418" spans="1:7" x14ac:dyDescent="0.4">
      <c r="A1418">
        <v>18</v>
      </c>
      <c r="B1418" t="s">
        <v>564</v>
      </c>
      <c r="C1418" s="9">
        <v>24.59</v>
      </c>
      <c r="D1418" s="9">
        <v>2.72</v>
      </c>
      <c r="E1418" s="19">
        <v>12.44</v>
      </c>
      <c r="F1418" s="4">
        <v>2183063</v>
      </c>
      <c r="G1418" s="5">
        <v>43180</v>
      </c>
    </row>
    <row r="1419" spans="1:7" x14ac:dyDescent="0.4">
      <c r="A1419">
        <v>19</v>
      </c>
      <c r="B1419" t="s">
        <v>120</v>
      </c>
      <c r="C1419" s="9">
        <v>12.47</v>
      </c>
      <c r="D1419" s="9">
        <v>1.37</v>
      </c>
      <c r="E1419" s="19">
        <v>12.32</v>
      </c>
      <c r="F1419" s="4">
        <v>7031</v>
      </c>
      <c r="G1419" s="5">
        <v>43180</v>
      </c>
    </row>
    <row r="1420" spans="1:7" x14ac:dyDescent="0.4">
      <c r="A1420">
        <v>20</v>
      </c>
      <c r="B1420" t="s">
        <v>577</v>
      </c>
      <c r="C1420" s="9">
        <v>4.4800000000000004</v>
      </c>
      <c r="D1420" s="9">
        <v>0.48</v>
      </c>
      <c r="E1420" s="19">
        <v>12.03</v>
      </c>
      <c r="F1420" s="4">
        <v>91235</v>
      </c>
      <c r="G1420" s="5">
        <v>43180</v>
      </c>
    </row>
    <row r="1421" spans="1:7" x14ac:dyDescent="0.4">
      <c r="A1421">
        <v>21</v>
      </c>
      <c r="B1421" t="s">
        <v>578</v>
      </c>
      <c r="C1421" s="9">
        <v>2.2799999999999998</v>
      </c>
      <c r="D1421" s="9">
        <v>0.24</v>
      </c>
      <c r="E1421" s="19">
        <v>11.76</v>
      </c>
      <c r="F1421" s="4">
        <v>1466855</v>
      </c>
      <c r="G1421" s="5">
        <v>43180</v>
      </c>
    </row>
    <row r="1422" spans="1:7" x14ac:dyDescent="0.4">
      <c r="A1422">
        <v>22</v>
      </c>
      <c r="B1422" t="s">
        <v>579</v>
      </c>
      <c r="C1422" s="9">
        <v>3.45</v>
      </c>
      <c r="D1422" s="9">
        <v>0.35</v>
      </c>
      <c r="E1422" s="19">
        <v>11.29</v>
      </c>
      <c r="F1422" s="4">
        <v>24615</v>
      </c>
      <c r="G1422" s="5">
        <v>43180</v>
      </c>
    </row>
    <row r="1423" spans="1:7" x14ac:dyDescent="0.4">
      <c r="A1423">
        <v>23</v>
      </c>
      <c r="B1423" t="s">
        <v>580</v>
      </c>
      <c r="C1423" s="9">
        <v>4.8</v>
      </c>
      <c r="D1423" s="9">
        <v>0.47</v>
      </c>
      <c r="E1423" s="19">
        <v>10.85</v>
      </c>
      <c r="F1423" s="4">
        <v>182444</v>
      </c>
      <c r="G1423" s="5">
        <v>43180</v>
      </c>
    </row>
    <row r="1424" spans="1:7" x14ac:dyDescent="0.4">
      <c r="A1424">
        <v>24</v>
      </c>
      <c r="B1424" t="s">
        <v>496</v>
      </c>
      <c r="C1424" s="9">
        <v>44</v>
      </c>
      <c r="D1424" s="9">
        <v>4.25</v>
      </c>
      <c r="E1424" s="19">
        <v>10.69</v>
      </c>
      <c r="F1424" s="4">
        <v>6810888</v>
      </c>
      <c r="G1424" s="5">
        <v>43180</v>
      </c>
    </row>
    <row r="1425" spans="1:7" x14ac:dyDescent="0.4">
      <c r="A1425">
        <v>25</v>
      </c>
      <c r="B1425" t="s">
        <v>164</v>
      </c>
      <c r="C1425" s="9">
        <v>6.97</v>
      </c>
      <c r="D1425" s="9">
        <v>0.67</v>
      </c>
      <c r="E1425" s="19">
        <v>10.63</v>
      </c>
      <c r="F1425" s="4">
        <v>40734</v>
      </c>
      <c r="G1425" s="5">
        <v>43180</v>
      </c>
    </row>
    <row r="1426" spans="1:7" x14ac:dyDescent="0.4">
      <c r="A1426">
        <v>26</v>
      </c>
      <c r="B1426" t="s">
        <v>581</v>
      </c>
      <c r="C1426" s="9">
        <v>4.13</v>
      </c>
      <c r="D1426" s="9">
        <v>0.39</v>
      </c>
      <c r="E1426" s="19">
        <v>10.43</v>
      </c>
      <c r="F1426" s="4">
        <v>45927</v>
      </c>
      <c r="G1426" s="5">
        <v>43180</v>
      </c>
    </row>
    <row r="1427" spans="1:7" x14ac:dyDescent="0.4">
      <c r="A1427">
        <v>27</v>
      </c>
      <c r="B1427" t="s">
        <v>582</v>
      </c>
      <c r="C1427" s="9">
        <v>14.14</v>
      </c>
      <c r="D1427" s="9">
        <v>1.33</v>
      </c>
      <c r="E1427" s="19">
        <v>10.38</v>
      </c>
      <c r="F1427" s="4">
        <v>24240963</v>
      </c>
      <c r="G1427" s="5">
        <v>43180</v>
      </c>
    </row>
    <row r="1428" spans="1:7" x14ac:dyDescent="0.4">
      <c r="A1428">
        <v>28</v>
      </c>
      <c r="B1428" t="s">
        <v>583</v>
      </c>
      <c r="C1428" s="9">
        <v>4.8</v>
      </c>
      <c r="D1428" s="9">
        <v>0.45</v>
      </c>
      <c r="E1428" s="19">
        <v>10.34</v>
      </c>
      <c r="F1428" s="4">
        <v>243596</v>
      </c>
      <c r="G1428" s="5">
        <v>43180</v>
      </c>
    </row>
    <row r="1429" spans="1:7" x14ac:dyDescent="0.4">
      <c r="A1429">
        <v>29</v>
      </c>
      <c r="B1429" t="s">
        <v>584</v>
      </c>
      <c r="C1429" s="9">
        <v>3</v>
      </c>
      <c r="D1429" s="9">
        <v>0.28000000000000003</v>
      </c>
      <c r="E1429" s="19">
        <v>10.29</v>
      </c>
      <c r="F1429" s="4">
        <v>1637418</v>
      </c>
      <c r="G1429" s="5">
        <v>43180</v>
      </c>
    </row>
    <row r="1430" spans="1:7" x14ac:dyDescent="0.4">
      <c r="A1430">
        <v>30</v>
      </c>
      <c r="B1430" t="s">
        <v>265</v>
      </c>
      <c r="C1430" s="9">
        <v>11.4</v>
      </c>
      <c r="D1430" s="9">
        <v>1.04</v>
      </c>
      <c r="E1430" s="19">
        <v>10.039999999999999</v>
      </c>
      <c r="F1430" s="4">
        <v>832248</v>
      </c>
      <c r="G1430" s="5">
        <v>43180</v>
      </c>
    </row>
    <row r="1431" spans="1:7" x14ac:dyDescent="0.4">
      <c r="A1431">
        <v>31</v>
      </c>
      <c r="B1431" t="s">
        <v>585</v>
      </c>
      <c r="C1431" s="9">
        <v>2.71</v>
      </c>
      <c r="D1431" s="9">
        <v>0.24</v>
      </c>
      <c r="E1431" s="19">
        <v>9.7200000000000006</v>
      </c>
      <c r="F1431" s="4">
        <v>14621137</v>
      </c>
      <c r="G1431" s="5">
        <v>43180</v>
      </c>
    </row>
    <row r="1432" spans="1:7" x14ac:dyDescent="0.4">
      <c r="A1432">
        <v>32</v>
      </c>
      <c r="B1432" t="s">
        <v>586</v>
      </c>
      <c r="C1432" s="9">
        <v>5.99</v>
      </c>
      <c r="D1432" s="9">
        <v>0.53</v>
      </c>
      <c r="E1432" s="19">
        <v>9.7100000000000009</v>
      </c>
      <c r="F1432" s="4">
        <v>3221096</v>
      </c>
      <c r="G1432" s="5">
        <v>43180</v>
      </c>
    </row>
    <row r="1433" spans="1:7" x14ac:dyDescent="0.4">
      <c r="A1433">
        <v>33</v>
      </c>
      <c r="B1433" t="s">
        <v>548</v>
      </c>
      <c r="C1433" s="9">
        <v>3.29</v>
      </c>
      <c r="D1433" s="9">
        <v>0.28999999999999998</v>
      </c>
      <c r="E1433" s="19">
        <v>9.67</v>
      </c>
      <c r="F1433" s="4">
        <v>45999</v>
      </c>
      <c r="G1433" s="5">
        <v>43180</v>
      </c>
    </row>
    <row r="1434" spans="1:7" x14ac:dyDescent="0.4">
      <c r="A1434">
        <v>34</v>
      </c>
      <c r="B1434" t="s">
        <v>520</v>
      </c>
      <c r="C1434" s="9">
        <v>30.27</v>
      </c>
      <c r="D1434" s="9">
        <v>2.67</v>
      </c>
      <c r="E1434" s="19">
        <v>9.66</v>
      </c>
      <c r="F1434" s="4">
        <v>10625</v>
      </c>
      <c r="G1434" s="5">
        <v>43180</v>
      </c>
    </row>
    <row r="1435" spans="1:7" x14ac:dyDescent="0.4">
      <c r="A1435">
        <v>35</v>
      </c>
      <c r="B1435" t="s">
        <v>549</v>
      </c>
      <c r="C1435" s="9">
        <v>16.71</v>
      </c>
      <c r="D1435" s="9">
        <v>1.47</v>
      </c>
      <c r="E1435" s="19">
        <v>9.65</v>
      </c>
      <c r="F1435" s="4">
        <v>27922</v>
      </c>
      <c r="G1435" s="5">
        <v>43180</v>
      </c>
    </row>
    <row r="1436" spans="1:7" x14ac:dyDescent="0.4">
      <c r="A1436">
        <v>36</v>
      </c>
      <c r="B1436" t="s">
        <v>587</v>
      </c>
      <c r="C1436" s="9">
        <v>33.61</v>
      </c>
      <c r="D1436" s="9">
        <v>2.95</v>
      </c>
      <c r="E1436" s="19">
        <v>9.6199999999999992</v>
      </c>
      <c r="F1436" s="4">
        <v>10332096</v>
      </c>
      <c r="G1436" s="5">
        <v>43180</v>
      </c>
    </row>
    <row r="1437" spans="1:7" x14ac:dyDescent="0.4">
      <c r="A1437">
        <v>37</v>
      </c>
      <c r="B1437" t="s">
        <v>588</v>
      </c>
      <c r="C1437" s="9">
        <v>18.63</v>
      </c>
      <c r="D1437" s="9">
        <v>1.62</v>
      </c>
      <c r="E1437" s="19">
        <v>9.52</v>
      </c>
      <c r="F1437" s="4">
        <v>1124887</v>
      </c>
      <c r="G1437" s="5">
        <v>43180</v>
      </c>
    </row>
    <row r="1438" spans="1:7" x14ac:dyDescent="0.4">
      <c r="A1438">
        <v>38</v>
      </c>
      <c r="B1438" t="s">
        <v>358</v>
      </c>
      <c r="C1438" s="9">
        <v>5.65</v>
      </c>
      <c r="D1438" s="9">
        <v>0.49</v>
      </c>
      <c r="E1438" s="19">
        <v>9.5</v>
      </c>
      <c r="F1438" s="4">
        <v>87319</v>
      </c>
      <c r="G1438" s="5">
        <v>43180</v>
      </c>
    </row>
    <row r="1439" spans="1:7" x14ac:dyDescent="0.4">
      <c r="A1439">
        <v>39</v>
      </c>
      <c r="B1439" t="s">
        <v>589</v>
      </c>
      <c r="C1439" s="9">
        <v>5.2</v>
      </c>
      <c r="D1439" s="9">
        <v>0.45</v>
      </c>
      <c r="E1439" s="19">
        <v>9.4700000000000006</v>
      </c>
      <c r="F1439" s="4">
        <v>311521</v>
      </c>
      <c r="G1439" s="5">
        <v>43180</v>
      </c>
    </row>
    <row r="1440" spans="1:7" x14ac:dyDescent="0.4">
      <c r="A1440">
        <v>40</v>
      </c>
      <c r="B1440" t="s">
        <v>590</v>
      </c>
      <c r="C1440" s="9">
        <v>3.02</v>
      </c>
      <c r="D1440" s="9">
        <v>0.26</v>
      </c>
      <c r="E1440" s="19">
        <v>9.42</v>
      </c>
      <c r="F1440" s="4">
        <v>3155561</v>
      </c>
      <c r="G1440" s="5">
        <v>43180</v>
      </c>
    </row>
    <row r="1441" spans="1:7" x14ac:dyDescent="0.4">
      <c r="A1441">
        <v>41</v>
      </c>
      <c r="B1441" t="s">
        <v>591</v>
      </c>
      <c r="C1441" s="9">
        <v>50.22</v>
      </c>
      <c r="D1441" s="9">
        <v>4.22</v>
      </c>
      <c r="E1441" s="19">
        <v>9.17</v>
      </c>
      <c r="F1441" s="4">
        <v>586857</v>
      </c>
      <c r="G1441" s="5">
        <v>43180</v>
      </c>
    </row>
    <row r="1442" spans="1:7" x14ac:dyDescent="0.4">
      <c r="A1442">
        <v>42</v>
      </c>
      <c r="B1442" t="s">
        <v>534</v>
      </c>
      <c r="C1442" s="9">
        <v>47.42</v>
      </c>
      <c r="D1442" s="9">
        <v>3.9</v>
      </c>
      <c r="E1442" s="19">
        <v>8.9600000000000009</v>
      </c>
      <c r="F1442" s="4">
        <v>318932</v>
      </c>
      <c r="G1442" s="5">
        <v>43180</v>
      </c>
    </row>
    <row r="1443" spans="1:7" x14ac:dyDescent="0.4">
      <c r="A1443">
        <v>43</v>
      </c>
      <c r="B1443" t="s">
        <v>535</v>
      </c>
      <c r="C1443" s="9">
        <v>31.01</v>
      </c>
      <c r="D1443" s="9">
        <v>2.54</v>
      </c>
      <c r="E1443" s="19">
        <v>8.92</v>
      </c>
      <c r="F1443" s="4">
        <v>3291830</v>
      </c>
      <c r="G1443" s="5">
        <v>43180</v>
      </c>
    </row>
    <row r="1444" spans="1:7" x14ac:dyDescent="0.4">
      <c r="A1444">
        <v>44</v>
      </c>
      <c r="B1444" t="s">
        <v>592</v>
      </c>
      <c r="C1444" s="9">
        <v>4.41</v>
      </c>
      <c r="D1444" s="9">
        <v>0.36</v>
      </c>
      <c r="E1444" s="19">
        <v>8.89</v>
      </c>
      <c r="F1444" s="4">
        <v>559736</v>
      </c>
      <c r="G1444" s="5">
        <v>43180</v>
      </c>
    </row>
    <row r="1445" spans="1:7" x14ac:dyDescent="0.4">
      <c r="A1445">
        <v>45</v>
      </c>
      <c r="B1445" t="s">
        <v>593</v>
      </c>
      <c r="C1445" s="9">
        <v>3.56</v>
      </c>
      <c r="D1445" s="9">
        <v>0.28999999999999998</v>
      </c>
      <c r="E1445" s="19">
        <v>8.8699999999999992</v>
      </c>
      <c r="F1445" s="4">
        <v>8868486</v>
      </c>
      <c r="G1445" s="5">
        <v>43180</v>
      </c>
    </row>
    <row r="1446" spans="1:7" x14ac:dyDescent="0.4">
      <c r="A1446">
        <v>46</v>
      </c>
      <c r="B1446" t="s">
        <v>594</v>
      </c>
      <c r="C1446" s="9">
        <v>12.17</v>
      </c>
      <c r="D1446" s="9">
        <v>0.99</v>
      </c>
      <c r="E1446" s="19">
        <v>8.86</v>
      </c>
      <c r="F1446" s="4">
        <v>15560972</v>
      </c>
      <c r="G1446" s="5">
        <v>43180</v>
      </c>
    </row>
    <row r="1447" spans="1:7" x14ac:dyDescent="0.4">
      <c r="A1447">
        <v>47</v>
      </c>
      <c r="B1447" t="s">
        <v>212</v>
      </c>
      <c r="C1447" s="9">
        <v>3.72</v>
      </c>
      <c r="D1447" s="9">
        <v>0.3</v>
      </c>
      <c r="E1447" s="19">
        <v>8.77</v>
      </c>
      <c r="F1447" s="4">
        <v>453253</v>
      </c>
      <c r="G1447" s="5">
        <v>43180</v>
      </c>
    </row>
    <row r="1448" spans="1:7" x14ac:dyDescent="0.4">
      <c r="A1448">
        <v>48</v>
      </c>
      <c r="B1448" t="s">
        <v>595</v>
      </c>
      <c r="C1448" s="9">
        <v>18.91</v>
      </c>
      <c r="D1448" s="9">
        <v>1.5</v>
      </c>
      <c r="E1448" s="19">
        <v>8.6199999999999992</v>
      </c>
      <c r="F1448" s="4">
        <v>4224265</v>
      </c>
      <c r="G1448" s="5">
        <v>43180</v>
      </c>
    </row>
    <row r="1449" spans="1:7" x14ac:dyDescent="0.4">
      <c r="A1449">
        <v>49</v>
      </c>
      <c r="B1449" t="s">
        <v>596</v>
      </c>
      <c r="C1449" s="9">
        <v>12.65</v>
      </c>
      <c r="D1449" s="9">
        <v>1</v>
      </c>
      <c r="E1449" s="19">
        <v>8.58</v>
      </c>
      <c r="F1449" s="4">
        <v>2744313</v>
      </c>
      <c r="G1449" s="5">
        <v>43180</v>
      </c>
    </row>
    <row r="1450" spans="1:7" x14ac:dyDescent="0.4">
      <c r="A1450">
        <v>50</v>
      </c>
      <c r="B1450" t="s">
        <v>597</v>
      </c>
      <c r="C1450" s="9">
        <v>24.71</v>
      </c>
      <c r="D1450" s="9">
        <v>1.95</v>
      </c>
      <c r="E1450" s="19">
        <v>8.57</v>
      </c>
      <c r="F1450" s="4">
        <v>384470</v>
      </c>
      <c r="G1450" s="5">
        <v>43180</v>
      </c>
    </row>
    <row r="1451" spans="1:7" x14ac:dyDescent="0.4">
      <c r="A1451">
        <v>51</v>
      </c>
      <c r="B1451" t="s">
        <v>598</v>
      </c>
      <c r="C1451" s="9">
        <v>26.85</v>
      </c>
      <c r="D1451" s="9">
        <v>2.1</v>
      </c>
      <c r="E1451" s="19">
        <v>8.48</v>
      </c>
      <c r="F1451" s="4">
        <v>351827</v>
      </c>
      <c r="G1451" s="5">
        <v>43180</v>
      </c>
    </row>
    <row r="1452" spans="1:7" x14ac:dyDescent="0.4">
      <c r="A1452">
        <v>52</v>
      </c>
      <c r="B1452" t="s">
        <v>599</v>
      </c>
      <c r="C1452" s="9">
        <v>16.13</v>
      </c>
      <c r="D1452" s="9">
        <v>1.26</v>
      </c>
      <c r="E1452" s="19">
        <v>8.4700000000000006</v>
      </c>
      <c r="F1452" s="4">
        <v>2358701</v>
      </c>
      <c r="G1452" s="5">
        <v>43180</v>
      </c>
    </row>
    <row r="1453" spans="1:7" x14ac:dyDescent="0.4">
      <c r="A1453">
        <v>53</v>
      </c>
      <c r="B1453" t="s">
        <v>600</v>
      </c>
      <c r="C1453" s="9">
        <v>15.75</v>
      </c>
      <c r="D1453" s="9">
        <v>1.23</v>
      </c>
      <c r="E1453" s="19">
        <v>8.43</v>
      </c>
      <c r="F1453" s="4">
        <v>1000015</v>
      </c>
      <c r="G1453" s="5">
        <v>43180</v>
      </c>
    </row>
    <row r="1454" spans="1:7" x14ac:dyDescent="0.4">
      <c r="A1454">
        <v>54</v>
      </c>
      <c r="B1454" t="s">
        <v>78</v>
      </c>
      <c r="C1454" s="9">
        <v>10.68</v>
      </c>
      <c r="D1454" s="9">
        <v>0.83</v>
      </c>
      <c r="E1454" s="19">
        <v>8.43</v>
      </c>
      <c r="F1454" s="4">
        <v>3111687</v>
      </c>
      <c r="G1454" s="5">
        <v>43180</v>
      </c>
    </row>
    <row r="1455" spans="1:7" x14ac:dyDescent="0.4">
      <c r="A1455">
        <v>55</v>
      </c>
      <c r="B1455" t="s">
        <v>424</v>
      </c>
      <c r="C1455" s="9">
        <v>3.25</v>
      </c>
      <c r="D1455" s="9">
        <v>0.25</v>
      </c>
      <c r="E1455" s="19">
        <v>8.33</v>
      </c>
      <c r="F1455" s="4">
        <v>785594</v>
      </c>
      <c r="G1455" s="5">
        <v>43180</v>
      </c>
    </row>
    <row r="1456" spans="1:7" x14ac:dyDescent="0.4">
      <c r="A1456">
        <v>56</v>
      </c>
      <c r="B1456" t="s">
        <v>601</v>
      </c>
      <c r="C1456" s="9">
        <v>24.12</v>
      </c>
      <c r="D1456" s="9">
        <v>1.84</v>
      </c>
      <c r="E1456" s="19">
        <v>8.26</v>
      </c>
      <c r="F1456" s="4">
        <v>11580974</v>
      </c>
      <c r="G1456" s="5">
        <v>43180</v>
      </c>
    </row>
    <row r="1457" spans="1:7" x14ac:dyDescent="0.4">
      <c r="A1457">
        <v>57</v>
      </c>
      <c r="B1457" t="s">
        <v>122</v>
      </c>
      <c r="C1457" s="9">
        <v>11.8</v>
      </c>
      <c r="D1457" s="9">
        <v>0.9</v>
      </c>
      <c r="E1457" s="19">
        <v>8.26</v>
      </c>
      <c r="F1457" s="4">
        <v>73524</v>
      </c>
      <c r="G1457" s="5">
        <v>43180</v>
      </c>
    </row>
    <row r="1458" spans="1:7" x14ac:dyDescent="0.4">
      <c r="A1458">
        <v>58</v>
      </c>
      <c r="B1458" t="s">
        <v>602</v>
      </c>
      <c r="C1458" s="9">
        <v>9.6</v>
      </c>
      <c r="D1458" s="9">
        <v>0.73</v>
      </c>
      <c r="E1458" s="19">
        <v>8.23</v>
      </c>
      <c r="F1458" s="4">
        <v>5068510</v>
      </c>
      <c r="G1458" s="5">
        <v>43180</v>
      </c>
    </row>
    <row r="1459" spans="1:7" x14ac:dyDescent="0.4">
      <c r="A1459">
        <v>59</v>
      </c>
      <c r="B1459" t="s">
        <v>220</v>
      </c>
      <c r="C1459" s="9">
        <v>5.57</v>
      </c>
      <c r="D1459" s="9">
        <v>0.42</v>
      </c>
      <c r="E1459" s="19">
        <v>8.16</v>
      </c>
      <c r="F1459" s="4">
        <v>248322</v>
      </c>
      <c r="G1459" s="5">
        <v>43180</v>
      </c>
    </row>
    <row r="1460" spans="1:7" x14ac:dyDescent="0.4">
      <c r="A1460">
        <v>60</v>
      </c>
      <c r="B1460" t="s">
        <v>150</v>
      </c>
      <c r="C1460" s="9">
        <v>2.7</v>
      </c>
      <c r="D1460" s="9">
        <v>0.2</v>
      </c>
      <c r="E1460" s="19">
        <v>8</v>
      </c>
      <c r="F1460" s="4">
        <v>124444</v>
      </c>
      <c r="G1460" s="5">
        <v>43180</v>
      </c>
    </row>
    <row r="1461" spans="1:7" x14ac:dyDescent="0.4">
      <c r="A1461">
        <v>61</v>
      </c>
      <c r="B1461" t="s">
        <v>50</v>
      </c>
      <c r="C1461" s="9">
        <v>4.47</v>
      </c>
      <c r="D1461" s="9">
        <v>0.33</v>
      </c>
      <c r="E1461" s="19">
        <v>7.97</v>
      </c>
      <c r="F1461" s="4">
        <v>316871</v>
      </c>
      <c r="G1461" s="5">
        <v>43180</v>
      </c>
    </row>
    <row r="1462" spans="1:7" x14ac:dyDescent="0.4">
      <c r="A1462">
        <v>62</v>
      </c>
      <c r="B1462" t="s">
        <v>603</v>
      </c>
      <c r="C1462" s="9">
        <v>3.8</v>
      </c>
      <c r="D1462" s="9">
        <v>0.28000000000000003</v>
      </c>
      <c r="E1462" s="19">
        <v>7.95</v>
      </c>
      <c r="F1462" s="4">
        <v>30710</v>
      </c>
      <c r="G1462" s="5">
        <v>43180</v>
      </c>
    </row>
    <row r="1463" spans="1:7" x14ac:dyDescent="0.4">
      <c r="A1463">
        <v>63</v>
      </c>
      <c r="B1463" t="s">
        <v>604</v>
      </c>
      <c r="C1463" s="9">
        <v>27.55</v>
      </c>
      <c r="D1463" s="9">
        <v>2.02</v>
      </c>
      <c r="E1463" s="19">
        <v>7.91</v>
      </c>
      <c r="F1463" s="4">
        <v>15863</v>
      </c>
      <c r="G1463" s="5">
        <v>43180</v>
      </c>
    </row>
    <row r="1464" spans="1:7" x14ac:dyDescent="0.4">
      <c r="A1464">
        <v>64</v>
      </c>
      <c r="B1464" t="s">
        <v>605</v>
      </c>
      <c r="C1464" s="9">
        <v>4.5199999999999996</v>
      </c>
      <c r="D1464" s="9">
        <v>0.33</v>
      </c>
      <c r="E1464" s="19">
        <v>7.88</v>
      </c>
      <c r="F1464" s="4">
        <v>2435759</v>
      </c>
      <c r="G1464" s="5">
        <v>43180</v>
      </c>
    </row>
    <row r="1465" spans="1:7" x14ac:dyDescent="0.4">
      <c r="A1465">
        <v>65</v>
      </c>
      <c r="B1465" t="s">
        <v>606</v>
      </c>
      <c r="C1465" s="9">
        <v>37.24</v>
      </c>
      <c r="D1465" s="9">
        <v>2.68</v>
      </c>
      <c r="E1465" s="19">
        <v>7.75</v>
      </c>
      <c r="F1465" s="4">
        <v>190126</v>
      </c>
      <c r="G1465" s="5">
        <v>43180</v>
      </c>
    </row>
    <row r="1466" spans="1:7" x14ac:dyDescent="0.4">
      <c r="A1466">
        <v>66</v>
      </c>
      <c r="B1466" t="s">
        <v>460</v>
      </c>
      <c r="C1466" s="9">
        <v>12.39</v>
      </c>
      <c r="D1466" s="9">
        <v>0.89</v>
      </c>
      <c r="E1466" s="19">
        <v>7.74</v>
      </c>
      <c r="F1466" s="4">
        <v>378411</v>
      </c>
      <c r="G1466" s="5">
        <v>43180</v>
      </c>
    </row>
    <row r="1467" spans="1:7" x14ac:dyDescent="0.4">
      <c r="A1467">
        <v>67</v>
      </c>
      <c r="B1467" t="s">
        <v>607</v>
      </c>
      <c r="C1467" s="9">
        <v>29.12</v>
      </c>
      <c r="D1467" s="9">
        <v>2.09</v>
      </c>
      <c r="E1467" s="19">
        <v>7.73</v>
      </c>
      <c r="F1467" s="4">
        <v>3023597</v>
      </c>
      <c r="G1467" s="5">
        <v>43180</v>
      </c>
    </row>
    <row r="1468" spans="1:7" x14ac:dyDescent="0.4">
      <c r="A1468">
        <v>68</v>
      </c>
      <c r="B1468" t="s">
        <v>608</v>
      </c>
      <c r="C1468" s="9">
        <v>15.4</v>
      </c>
      <c r="D1468" s="9">
        <v>1.0900000000000001</v>
      </c>
      <c r="E1468" s="19">
        <v>7.62</v>
      </c>
      <c r="F1468" s="4">
        <v>8718280</v>
      </c>
      <c r="G1468" s="5">
        <v>43180</v>
      </c>
    </row>
    <row r="1469" spans="1:7" x14ac:dyDescent="0.4">
      <c r="A1469">
        <v>69</v>
      </c>
      <c r="B1469" t="s">
        <v>609</v>
      </c>
      <c r="C1469" s="9">
        <v>32.25</v>
      </c>
      <c r="D1469" s="9">
        <v>2.27</v>
      </c>
      <c r="E1469" s="19">
        <v>7.59</v>
      </c>
      <c r="F1469" s="4">
        <v>1453100</v>
      </c>
      <c r="G1469" s="5">
        <v>43180</v>
      </c>
    </row>
    <row r="1470" spans="1:7" x14ac:dyDescent="0.4">
      <c r="A1470">
        <v>70</v>
      </c>
      <c r="B1470" t="s">
        <v>610</v>
      </c>
      <c r="C1470" s="9">
        <v>2.7</v>
      </c>
      <c r="D1470" s="9">
        <v>0.19</v>
      </c>
      <c r="E1470" s="19">
        <v>7.57</v>
      </c>
      <c r="F1470" s="4">
        <v>49320</v>
      </c>
      <c r="G1470" s="5">
        <v>43180</v>
      </c>
    </row>
    <row r="1471" spans="1:7" x14ac:dyDescent="0.4">
      <c r="A1471">
        <v>71</v>
      </c>
      <c r="B1471" t="s">
        <v>611</v>
      </c>
      <c r="C1471" s="9">
        <v>71</v>
      </c>
      <c r="D1471" s="9">
        <v>4.95</v>
      </c>
      <c r="E1471" s="19">
        <v>7.49</v>
      </c>
      <c r="F1471" s="4">
        <v>29954</v>
      </c>
      <c r="G1471" s="5">
        <v>43180</v>
      </c>
    </row>
    <row r="1472" spans="1:7" x14ac:dyDescent="0.4">
      <c r="A1472">
        <v>72</v>
      </c>
      <c r="B1472" t="s">
        <v>612</v>
      </c>
      <c r="C1472" s="9">
        <v>2.74</v>
      </c>
      <c r="D1472" s="9">
        <v>0.19</v>
      </c>
      <c r="E1472" s="19">
        <v>7.45</v>
      </c>
      <c r="F1472" s="4">
        <v>7750905</v>
      </c>
      <c r="G1472" s="5">
        <v>43180</v>
      </c>
    </row>
    <row r="1473" spans="1:7" x14ac:dyDescent="0.4">
      <c r="A1473">
        <v>73</v>
      </c>
      <c r="B1473" t="s">
        <v>613</v>
      </c>
      <c r="C1473" s="9">
        <v>10.41</v>
      </c>
      <c r="D1473" s="9">
        <v>0.72</v>
      </c>
      <c r="E1473" s="19">
        <v>7.43</v>
      </c>
      <c r="F1473" s="4">
        <v>22989323</v>
      </c>
      <c r="G1473" s="5">
        <v>43180</v>
      </c>
    </row>
    <row r="1474" spans="1:7" x14ac:dyDescent="0.4">
      <c r="A1474">
        <v>74</v>
      </c>
      <c r="B1474" t="s">
        <v>614</v>
      </c>
      <c r="C1474" s="9">
        <v>7.55</v>
      </c>
      <c r="D1474" s="9">
        <v>0.52</v>
      </c>
      <c r="E1474" s="19">
        <v>7.4</v>
      </c>
      <c r="F1474" s="4">
        <v>9252807</v>
      </c>
      <c r="G1474" s="5">
        <v>43180</v>
      </c>
    </row>
    <row r="1475" spans="1:7" x14ac:dyDescent="0.4">
      <c r="A1475">
        <v>75</v>
      </c>
      <c r="B1475" t="s">
        <v>615</v>
      </c>
      <c r="C1475" s="9">
        <v>8.58</v>
      </c>
      <c r="D1475" s="9">
        <v>0.59</v>
      </c>
      <c r="E1475" s="19">
        <v>7.38</v>
      </c>
      <c r="F1475" s="4">
        <v>10915083</v>
      </c>
      <c r="G1475" s="5">
        <v>43180</v>
      </c>
    </row>
    <row r="1476" spans="1:7" x14ac:dyDescent="0.4">
      <c r="A1476">
        <v>76</v>
      </c>
      <c r="B1476" t="s">
        <v>616</v>
      </c>
      <c r="C1476" s="9">
        <v>8.06</v>
      </c>
      <c r="D1476" s="9">
        <v>0.55000000000000004</v>
      </c>
      <c r="E1476" s="19">
        <v>7.35</v>
      </c>
      <c r="F1476" s="4">
        <v>24157</v>
      </c>
      <c r="G1476" s="5">
        <v>43180</v>
      </c>
    </row>
    <row r="1477" spans="1:7" x14ac:dyDescent="0.4">
      <c r="A1477">
        <v>77</v>
      </c>
      <c r="B1477" t="s">
        <v>185</v>
      </c>
      <c r="C1477" s="9">
        <v>3.07</v>
      </c>
      <c r="D1477" s="9">
        <v>0.21</v>
      </c>
      <c r="E1477" s="19">
        <v>7.34</v>
      </c>
      <c r="F1477" s="4">
        <v>187741</v>
      </c>
      <c r="G1477" s="5">
        <v>43180</v>
      </c>
    </row>
    <row r="1478" spans="1:7" x14ac:dyDescent="0.4">
      <c r="A1478">
        <v>78</v>
      </c>
      <c r="B1478" t="s">
        <v>269</v>
      </c>
      <c r="C1478" s="9">
        <v>8.64</v>
      </c>
      <c r="D1478" s="9">
        <v>0.59</v>
      </c>
      <c r="E1478" s="19">
        <v>7.33</v>
      </c>
      <c r="F1478" s="4">
        <v>5091524</v>
      </c>
      <c r="G1478" s="5">
        <v>43180</v>
      </c>
    </row>
    <row r="1479" spans="1:7" x14ac:dyDescent="0.4">
      <c r="A1479">
        <v>79</v>
      </c>
      <c r="B1479" t="s">
        <v>617</v>
      </c>
      <c r="C1479" s="9">
        <v>4.41</v>
      </c>
      <c r="D1479" s="9">
        <v>0.3</v>
      </c>
      <c r="E1479" s="19">
        <v>7.3</v>
      </c>
      <c r="F1479" s="4">
        <v>92640</v>
      </c>
      <c r="G1479" s="5">
        <v>43180</v>
      </c>
    </row>
    <row r="1480" spans="1:7" x14ac:dyDescent="0.4">
      <c r="A1480">
        <v>80</v>
      </c>
      <c r="B1480" t="s">
        <v>618</v>
      </c>
      <c r="C1480" s="9">
        <v>62.63</v>
      </c>
      <c r="D1480" s="9">
        <v>4.25</v>
      </c>
      <c r="E1480" s="19">
        <v>7.28</v>
      </c>
      <c r="F1480" s="4">
        <v>124006</v>
      </c>
      <c r="G1480" s="5">
        <v>43180</v>
      </c>
    </row>
    <row r="1481" spans="1:7" x14ac:dyDescent="0.4">
      <c r="A1481">
        <v>81</v>
      </c>
      <c r="B1481" t="s">
        <v>619</v>
      </c>
      <c r="C1481" s="9">
        <v>14</v>
      </c>
      <c r="D1481" s="9">
        <v>0.95</v>
      </c>
      <c r="E1481" s="19">
        <v>7.28</v>
      </c>
      <c r="F1481" s="4">
        <v>22215</v>
      </c>
      <c r="G1481" s="5">
        <v>43180</v>
      </c>
    </row>
    <row r="1482" spans="1:7" x14ac:dyDescent="0.4">
      <c r="A1482">
        <v>82</v>
      </c>
      <c r="B1482" t="s">
        <v>620</v>
      </c>
      <c r="C1482" s="9">
        <v>2.66</v>
      </c>
      <c r="D1482" s="9">
        <v>0.18</v>
      </c>
      <c r="E1482" s="19">
        <v>7.26</v>
      </c>
      <c r="F1482" s="4">
        <v>5014243</v>
      </c>
      <c r="G1482" s="5">
        <v>43180</v>
      </c>
    </row>
    <row r="1483" spans="1:7" x14ac:dyDescent="0.4">
      <c r="A1483">
        <v>83</v>
      </c>
      <c r="B1483" t="s">
        <v>621</v>
      </c>
      <c r="C1483" s="9">
        <v>26.23</v>
      </c>
      <c r="D1483" s="9">
        <v>1.76</v>
      </c>
      <c r="E1483" s="19">
        <v>7.19</v>
      </c>
      <c r="F1483" s="4">
        <v>97593</v>
      </c>
      <c r="G1483" s="5">
        <v>43180</v>
      </c>
    </row>
    <row r="1484" spans="1:7" x14ac:dyDescent="0.4">
      <c r="A1484">
        <v>84</v>
      </c>
      <c r="B1484" t="s">
        <v>83</v>
      </c>
      <c r="C1484" s="9">
        <v>16.72</v>
      </c>
      <c r="D1484" s="9">
        <v>1.1200000000000001</v>
      </c>
      <c r="E1484" s="19">
        <v>7.18</v>
      </c>
      <c r="F1484" s="4">
        <v>296867</v>
      </c>
      <c r="G1484" s="5">
        <v>43180</v>
      </c>
    </row>
    <row r="1485" spans="1:7" x14ac:dyDescent="0.4">
      <c r="A1485">
        <v>85</v>
      </c>
      <c r="B1485" t="s">
        <v>281</v>
      </c>
      <c r="C1485" s="9">
        <v>2.25</v>
      </c>
      <c r="D1485" s="9">
        <v>0.15</v>
      </c>
      <c r="E1485" s="19">
        <v>7.14</v>
      </c>
      <c r="F1485" s="4">
        <v>382510</v>
      </c>
      <c r="G1485" s="5">
        <v>43180</v>
      </c>
    </row>
    <row r="1486" spans="1:7" x14ac:dyDescent="0.4">
      <c r="A1486">
        <v>86</v>
      </c>
      <c r="B1486" t="s">
        <v>622</v>
      </c>
      <c r="C1486" s="9">
        <v>31.49</v>
      </c>
      <c r="D1486" s="9">
        <v>2.09</v>
      </c>
      <c r="E1486" s="19">
        <v>7.11</v>
      </c>
      <c r="F1486" s="4">
        <v>332374</v>
      </c>
      <c r="G1486" s="5">
        <v>43180</v>
      </c>
    </row>
    <row r="1487" spans="1:7" x14ac:dyDescent="0.4">
      <c r="A1487">
        <v>87</v>
      </c>
      <c r="B1487" t="s">
        <v>623</v>
      </c>
      <c r="C1487" s="9">
        <v>57.71</v>
      </c>
      <c r="D1487" s="9">
        <v>3.83</v>
      </c>
      <c r="E1487" s="19">
        <v>7.11</v>
      </c>
      <c r="F1487" s="4">
        <v>5094302</v>
      </c>
      <c r="G1487" s="5">
        <v>43180</v>
      </c>
    </row>
    <row r="1488" spans="1:7" x14ac:dyDescent="0.4">
      <c r="A1488">
        <v>88</v>
      </c>
      <c r="B1488" t="s">
        <v>624</v>
      </c>
      <c r="C1488" s="9">
        <v>12.85</v>
      </c>
      <c r="D1488" s="9">
        <v>0.85</v>
      </c>
      <c r="E1488" s="19">
        <v>7.08</v>
      </c>
      <c r="F1488" s="4">
        <v>72014</v>
      </c>
      <c r="G1488" s="5">
        <v>43180</v>
      </c>
    </row>
    <row r="1489" spans="1:7" x14ac:dyDescent="0.4">
      <c r="A1489">
        <v>89</v>
      </c>
      <c r="B1489" t="s">
        <v>625</v>
      </c>
      <c r="C1489" s="9">
        <v>31.9</v>
      </c>
      <c r="D1489" s="9">
        <v>2.1</v>
      </c>
      <c r="E1489" s="19">
        <v>7.05</v>
      </c>
      <c r="F1489" s="4">
        <v>73849</v>
      </c>
      <c r="G1489" s="5">
        <v>43180</v>
      </c>
    </row>
    <row r="1490" spans="1:7" x14ac:dyDescent="0.4">
      <c r="A1490">
        <v>90</v>
      </c>
      <c r="B1490" t="s">
        <v>626</v>
      </c>
      <c r="C1490" s="9">
        <v>6.1</v>
      </c>
      <c r="D1490" s="9">
        <v>0.4</v>
      </c>
      <c r="E1490" s="19">
        <v>7.02</v>
      </c>
      <c r="F1490" s="4">
        <v>831757</v>
      </c>
      <c r="G1490" s="5">
        <v>43180</v>
      </c>
    </row>
    <row r="1491" spans="1:7" x14ac:dyDescent="0.4">
      <c r="A1491">
        <v>91</v>
      </c>
      <c r="B1491" t="s">
        <v>627</v>
      </c>
      <c r="C1491" s="9">
        <v>3.06</v>
      </c>
      <c r="D1491" s="9">
        <v>0.2</v>
      </c>
      <c r="E1491" s="19">
        <v>6.99</v>
      </c>
      <c r="F1491" s="4">
        <v>5098229</v>
      </c>
      <c r="G1491" s="5">
        <v>43180</v>
      </c>
    </row>
    <row r="1492" spans="1:7" x14ac:dyDescent="0.4">
      <c r="A1492">
        <v>92</v>
      </c>
      <c r="B1492" t="s">
        <v>628</v>
      </c>
      <c r="C1492" s="9">
        <v>2.76</v>
      </c>
      <c r="D1492" s="9">
        <v>0.18</v>
      </c>
      <c r="E1492" s="19">
        <v>6.98</v>
      </c>
      <c r="F1492" s="4">
        <v>952205</v>
      </c>
      <c r="G1492" s="5">
        <v>43180</v>
      </c>
    </row>
    <row r="1493" spans="1:7" x14ac:dyDescent="0.4">
      <c r="A1493">
        <v>93</v>
      </c>
      <c r="B1493" t="s">
        <v>629</v>
      </c>
      <c r="C1493" s="9">
        <v>17.989999999999998</v>
      </c>
      <c r="D1493" s="9">
        <v>1.17</v>
      </c>
      <c r="E1493" s="19">
        <v>6.96</v>
      </c>
      <c r="F1493" s="4">
        <v>696700</v>
      </c>
      <c r="G1493" s="5">
        <v>43180</v>
      </c>
    </row>
    <row r="1494" spans="1:7" x14ac:dyDescent="0.4">
      <c r="A1494">
        <v>94</v>
      </c>
      <c r="B1494" t="s">
        <v>563</v>
      </c>
      <c r="C1494" s="9">
        <v>28.01</v>
      </c>
      <c r="D1494" s="9">
        <v>1.82</v>
      </c>
      <c r="E1494" s="19">
        <v>6.95</v>
      </c>
      <c r="F1494" s="4">
        <v>230517</v>
      </c>
      <c r="G1494" s="5">
        <v>43180</v>
      </c>
    </row>
    <row r="1495" spans="1:7" x14ac:dyDescent="0.4">
      <c r="A1495">
        <v>95</v>
      </c>
      <c r="B1495" t="s">
        <v>630</v>
      </c>
      <c r="C1495" s="9">
        <v>16.32</v>
      </c>
      <c r="D1495" s="9">
        <v>1.06</v>
      </c>
      <c r="E1495" s="19">
        <v>6.95</v>
      </c>
      <c r="F1495" s="4">
        <v>16166047</v>
      </c>
      <c r="G1495" s="5">
        <v>43180</v>
      </c>
    </row>
    <row r="1496" spans="1:7" x14ac:dyDescent="0.4">
      <c r="A1496">
        <v>96</v>
      </c>
      <c r="B1496" t="s">
        <v>631</v>
      </c>
      <c r="C1496" s="9">
        <v>4.93</v>
      </c>
      <c r="D1496" s="9">
        <v>0.32</v>
      </c>
      <c r="E1496" s="19">
        <v>6.94</v>
      </c>
      <c r="F1496" s="4">
        <v>14718932</v>
      </c>
      <c r="G1496" s="5">
        <v>43180</v>
      </c>
    </row>
    <row r="1497" spans="1:7" x14ac:dyDescent="0.4">
      <c r="A1497">
        <v>97</v>
      </c>
      <c r="B1497" t="s">
        <v>632</v>
      </c>
      <c r="C1497" s="9">
        <v>4.1900000000000004</v>
      </c>
      <c r="D1497" s="9">
        <v>0.27</v>
      </c>
      <c r="E1497" s="19">
        <v>6.89</v>
      </c>
      <c r="F1497" s="4">
        <v>7236319</v>
      </c>
      <c r="G1497" s="5">
        <v>43180</v>
      </c>
    </row>
    <row r="1498" spans="1:7" x14ac:dyDescent="0.4">
      <c r="A1498">
        <v>98</v>
      </c>
      <c r="B1498" t="s">
        <v>633</v>
      </c>
      <c r="C1498" s="9">
        <v>2.4900000000000002</v>
      </c>
      <c r="D1498" s="9">
        <v>0.16</v>
      </c>
      <c r="E1498" s="19">
        <v>6.87</v>
      </c>
      <c r="F1498" s="4">
        <v>3498510</v>
      </c>
      <c r="G1498" s="5">
        <v>43180</v>
      </c>
    </row>
    <row r="1499" spans="1:7" x14ac:dyDescent="0.4">
      <c r="A1499">
        <v>99</v>
      </c>
      <c r="B1499" t="s">
        <v>243</v>
      </c>
      <c r="C1499" s="9">
        <v>19.760000000000002</v>
      </c>
      <c r="D1499" s="9">
        <v>1.25</v>
      </c>
      <c r="E1499" s="19">
        <v>6.75</v>
      </c>
      <c r="F1499" s="4">
        <v>43793</v>
      </c>
      <c r="G1499" s="5">
        <v>43180</v>
      </c>
    </row>
    <row r="1500" spans="1:7" x14ac:dyDescent="0.4">
      <c r="A1500">
        <v>100</v>
      </c>
      <c r="B1500" t="s">
        <v>634</v>
      </c>
      <c r="C1500" s="9">
        <v>26.73</v>
      </c>
      <c r="D1500" s="9">
        <v>1.69</v>
      </c>
      <c r="E1500" s="19">
        <v>6.75</v>
      </c>
      <c r="F1500" s="4">
        <v>955804</v>
      </c>
      <c r="G1500" s="5">
        <v>43180</v>
      </c>
    </row>
    <row r="1501" spans="1:7" x14ac:dyDescent="0.4">
      <c r="A1501">
        <v>1</v>
      </c>
      <c r="B1501" t="s">
        <v>500</v>
      </c>
      <c r="C1501" s="9">
        <v>5.32</v>
      </c>
      <c r="D1501" s="9">
        <v>1.35</v>
      </c>
      <c r="E1501" s="19">
        <v>34.01</v>
      </c>
      <c r="F1501" s="4">
        <v>6132079</v>
      </c>
      <c r="G1501" s="5">
        <v>43180</v>
      </c>
    </row>
    <row r="1502" spans="1:7" x14ac:dyDescent="0.4">
      <c r="A1502">
        <v>2</v>
      </c>
      <c r="B1502" t="s">
        <v>635</v>
      </c>
      <c r="C1502" s="9">
        <v>15.75</v>
      </c>
      <c r="D1502" s="9">
        <v>4.1100000000000003</v>
      </c>
      <c r="E1502" s="19">
        <v>35.31</v>
      </c>
      <c r="F1502" s="4">
        <v>15402980</v>
      </c>
      <c r="G1502" s="5">
        <v>43181</v>
      </c>
    </row>
    <row r="1503" spans="1:7" x14ac:dyDescent="0.4">
      <c r="A1503">
        <v>3</v>
      </c>
      <c r="B1503" t="s">
        <v>636</v>
      </c>
      <c r="C1503" s="9">
        <v>19.91</v>
      </c>
      <c r="D1503" s="9">
        <v>4.3899999999999997</v>
      </c>
      <c r="E1503" s="19">
        <v>28.29</v>
      </c>
      <c r="F1503" s="4">
        <v>14734891</v>
      </c>
      <c r="G1503" s="5">
        <v>43181</v>
      </c>
    </row>
    <row r="1504" spans="1:7" x14ac:dyDescent="0.4">
      <c r="A1504">
        <v>4</v>
      </c>
      <c r="B1504" t="s">
        <v>371</v>
      </c>
      <c r="C1504" s="9">
        <v>7.6</v>
      </c>
      <c r="D1504" s="9">
        <v>1.58</v>
      </c>
      <c r="E1504" s="19">
        <v>26.35</v>
      </c>
      <c r="F1504" s="4">
        <v>129563</v>
      </c>
      <c r="G1504" s="5">
        <v>43181</v>
      </c>
    </row>
    <row r="1505" spans="1:7" x14ac:dyDescent="0.4">
      <c r="A1505">
        <v>5</v>
      </c>
      <c r="B1505" t="s">
        <v>637</v>
      </c>
      <c r="C1505" s="9">
        <v>21.25</v>
      </c>
      <c r="D1505" s="9">
        <v>4.4000000000000004</v>
      </c>
      <c r="E1505" s="19">
        <v>26.11</v>
      </c>
      <c r="F1505" s="4">
        <v>1334237</v>
      </c>
      <c r="G1505" s="5">
        <v>43181</v>
      </c>
    </row>
    <row r="1506" spans="1:7" x14ac:dyDescent="0.4">
      <c r="A1506">
        <v>6</v>
      </c>
      <c r="B1506" t="s">
        <v>429</v>
      </c>
      <c r="C1506" s="9">
        <v>9.52</v>
      </c>
      <c r="D1506" s="9">
        <v>1.9</v>
      </c>
      <c r="E1506" s="19">
        <v>24.93</v>
      </c>
      <c r="F1506" s="4">
        <v>84991890</v>
      </c>
      <c r="G1506" s="5">
        <v>43181</v>
      </c>
    </row>
    <row r="1507" spans="1:7" x14ac:dyDescent="0.4">
      <c r="A1507">
        <v>7</v>
      </c>
      <c r="B1507" t="s">
        <v>430</v>
      </c>
      <c r="C1507" s="9">
        <v>18.68</v>
      </c>
      <c r="D1507" s="9">
        <v>3.09</v>
      </c>
      <c r="E1507" s="19">
        <v>19.82</v>
      </c>
      <c r="F1507" s="4">
        <v>75841269</v>
      </c>
      <c r="G1507" s="5">
        <v>43181</v>
      </c>
    </row>
    <row r="1508" spans="1:7" x14ac:dyDescent="0.4">
      <c r="A1508">
        <v>8</v>
      </c>
      <c r="B1508" t="s">
        <v>22</v>
      </c>
      <c r="C1508" s="9">
        <v>21.34</v>
      </c>
      <c r="D1508" s="9">
        <v>3.28</v>
      </c>
      <c r="E1508" s="19">
        <v>18.16</v>
      </c>
      <c r="F1508" s="4">
        <v>392533</v>
      </c>
      <c r="G1508" s="5">
        <v>43181</v>
      </c>
    </row>
    <row r="1509" spans="1:7" x14ac:dyDescent="0.4">
      <c r="A1509">
        <v>9</v>
      </c>
      <c r="B1509" t="s">
        <v>638</v>
      </c>
      <c r="C1509" s="9">
        <v>2.36</v>
      </c>
      <c r="D1509" s="9">
        <v>0.35</v>
      </c>
      <c r="E1509" s="19">
        <v>17.36</v>
      </c>
      <c r="F1509" s="4">
        <v>7026</v>
      </c>
      <c r="G1509" s="5">
        <v>43181</v>
      </c>
    </row>
    <row r="1510" spans="1:7" x14ac:dyDescent="0.4">
      <c r="A1510">
        <v>10</v>
      </c>
      <c r="B1510" t="s">
        <v>431</v>
      </c>
      <c r="C1510" s="9">
        <v>12.2</v>
      </c>
      <c r="D1510" s="9">
        <v>1.75</v>
      </c>
      <c r="E1510" s="19">
        <v>16.75</v>
      </c>
      <c r="F1510" s="4">
        <v>13410</v>
      </c>
      <c r="G1510" s="5">
        <v>43181</v>
      </c>
    </row>
    <row r="1511" spans="1:7" x14ac:dyDescent="0.4">
      <c r="A1511">
        <v>11</v>
      </c>
      <c r="B1511" t="s">
        <v>515</v>
      </c>
      <c r="C1511" s="9">
        <v>17.940000000000001</v>
      </c>
      <c r="D1511" s="9">
        <v>2.41</v>
      </c>
      <c r="E1511" s="19">
        <v>15.52</v>
      </c>
      <c r="F1511" s="4">
        <v>2238</v>
      </c>
      <c r="G1511" s="5">
        <v>43181</v>
      </c>
    </row>
    <row r="1512" spans="1:7" x14ac:dyDescent="0.4">
      <c r="A1512">
        <v>12</v>
      </c>
      <c r="B1512" t="s">
        <v>639</v>
      </c>
      <c r="C1512" s="9">
        <v>3.11</v>
      </c>
      <c r="D1512" s="9">
        <v>0.4</v>
      </c>
      <c r="E1512" s="19">
        <v>14.76</v>
      </c>
      <c r="F1512" s="4">
        <v>828800</v>
      </c>
      <c r="G1512" s="5">
        <v>43181</v>
      </c>
    </row>
    <row r="1513" spans="1:7" x14ac:dyDescent="0.4">
      <c r="A1513">
        <v>13</v>
      </c>
      <c r="B1513" t="s">
        <v>640</v>
      </c>
      <c r="C1513" s="9">
        <v>3.97</v>
      </c>
      <c r="D1513" s="9">
        <v>0.51</v>
      </c>
      <c r="E1513" s="19">
        <v>14.74</v>
      </c>
      <c r="F1513" s="4">
        <v>7278</v>
      </c>
      <c r="G1513" s="5">
        <v>43181</v>
      </c>
    </row>
    <row r="1514" spans="1:7" x14ac:dyDescent="0.4">
      <c r="A1514">
        <v>14</v>
      </c>
      <c r="B1514" t="s">
        <v>641</v>
      </c>
      <c r="C1514" s="9">
        <v>7.88</v>
      </c>
      <c r="D1514" s="9">
        <v>0.92</v>
      </c>
      <c r="E1514" s="19">
        <v>13.22</v>
      </c>
      <c r="F1514" s="4">
        <v>9467</v>
      </c>
      <c r="G1514" s="5">
        <v>43181</v>
      </c>
    </row>
    <row r="1515" spans="1:7" x14ac:dyDescent="0.4">
      <c r="A1515">
        <v>15</v>
      </c>
      <c r="B1515" t="s">
        <v>440</v>
      </c>
      <c r="C1515" s="9">
        <v>47.47</v>
      </c>
      <c r="D1515" s="9">
        <v>5.52</v>
      </c>
      <c r="E1515" s="19">
        <v>13.16</v>
      </c>
      <c r="F1515" s="4">
        <v>64135206</v>
      </c>
      <c r="G1515" s="5">
        <v>43181</v>
      </c>
    </row>
    <row r="1516" spans="1:7" x14ac:dyDescent="0.4">
      <c r="A1516">
        <v>16</v>
      </c>
      <c r="B1516" t="s">
        <v>441</v>
      </c>
      <c r="C1516" s="9">
        <v>19.98</v>
      </c>
      <c r="D1516" s="9">
        <v>2.31</v>
      </c>
      <c r="E1516" s="19">
        <v>13.04</v>
      </c>
      <c r="F1516" s="4">
        <v>478818</v>
      </c>
      <c r="G1516" s="5">
        <v>43181</v>
      </c>
    </row>
    <row r="1517" spans="1:7" x14ac:dyDescent="0.4">
      <c r="A1517">
        <v>17</v>
      </c>
      <c r="B1517" t="s">
        <v>442</v>
      </c>
      <c r="C1517" s="9">
        <v>39.19</v>
      </c>
      <c r="D1517" s="9">
        <v>4.5199999999999996</v>
      </c>
      <c r="E1517" s="19">
        <v>13.04</v>
      </c>
      <c r="F1517" s="4">
        <v>4531166</v>
      </c>
      <c r="G1517" s="5">
        <v>43181</v>
      </c>
    </row>
    <row r="1518" spans="1:7" x14ac:dyDescent="0.4">
      <c r="A1518">
        <v>18</v>
      </c>
      <c r="B1518" t="s">
        <v>38</v>
      </c>
      <c r="C1518" s="9">
        <v>64.5</v>
      </c>
      <c r="D1518" s="9">
        <v>7.03</v>
      </c>
      <c r="E1518" s="19">
        <v>12.23</v>
      </c>
      <c r="F1518" s="4">
        <v>906812</v>
      </c>
      <c r="G1518" s="5">
        <v>43181</v>
      </c>
    </row>
    <row r="1519" spans="1:7" x14ac:dyDescent="0.4">
      <c r="A1519">
        <v>19</v>
      </c>
      <c r="B1519" t="s">
        <v>642</v>
      </c>
      <c r="C1519" s="9">
        <v>5.03</v>
      </c>
      <c r="D1519" s="9">
        <v>0.53</v>
      </c>
      <c r="E1519" s="19">
        <v>11.78</v>
      </c>
      <c r="F1519" s="4">
        <v>3674154</v>
      </c>
      <c r="G1519" s="5">
        <v>43181</v>
      </c>
    </row>
    <row r="1520" spans="1:7" x14ac:dyDescent="0.4">
      <c r="A1520">
        <v>20</v>
      </c>
      <c r="B1520" t="s">
        <v>69</v>
      </c>
      <c r="C1520" s="9">
        <v>9.27</v>
      </c>
      <c r="D1520" s="9">
        <v>0.89</v>
      </c>
      <c r="E1520" s="19">
        <v>10.62</v>
      </c>
      <c r="F1520" s="4">
        <v>77683</v>
      </c>
      <c r="G1520" s="5">
        <v>43181</v>
      </c>
    </row>
    <row r="1521" spans="1:7" x14ac:dyDescent="0.4">
      <c r="A1521">
        <v>21</v>
      </c>
      <c r="B1521" t="s">
        <v>386</v>
      </c>
      <c r="C1521" s="9">
        <v>2.85</v>
      </c>
      <c r="D1521" s="9">
        <v>0.27</v>
      </c>
      <c r="E1521" s="19">
        <v>10.47</v>
      </c>
      <c r="F1521" s="4">
        <v>1256953</v>
      </c>
      <c r="G1521" s="5">
        <v>43181</v>
      </c>
    </row>
    <row r="1522" spans="1:7" x14ac:dyDescent="0.4">
      <c r="A1522">
        <v>22</v>
      </c>
      <c r="B1522" t="s">
        <v>643</v>
      </c>
      <c r="C1522" s="9">
        <v>3.97</v>
      </c>
      <c r="D1522" s="9">
        <v>0.36</v>
      </c>
      <c r="E1522" s="19">
        <v>9.9700000000000006</v>
      </c>
      <c r="F1522" s="4">
        <v>309317</v>
      </c>
      <c r="G1522" s="5">
        <v>43181</v>
      </c>
    </row>
    <row r="1523" spans="1:7" x14ac:dyDescent="0.4">
      <c r="A1523">
        <v>23</v>
      </c>
      <c r="B1523" t="s">
        <v>361</v>
      </c>
      <c r="C1523" s="9">
        <v>3.53</v>
      </c>
      <c r="D1523" s="9">
        <v>0.32</v>
      </c>
      <c r="E1523" s="19">
        <v>9.9700000000000006</v>
      </c>
      <c r="F1523" s="4">
        <v>1849243</v>
      </c>
      <c r="G1523" s="5">
        <v>43181</v>
      </c>
    </row>
    <row r="1524" spans="1:7" x14ac:dyDescent="0.4">
      <c r="A1524">
        <v>24</v>
      </c>
      <c r="B1524" t="s">
        <v>644</v>
      </c>
      <c r="C1524" s="9">
        <v>8.07</v>
      </c>
      <c r="D1524" s="9">
        <v>0.73</v>
      </c>
      <c r="E1524" s="19">
        <v>9.9499999999999993</v>
      </c>
      <c r="F1524" s="4">
        <v>2171012</v>
      </c>
      <c r="G1524" s="5">
        <v>43181</v>
      </c>
    </row>
    <row r="1525" spans="1:7" x14ac:dyDescent="0.4">
      <c r="A1525">
        <v>25</v>
      </c>
      <c r="B1525" t="s">
        <v>154</v>
      </c>
      <c r="C1525" s="9">
        <v>40.200000000000003</v>
      </c>
      <c r="D1525" s="9">
        <v>3.55</v>
      </c>
      <c r="E1525" s="19">
        <v>9.69</v>
      </c>
      <c r="F1525" s="4">
        <v>29786</v>
      </c>
      <c r="G1525" s="5">
        <v>43181</v>
      </c>
    </row>
    <row r="1526" spans="1:7" x14ac:dyDescent="0.4">
      <c r="A1526">
        <v>26</v>
      </c>
      <c r="B1526" t="s">
        <v>467</v>
      </c>
      <c r="C1526" s="9">
        <v>12.38</v>
      </c>
      <c r="D1526" s="9">
        <v>1.03</v>
      </c>
      <c r="E1526" s="19">
        <v>9.07</v>
      </c>
      <c r="F1526" s="4">
        <v>14782</v>
      </c>
      <c r="G1526" s="5">
        <v>43181</v>
      </c>
    </row>
    <row r="1527" spans="1:7" x14ac:dyDescent="0.4">
      <c r="A1527">
        <v>27</v>
      </c>
      <c r="B1527" t="s">
        <v>645</v>
      </c>
      <c r="C1527" s="9">
        <v>11.4</v>
      </c>
      <c r="D1527" s="9">
        <v>0.94</v>
      </c>
      <c r="E1527" s="19">
        <v>8.99</v>
      </c>
      <c r="F1527" s="4">
        <v>4396414</v>
      </c>
      <c r="G1527" s="5">
        <v>43181</v>
      </c>
    </row>
    <row r="1528" spans="1:7" x14ac:dyDescent="0.4">
      <c r="A1528">
        <v>28</v>
      </c>
      <c r="B1528" t="s">
        <v>351</v>
      </c>
      <c r="C1528" s="9">
        <v>3.4</v>
      </c>
      <c r="D1528" s="9">
        <v>0.28000000000000003</v>
      </c>
      <c r="E1528" s="19">
        <v>8.9700000000000006</v>
      </c>
      <c r="F1528" s="4">
        <v>8560039</v>
      </c>
      <c r="G1528" s="5">
        <v>43181</v>
      </c>
    </row>
    <row r="1529" spans="1:7" x14ac:dyDescent="0.4">
      <c r="A1529">
        <v>29</v>
      </c>
      <c r="B1529" t="s">
        <v>646</v>
      </c>
      <c r="C1529" s="9">
        <v>20.21</v>
      </c>
      <c r="D1529" s="9">
        <v>1.64</v>
      </c>
      <c r="E1529" s="19">
        <v>8.83</v>
      </c>
      <c r="F1529" s="4">
        <v>7892544</v>
      </c>
      <c r="G1529" s="5">
        <v>43181</v>
      </c>
    </row>
    <row r="1530" spans="1:7" x14ac:dyDescent="0.4">
      <c r="A1530">
        <v>30</v>
      </c>
      <c r="B1530" t="s">
        <v>647</v>
      </c>
      <c r="C1530" s="9">
        <v>6.45</v>
      </c>
      <c r="D1530" s="9">
        <v>0.5</v>
      </c>
      <c r="E1530" s="19">
        <v>8.4</v>
      </c>
      <c r="F1530" s="4">
        <v>998079</v>
      </c>
      <c r="G1530" s="5">
        <v>43181</v>
      </c>
    </row>
    <row r="1531" spans="1:7" x14ac:dyDescent="0.4">
      <c r="A1531">
        <v>31</v>
      </c>
      <c r="B1531" t="s">
        <v>207</v>
      </c>
      <c r="C1531" s="9">
        <v>11.33</v>
      </c>
      <c r="D1531" s="9">
        <v>0.86</v>
      </c>
      <c r="E1531" s="19">
        <v>8.2100000000000009</v>
      </c>
      <c r="F1531" s="4">
        <v>2497805</v>
      </c>
      <c r="G1531" s="5">
        <v>43181</v>
      </c>
    </row>
    <row r="1532" spans="1:7" x14ac:dyDescent="0.4">
      <c r="A1532">
        <v>32</v>
      </c>
      <c r="B1532" t="s">
        <v>176</v>
      </c>
      <c r="C1532" s="9">
        <v>17.46</v>
      </c>
      <c r="D1532" s="9">
        <v>1.32</v>
      </c>
      <c r="E1532" s="19">
        <v>8.18</v>
      </c>
      <c r="F1532" s="4">
        <v>143932</v>
      </c>
      <c r="G1532" s="5">
        <v>43181</v>
      </c>
    </row>
    <row r="1533" spans="1:7" x14ac:dyDescent="0.4">
      <c r="A1533">
        <v>33</v>
      </c>
      <c r="B1533" t="s">
        <v>648</v>
      </c>
      <c r="C1533" s="9">
        <v>4.75</v>
      </c>
      <c r="D1533" s="9">
        <v>0.35</v>
      </c>
      <c r="E1533" s="19">
        <v>7.95</v>
      </c>
      <c r="F1533" s="4">
        <v>273273</v>
      </c>
      <c r="G1533" s="5">
        <v>43181</v>
      </c>
    </row>
    <row r="1534" spans="1:7" x14ac:dyDescent="0.4">
      <c r="A1534">
        <v>34</v>
      </c>
      <c r="B1534" t="s">
        <v>462</v>
      </c>
      <c r="C1534" s="9">
        <v>5.86</v>
      </c>
      <c r="D1534" s="9">
        <v>0.43</v>
      </c>
      <c r="E1534" s="19">
        <v>7.92</v>
      </c>
      <c r="F1534" s="4">
        <v>1336531</v>
      </c>
      <c r="G1534" s="5">
        <v>43181</v>
      </c>
    </row>
    <row r="1535" spans="1:7" x14ac:dyDescent="0.4">
      <c r="A1535">
        <v>35</v>
      </c>
      <c r="B1535" t="s">
        <v>649</v>
      </c>
      <c r="C1535" s="9">
        <v>2.9</v>
      </c>
      <c r="D1535" s="9">
        <v>0.21</v>
      </c>
      <c r="E1535" s="19">
        <v>7.81</v>
      </c>
      <c r="F1535" s="4">
        <v>561930</v>
      </c>
      <c r="G1535" s="5">
        <v>43181</v>
      </c>
    </row>
    <row r="1536" spans="1:7" x14ac:dyDescent="0.4">
      <c r="A1536">
        <v>36</v>
      </c>
      <c r="B1536" t="s">
        <v>276</v>
      </c>
      <c r="C1536" s="9">
        <v>5.28</v>
      </c>
      <c r="D1536" s="9">
        <v>0.38</v>
      </c>
      <c r="E1536" s="19">
        <v>7.76</v>
      </c>
      <c r="F1536" s="4">
        <v>19006596</v>
      </c>
      <c r="G1536" s="5">
        <v>43181</v>
      </c>
    </row>
    <row r="1537" spans="1:7" x14ac:dyDescent="0.4">
      <c r="A1537">
        <v>37</v>
      </c>
      <c r="B1537" t="s">
        <v>650</v>
      </c>
      <c r="C1537" s="9">
        <v>11.26</v>
      </c>
      <c r="D1537" s="9">
        <v>0.81</v>
      </c>
      <c r="E1537" s="19">
        <v>7.75</v>
      </c>
      <c r="F1537" s="4">
        <v>19856070</v>
      </c>
      <c r="G1537" s="5">
        <v>43181</v>
      </c>
    </row>
    <row r="1538" spans="1:7" x14ac:dyDescent="0.4">
      <c r="A1538">
        <v>38</v>
      </c>
      <c r="B1538" t="s">
        <v>651</v>
      </c>
      <c r="C1538" s="9">
        <v>15.52</v>
      </c>
      <c r="D1538" s="9">
        <v>1.1000000000000001</v>
      </c>
      <c r="E1538" s="19">
        <v>7.63</v>
      </c>
      <c r="F1538" s="4">
        <v>161935</v>
      </c>
      <c r="G1538" s="5">
        <v>43181</v>
      </c>
    </row>
    <row r="1539" spans="1:7" x14ac:dyDescent="0.4">
      <c r="A1539">
        <v>39</v>
      </c>
      <c r="B1539" t="s">
        <v>652</v>
      </c>
      <c r="C1539" s="9">
        <v>14.32</v>
      </c>
      <c r="D1539" s="9">
        <v>1</v>
      </c>
      <c r="E1539" s="19">
        <v>7.51</v>
      </c>
      <c r="F1539" s="4">
        <v>12778</v>
      </c>
      <c r="G1539" s="5">
        <v>43181</v>
      </c>
    </row>
    <row r="1540" spans="1:7" x14ac:dyDescent="0.4">
      <c r="A1540">
        <v>40</v>
      </c>
      <c r="B1540" t="s">
        <v>653</v>
      </c>
      <c r="C1540" s="9">
        <v>29.68</v>
      </c>
      <c r="D1540" s="9">
        <v>2.0699999999999998</v>
      </c>
      <c r="E1540" s="19">
        <v>7.5</v>
      </c>
      <c r="F1540" s="4">
        <v>8492632</v>
      </c>
      <c r="G1540" s="5">
        <v>43181</v>
      </c>
    </row>
    <row r="1541" spans="1:7" x14ac:dyDescent="0.4">
      <c r="A1541">
        <v>41</v>
      </c>
      <c r="B1541" t="s">
        <v>654</v>
      </c>
      <c r="C1541" s="9">
        <v>10.26</v>
      </c>
      <c r="D1541" s="9">
        <v>0.71</v>
      </c>
      <c r="E1541" s="19">
        <v>7.45</v>
      </c>
      <c r="F1541" s="4">
        <v>7836</v>
      </c>
      <c r="G1541" s="5">
        <v>43181</v>
      </c>
    </row>
    <row r="1542" spans="1:7" x14ac:dyDescent="0.4">
      <c r="A1542">
        <v>42</v>
      </c>
      <c r="B1542" t="s">
        <v>396</v>
      </c>
      <c r="C1542" s="9">
        <v>5.21</v>
      </c>
      <c r="D1542" s="9">
        <v>0.36</v>
      </c>
      <c r="E1542" s="19">
        <v>7.42</v>
      </c>
      <c r="F1542" s="4">
        <v>407992</v>
      </c>
      <c r="G1542" s="5">
        <v>43181</v>
      </c>
    </row>
    <row r="1543" spans="1:7" x14ac:dyDescent="0.4">
      <c r="A1543">
        <v>43</v>
      </c>
      <c r="B1543" t="s">
        <v>625</v>
      </c>
      <c r="C1543" s="9">
        <v>34.26</v>
      </c>
      <c r="D1543" s="9">
        <v>2.36</v>
      </c>
      <c r="E1543" s="19">
        <v>7.4</v>
      </c>
      <c r="F1543" s="4">
        <v>110751</v>
      </c>
      <c r="G1543" s="5">
        <v>43181</v>
      </c>
    </row>
    <row r="1544" spans="1:7" x14ac:dyDescent="0.4">
      <c r="A1544">
        <v>44</v>
      </c>
      <c r="B1544" t="s">
        <v>458</v>
      </c>
      <c r="C1544" s="9">
        <v>17.8</v>
      </c>
      <c r="D1544" s="9">
        <v>1.22</v>
      </c>
      <c r="E1544" s="19">
        <v>7.36</v>
      </c>
      <c r="F1544" s="4">
        <v>27007383</v>
      </c>
      <c r="G1544" s="5">
        <v>43181</v>
      </c>
    </row>
    <row r="1545" spans="1:7" x14ac:dyDescent="0.4">
      <c r="A1545">
        <v>45</v>
      </c>
      <c r="B1545" t="s">
        <v>655</v>
      </c>
      <c r="C1545" s="9">
        <v>18.95</v>
      </c>
      <c r="D1545" s="9">
        <v>1.28</v>
      </c>
      <c r="E1545" s="19">
        <v>7.26</v>
      </c>
      <c r="F1545" s="4">
        <v>2634</v>
      </c>
      <c r="G1545" s="5">
        <v>43181</v>
      </c>
    </row>
    <row r="1546" spans="1:7" x14ac:dyDescent="0.4">
      <c r="A1546">
        <v>46</v>
      </c>
      <c r="B1546" t="s">
        <v>465</v>
      </c>
      <c r="C1546" s="9">
        <v>10.23</v>
      </c>
      <c r="D1546" s="9">
        <v>0.69</v>
      </c>
      <c r="E1546" s="19">
        <v>7.18</v>
      </c>
      <c r="F1546" s="4">
        <v>16729</v>
      </c>
      <c r="G1546" s="5">
        <v>43181</v>
      </c>
    </row>
    <row r="1547" spans="1:7" x14ac:dyDescent="0.4">
      <c r="A1547">
        <v>47</v>
      </c>
      <c r="B1547" t="s">
        <v>563</v>
      </c>
      <c r="C1547" s="9">
        <v>30</v>
      </c>
      <c r="D1547" s="9">
        <v>1.99</v>
      </c>
      <c r="E1547" s="19">
        <v>7.1</v>
      </c>
      <c r="F1547" s="4">
        <v>305101</v>
      </c>
      <c r="G1547" s="5">
        <v>43181</v>
      </c>
    </row>
    <row r="1548" spans="1:7" x14ac:dyDescent="0.4">
      <c r="A1548">
        <v>48</v>
      </c>
      <c r="B1548" t="s">
        <v>656</v>
      </c>
      <c r="C1548" s="9">
        <v>13.49</v>
      </c>
      <c r="D1548" s="9">
        <v>0.88</v>
      </c>
      <c r="E1548" s="19">
        <v>6.98</v>
      </c>
      <c r="F1548" s="4">
        <v>22871</v>
      </c>
      <c r="G1548" s="5">
        <v>43181</v>
      </c>
    </row>
    <row r="1549" spans="1:7" x14ac:dyDescent="0.4">
      <c r="A1549">
        <v>49</v>
      </c>
      <c r="B1549" t="s">
        <v>657</v>
      </c>
      <c r="C1549" s="9">
        <v>2.98</v>
      </c>
      <c r="D1549" s="9">
        <v>0.19</v>
      </c>
      <c r="E1549" s="19">
        <v>6.81</v>
      </c>
      <c r="F1549" s="4">
        <v>62404</v>
      </c>
      <c r="G1549" s="5">
        <v>43181</v>
      </c>
    </row>
    <row r="1550" spans="1:7" x14ac:dyDescent="0.4">
      <c r="A1550">
        <v>50</v>
      </c>
      <c r="B1550" t="s">
        <v>436</v>
      </c>
      <c r="C1550" s="9">
        <v>14.65</v>
      </c>
      <c r="D1550" s="9">
        <v>0.93</v>
      </c>
      <c r="E1550" s="19">
        <v>6.79</v>
      </c>
      <c r="F1550" s="4">
        <v>3448</v>
      </c>
      <c r="G1550" s="5">
        <v>43181</v>
      </c>
    </row>
    <row r="1551" spans="1:7" x14ac:dyDescent="0.4">
      <c r="A1551">
        <v>51</v>
      </c>
      <c r="B1551" t="s">
        <v>658</v>
      </c>
      <c r="C1551" s="9">
        <v>7.82</v>
      </c>
      <c r="D1551" s="9">
        <v>0.48</v>
      </c>
      <c r="E1551" s="19">
        <v>6.61</v>
      </c>
      <c r="F1551" s="4">
        <v>582493</v>
      </c>
      <c r="G1551" s="5">
        <v>43181</v>
      </c>
    </row>
    <row r="1552" spans="1:7" x14ac:dyDescent="0.4">
      <c r="A1552">
        <v>52</v>
      </c>
      <c r="B1552" t="s">
        <v>659</v>
      </c>
      <c r="C1552" s="9">
        <v>30.52</v>
      </c>
      <c r="D1552" s="9">
        <v>1.85</v>
      </c>
      <c r="E1552" s="19">
        <v>6.45</v>
      </c>
      <c r="F1552" s="4">
        <v>641041</v>
      </c>
      <c r="G1552" s="5">
        <v>43181</v>
      </c>
    </row>
    <row r="1553" spans="1:7" x14ac:dyDescent="0.4">
      <c r="A1553">
        <v>53</v>
      </c>
      <c r="B1553" t="s">
        <v>660</v>
      </c>
      <c r="C1553" s="9">
        <v>11.59</v>
      </c>
      <c r="D1553" s="9">
        <v>0.7</v>
      </c>
      <c r="E1553" s="19">
        <v>6.43</v>
      </c>
      <c r="F1553" s="4">
        <v>11701417</v>
      </c>
      <c r="G1553" s="5">
        <v>43181</v>
      </c>
    </row>
    <row r="1554" spans="1:7" x14ac:dyDescent="0.4">
      <c r="A1554">
        <v>54</v>
      </c>
      <c r="B1554" t="s">
        <v>486</v>
      </c>
      <c r="C1554" s="9">
        <v>10.29</v>
      </c>
      <c r="D1554" s="9">
        <v>0.61</v>
      </c>
      <c r="E1554" s="19">
        <v>6.3</v>
      </c>
      <c r="F1554" s="4">
        <v>1295790</v>
      </c>
      <c r="G1554" s="5">
        <v>43181</v>
      </c>
    </row>
    <row r="1555" spans="1:7" x14ac:dyDescent="0.4">
      <c r="A1555">
        <v>55</v>
      </c>
      <c r="B1555" t="s">
        <v>661</v>
      </c>
      <c r="C1555" s="9">
        <v>21</v>
      </c>
      <c r="D1555" s="9">
        <v>1.23</v>
      </c>
      <c r="E1555" s="19">
        <v>6.22</v>
      </c>
      <c r="F1555" s="4">
        <v>37066</v>
      </c>
      <c r="G1555" s="5">
        <v>43181</v>
      </c>
    </row>
    <row r="1556" spans="1:7" x14ac:dyDescent="0.4">
      <c r="A1556">
        <v>56</v>
      </c>
      <c r="B1556" t="s">
        <v>662</v>
      </c>
      <c r="C1556" s="9">
        <v>85.32</v>
      </c>
      <c r="D1556" s="9">
        <v>4.96</v>
      </c>
      <c r="E1556" s="19">
        <v>6.17</v>
      </c>
      <c r="F1556" s="4">
        <v>853436</v>
      </c>
      <c r="G1556" s="5">
        <v>43181</v>
      </c>
    </row>
    <row r="1557" spans="1:7" x14ac:dyDescent="0.4">
      <c r="A1557">
        <v>57</v>
      </c>
      <c r="B1557" t="s">
        <v>491</v>
      </c>
      <c r="C1557" s="9">
        <v>14.65</v>
      </c>
      <c r="D1557" s="9">
        <v>0.85</v>
      </c>
      <c r="E1557" s="19">
        <v>6.16</v>
      </c>
      <c r="F1557" s="4">
        <v>14456</v>
      </c>
      <c r="G1557" s="5">
        <v>43181</v>
      </c>
    </row>
    <row r="1558" spans="1:7" x14ac:dyDescent="0.4">
      <c r="A1558">
        <v>58</v>
      </c>
      <c r="B1558" t="s">
        <v>663</v>
      </c>
      <c r="C1558" s="9">
        <v>2.25</v>
      </c>
      <c r="D1558" s="9">
        <v>0.13</v>
      </c>
      <c r="E1558" s="19">
        <v>6.13</v>
      </c>
      <c r="F1558" s="4">
        <v>427861</v>
      </c>
      <c r="G1558" s="5">
        <v>43181</v>
      </c>
    </row>
    <row r="1559" spans="1:7" x14ac:dyDescent="0.4">
      <c r="A1559">
        <v>59</v>
      </c>
      <c r="B1559" t="s">
        <v>664</v>
      </c>
      <c r="C1559" s="9">
        <v>8.98</v>
      </c>
      <c r="D1559" s="9">
        <v>0.51</v>
      </c>
      <c r="E1559" s="19">
        <v>6.02</v>
      </c>
      <c r="F1559" s="4">
        <v>3384855</v>
      </c>
      <c r="G1559" s="5">
        <v>43181</v>
      </c>
    </row>
    <row r="1560" spans="1:7" x14ac:dyDescent="0.4">
      <c r="A1560">
        <v>60</v>
      </c>
      <c r="B1560" t="s">
        <v>358</v>
      </c>
      <c r="C1560" s="9">
        <v>5.99</v>
      </c>
      <c r="D1560" s="9">
        <v>0.34</v>
      </c>
      <c r="E1560" s="19">
        <v>6</v>
      </c>
      <c r="F1560" s="4">
        <v>84085</v>
      </c>
      <c r="G1560" s="5">
        <v>43181</v>
      </c>
    </row>
    <row r="1561" spans="1:7" x14ac:dyDescent="0.4">
      <c r="A1561">
        <v>61</v>
      </c>
      <c r="B1561" t="s">
        <v>665</v>
      </c>
      <c r="C1561" s="9">
        <v>11.41</v>
      </c>
      <c r="D1561" s="9">
        <v>0.64</v>
      </c>
      <c r="E1561" s="19">
        <v>5.94</v>
      </c>
      <c r="F1561" s="4">
        <v>13369</v>
      </c>
      <c r="G1561" s="5">
        <v>43181</v>
      </c>
    </row>
    <row r="1562" spans="1:7" x14ac:dyDescent="0.4">
      <c r="A1562">
        <v>62</v>
      </c>
      <c r="B1562" t="s">
        <v>666</v>
      </c>
      <c r="C1562" s="9">
        <v>12.87</v>
      </c>
      <c r="D1562" s="9">
        <v>0.71</v>
      </c>
      <c r="E1562" s="19">
        <v>5.86</v>
      </c>
      <c r="F1562" s="4">
        <v>23801</v>
      </c>
      <c r="G1562" s="5">
        <v>43181</v>
      </c>
    </row>
    <row r="1563" spans="1:7" x14ac:dyDescent="0.4">
      <c r="A1563">
        <v>63</v>
      </c>
      <c r="B1563" t="s">
        <v>445</v>
      </c>
      <c r="C1563" s="9">
        <v>12.86</v>
      </c>
      <c r="D1563" s="9">
        <v>0.71</v>
      </c>
      <c r="E1563" s="19">
        <v>5.84</v>
      </c>
      <c r="F1563" s="4">
        <v>2271658</v>
      </c>
      <c r="G1563" s="5">
        <v>43181</v>
      </c>
    </row>
    <row r="1564" spans="1:7" x14ac:dyDescent="0.4">
      <c r="A1564">
        <v>64</v>
      </c>
      <c r="B1564" t="s">
        <v>425</v>
      </c>
      <c r="C1564" s="9">
        <v>16.7</v>
      </c>
      <c r="D1564" s="9">
        <v>0.9</v>
      </c>
      <c r="E1564" s="19">
        <v>5.7</v>
      </c>
      <c r="F1564" s="4">
        <v>3544</v>
      </c>
      <c r="G1564" s="5">
        <v>43181</v>
      </c>
    </row>
    <row r="1565" spans="1:7" x14ac:dyDescent="0.4">
      <c r="A1565">
        <v>65</v>
      </c>
      <c r="B1565" t="s">
        <v>667</v>
      </c>
      <c r="C1565" s="9">
        <v>34</v>
      </c>
      <c r="D1565" s="9">
        <v>1.8</v>
      </c>
      <c r="E1565" s="19">
        <v>5.59</v>
      </c>
      <c r="F1565" s="4">
        <v>25875</v>
      </c>
      <c r="G1565" s="5">
        <v>43181</v>
      </c>
    </row>
    <row r="1566" spans="1:7" x14ac:dyDescent="0.4">
      <c r="A1566">
        <v>66</v>
      </c>
      <c r="B1566" t="s">
        <v>668</v>
      </c>
      <c r="C1566" s="9">
        <v>18.899999999999999</v>
      </c>
      <c r="D1566" s="9">
        <v>1</v>
      </c>
      <c r="E1566" s="19">
        <v>5.59</v>
      </c>
      <c r="F1566" s="4">
        <v>2673</v>
      </c>
      <c r="G1566" s="5">
        <v>43181</v>
      </c>
    </row>
    <row r="1567" spans="1:7" x14ac:dyDescent="0.4">
      <c r="A1567">
        <v>67</v>
      </c>
      <c r="B1567" t="s">
        <v>669</v>
      </c>
      <c r="C1567" s="9">
        <v>29.07</v>
      </c>
      <c r="D1567" s="9">
        <v>1.53</v>
      </c>
      <c r="E1567" s="19">
        <v>5.56</v>
      </c>
      <c r="F1567" s="4">
        <v>235406</v>
      </c>
      <c r="G1567" s="5">
        <v>43181</v>
      </c>
    </row>
    <row r="1568" spans="1:7" x14ac:dyDescent="0.4">
      <c r="A1568">
        <v>68</v>
      </c>
      <c r="B1568" t="s">
        <v>670</v>
      </c>
      <c r="C1568" s="9">
        <v>10.61</v>
      </c>
      <c r="D1568" s="9">
        <v>0.55000000000000004</v>
      </c>
      <c r="E1568" s="19">
        <v>5.47</v>
      </c>
      <c r="F1568" s="4">
        <v>5066716</v>
      </c>
      <c r="G1568" s="5">
        <v>43181</v>
      </c>
    </row>
    <row r="1569" spans="1:7" x14ac:dyDescent="0.4">
      <c r="A1569">
        <v>69</v>
      </c>
      <c r="B1569" t="s">
        <v>671</v>
      </c>
      <c r="C1569" s="9">
        <v>32.04</v>
      </c>
      <c r="D1569" s="9">
        <v>1.66</v>
      </c>
      <c r="E1569" s="19">
        <v>5.46</v>
      </c>
      <c r="F1569" s="4">
        <v>534562</v>
      </c>
      <c r="G1569" s="5">
        <v>43181</v>
      </c>
    </row>
    <row r="1570" spans="1:7" x14ac:dyDescent="0.4">
      <c r="A1570">
        <v>70</v>
      </c>
      <c r="B1570" t="s">
        <v>574</v>
      </c>
      <c r="C1570" s="9">
        <v>13.16</v>
      </c>
      <c r="D1570" s="9">
        <v>0.68</v>
      </c>
      <c r="E1570" s="19">
        <v>5.45</v>
      </c>
      <c r="F1570" s="4">
        <v>2236702</v>
      </c>
      <c r="G1570" s="5">
        <v>43181</v>
      </c>
    </row>
    <row r="1571" spans="1:7" x14ac:dyDescent="0.4">
      <c r="A1571">
        <v>71</v>
      </c>
      <c r="B1571" t="s">
        <v>672</v>
      </c>
      <c r="C1571" s="9">
        <v>8.65</v>
      </c>
      <c r="D1571" s="9">
        <v>0.45</v>
      </c>
      <c r="E1571" s="19">
        <v>5.42</v>
      </c>
      <c r="F1571" s="4">
        <v>108425</v>
      </c>
      <c r="G1571" s="5">
        <v>43181</v>
      </c>
    </row>
    <row r="1572" spans="1:7" x14ac:dyDescent="0.4">
      <c r="A1572">
        <v>72</v>
      </c>
      <c r="B1572" t="s">
        <v>266</v>
      </c>
      <c r="C1572" s="9">
        <v>5.26</v>
      </c>
      <c r="D1572" s="9">
        <v>0.27</v>
      </c>
      <c r="E1572" s="19">
        <v>5.41</v>
      </c>
      <c r="F1572" s="4">
        <v>61906169</v>
      </c>
      <c r="G1572" s="5">
        <v>43181</v>
      </c>
    </row>
    <row r="1573" spans="1:7" x14ac:dyDescent="0.4">
      <c r="A1573">
        <v>73</v>
      </c>
      <c r="B1573" t="s">
        <v>180</v>
      </c>
      <c r="C1573" s="9">
        <v>10</v>
      </c>
      <c r="D1573" s="9">
        <v>0.5</v>
      </c>
      <c r="E1573" s="19">
        <v>5.26</v>
      </c>
      <c r="F1573" s="4">
        <v>173271</v>
      </c>
      <c r="G1573" s="5">
        <v>43181</v>
      </c>
    </row>
    <row r="1574" spans="1:7" x14ac:dyDescent="0.4">
      <c r="A1574">
        <v>74</v>
      </c>
      <c r="B1574" t="s">
        <v>673</v>
      </c>
      <c r="C1574" s="9">
        <v>13.15</v>
      </c>
      <c r="D1574" s="9">
        <v>0.65</v>
      </c>
      <c r="E1574" s="19">
        <v>5.2</v>
      </c>
      <c r="F1574" s="4">
        <v>4557</v>
      </c>
      <c r="G1574" s="5">
        <v>43181</v>
      </c>
    </row>
    <row r="1575" spans="1:7" x14ac:dyDescent="0.4">
      <c r="A1575">
        <v>75</v>
      </c>
      <c r="B1575" t="s">
        <v>674</v>
      </c>
      <c r="C1575" s="9">
        <v>11.94</v>
      </c>
      <c r="D1575" s="9">
        <v>0.59</v>
      </c>
      <c r="E1575" s="19">
        <v>5.2</v>
      </c>
      <c r="F1575" s="4">
        <v>11046176</v>
      </c>
      <c r="G1575" s="5">
        <v>43181</v>
      </c>
    </row>
    <row r="1576" spans="1:7" x14ac:dyDescent="0.4">
      <c r="A1576">
        <v>76</v>
      </c>
      <c r="B1576" t="s">
        <v>138</v>
      </c>
      <c r="C1576" s="9">
        <v>10.75</v>
      </c>
      <c r="D1576" s="9">
        <v>0.52</v>
      </c>
      <c r="E1576" s="19">
        <v>5.08</v>
      </c>
      <c r="F1576" s="4">
        <v>160695</v>
      </c>
      <c r="G1576" s="5">
        <v>43181</v>
      </c>
    </row>
    <row r="1577" spans="1:7" x14ac:dyDescent="0.4">
      <c r="A1577">
        <v>77</v>
      </c>
      <c r="B1577" t="s">
        <v>675</v>
      </c>
      <c r="C1577" s="9">
        <v>9.27</v>
      </c>
      <c r="D1577" s="9">
        <v>0.45</v>
      </c>
      <c r="E1577" s="19">
        <v>5.04</v>
      </c>
      <c r="F1577" s="4">
        <v>33678</v>
      </c>
      <c r="G1577" s="5">
        <v>43181</v>
      </c>
    </row>
    <row r="1578" spans="1:7" x14ac:dyDescent="0.4">
      <c r="A1578">
        <v>78</v>
      </c>
      <c r="B1578" t="s">
        <v>676</v>
      </c>
      <c r="C1578" s="9">
        <v>2.1</v>
      </c>
      <c r="D1578" s="9">
        <v>0.1</v>
      </c>
      <c r="E1578" s="19">
        <v>5</v>
      </c>
      <c r="F1578" s="4">
        <v>79043</v>
      </c>
      <c r="G1578" s="5">
        <v>43181</v>
      </c>
    </row>
    <row r="1579" spans="1:7" x14ac:dyDescent="0.4">
      <c r="A1579">
        <v>79</v>
      </c>
      <c r="B1579" t="s">
        <v>677</v>
      </c>
      <c r="C1579" s="9">
        <v>7.4</v>
      </c>
      <c r="D1579" s="9">
        <v>0.35</v>
      </c>
      <c r="E1579" s="19">
        <v>4.96</v>
      </c>
      <c r="F1579" s="4">
        <v>2396706</v>
      </c>
      <c r="G1579" s="5">
        <v>43181</v>
      </c>
    </row>
    <row r="1580" spans="1:7" x14ac:dyDescent="0.4">
      <c r="A1580">
        <v>80</v>
      </c>
      <c r="B1580" t="s">
        <v>678</v>
      </c>
      <c r="C1580" s="9">
        <v>41.04</v>
      </c>
      <c r="D1580" s="9">
        <v>1.94</v>
      </c>
      <c r="E1580" s="19">
        <v>4.96</v>
      </c>
      <c r="F1580" s="4">
        <v>10568828</v>
      </c>
      <c r="G1580" s="5">
        <v>43181</v>
      </c>
    </row>
    <row r="1581" spans="1:7" x14ac:dyDescent="0.4">
      <c r="A1581">
        <v>81</v>
      </c>
      <c r="B1581" t="s">
        <v>679</v>
      </c>
      <c r="C1581" s="9">
        <v>15.3</v>
      </c>
      <c r="D1581" s="9">
        <v>0.72</v>
      </c>
      <c r="E1581" s="19">
        <v>4.9400000000000004</v>
      </c>
      <c r="F1581" s="4">
        <v>9351063</v>
      </c>
      <c r="G1581" s="5">
        <v>43181</v>
      </c>
    </row>
    <row r="1582" spans="1:7" x14ac:dyDescent="0.4">
      <c r="A1582">
        <v>82</v>
      </c>
      <c r="B1582" t="s">
        <v>318</v>
      </c>
      <c r="C1582" s="9">
        <v>27.9</v>
      </c>
      <c r="D1582" s="9">
        <v>1.29</v>
      </c>
      <c r="E1582" s="19">
        <v>4.8499999999999996</v>
      </c>
      <c r="F1582" s="4">
        <v>18661</v>
      </c>
      <c r="G1582" s="5">
        <v>43181</v>
      </c>
    </row>
    <row r="1583" spans="1:7" x14ac:dyDescent="0.4">
      <c r="A1583">
        <v>83</v>
      </c>
      <c r="B1583" t="s">
        <v>680</v>
      </c>
      <c r="C1583" s="9">
        <v>2.2000000000000002</v>
      </c>
      <c r="D1583" s="9">
        <v>0.1</v>
      </c>
      <c r="E1583" s="19">
        <v>4.76</v>
      </c>
      <c r="F1583" s="4">
        <v>733300</v>
      </c>
      <c r="G1583" s="5">
        <v>43181</v>
      </c>
    </row>
    <row r="1584" spans="1:7" x14ac:dyDescent="0.4">
      <c r="A1584">
        <v>84</v>
      </c>
      <c r="B1584" t="s">
        <v>417</v>
      </c>
      <c r="C1584" s="9">
        <v>2.25</v>
      </c>
      <c r="D1584" s="9">
        <v>0.1</v>
      </c>
      <c r="E1584" s="19">
        <v>4.7300000000000004</v>
      </c>
      <c r="F1584" s="4">
        <v>174862</v>
      </c>
      <c r="G1584" s="5">
        <v>43181</v>
      </c>
    </row>
    <row r="1585" spans="1:7" x14ac:dyDescent="0.4">
      <c r="A1585">
        <v>85</v>
      </c>
      <c r="B1585" t="s">
        <v>681</v>
      </c>
      <c r="C1585" s="9">
        <v>9.77</v>
      </c>
      <c r="D1585" s="9">
        <v>0.44</v>
      </c>
      <c r="E1585" s="19">
        <v>4.72</v>
      </c>
      <c r="F1585" s="4">
        <v>79946</v>
      </c>
      <c r="G1585" s="5">
        <v>43181</v>
      </c>
    </row>
    <row r="1586" spans="1:7" x14ac:dyDescent="0.4">
      <c r="A1586">
        <v>86</v>
      </c>
      <c r="B1586" t="s">
        <v>682</v>
      </c>
      <c r="C1586" s="9">
        <v>8.2200000000000006</v>
      </c>
      <c r="D1586" s="9">
        <v>0.37</v>
      </c>
      <c r="E1586" s="19">
        <v>4.71</v>
      </c>
      <c r="F1586" s="4">
        <v>32190</v>
      </c>
      <c r="G1586" s="5">
        <v>43181</v>
      </c>
    </row>
    <row r="1587" spans="1:7" x14ac:dyDescent="0.4">
      <c r="A1587">
        <v>87</v>
      </c>
      <c r="B1587" t="s">
        <v>683</v>
      </c>
      <c r="C1587" s="9">
        <v>20.79</v>
      </c>
      <c r="D1587" s="9">
        <v>0.93</v>
      </c>
      <c r="E1587" s="19">
        <v>4.68</v>
      </c>
      <c r="F1587" s="4">
        <v>67216</v>
      </c>
      <c r="G1587" s="5">
        <v>43181</v>
      </c>
    </row>
    <row r="1588" spans="1:7" x14ac:dyDescent="0.4">
      <c r="A1588">
        <v>88</v>
      </c>
      <c r="B1588" t="s">
        <v>684</v>
      </c>
      <c r="C1588" s="9">
        <v>2.4700000000000002</v>
      </c>
      <c r="D1588" s="9">
        <v>0.11</v>
      </c>
      <c r="E1588" s="19">
        <v>4.66</v>
      </c>
      <c r="F1588" s="4">
        <v>322949</v>
      </c>
      <c r="G1588" s="5">
        <v>43181</v>
      </c>
    </row>
    <row r="1589" spans="1:7" x14ac:dyDescent="0.4">
      <c r="A1589">
        <v>89</v>
      </c>
      <c r="B1589" t="s">
        <v>395</v>
      </c>
      <c r="C1589" s="9">
        <v>2.94</v>
      </c>
      <c r="D1589" s="9">
        <v>0.13</v>
      </c>
      <c r="E1589" s="19">
        <v>4.63</v>
      </c>
      <c r="F1589" s="4">
        <v>97866</v>
      </c>
      <c r="G1589" s="5">
        <v>43181</v>
      </c>
    </row>
    <row r="1590" spans="1:7" x14ac:dyDescent="0.4">
      <c r="A1590">
        <v>90</v>
      </c>
      <c r="B1590" t="s">
        <v>29</v>
      </c>
      <c r="C1590" s="9">
        <v>14.12</v>
      </c>
      <c r="D1590" s="9">
        <v>0.62</v>
      </c>
      <c r="E1590" s="19">
        <v>4.59</v>
      </c>
      <c r="F1590" s="4">
        <v>215953</v>
      </c>
      <c r="G1590" s="5">
        <v>43181</v>
      </c>
    </row>
    <row r="1591" spans="1:7" x14ac:dyDescent="0.4">
      <c r="A1591">
        <v>91</v>
      </c>
      <c r="B1591" t="s">
        <v>685</v>
      </c>
      <c r="C1591" s="9">
        <v>8.4700000000000006</v>
      </c>
      <c r="D1591" s="9">
        <v>0.37</v>
      </c>
      <c r="E1591" s="19">
        <v>4.58</v>
      </c>
      <c r="F1591" s="4">
        <v>3009</v>
      </c>
      <c r="G1591" s="5">
        <v>43181</v>
      </c>
    </row>
    <row r="1592" spans="1:7" x14ac:dyDescent="0.4">
      <c r="A1592">
        <v>92</v>
      </c>
      <c r="B1592" t="s">
        <v>686</v>
      </c>
      <c r="C1592" s="9">
        <v>27.7</v>
      </c>
      <c r="D1592" s="9">
        <v>1.21</v>
      </c>
      <c r="E1592" s="19">
        <v>4.57</v>
      </c>
      <c r="F1592" s="4">
        <v>2428225</v>
      </c>
      <c r="G1592" s="5">
        <v>43181</v>
      </c>
    </row>
    <row r="1593" spans="1:7" x14ac:dyDescent="0.4">
      <c r="A1593">
        <v>93</v>
      </c>
      <c r="B1593" t="s">
        <v>687</v>
      </c>
      <c r="C1593" s="9">
        <v>12.32</v>
      </c>
      <c r="D1593" s="9">
        <v>0.53</v>
      </c>
      <c r="E1593" s="19">
        <v>4.5</v>
      </c>
      <c r="F1593" s="4">
        <v>366913</v>
      </c>
      <c r="G1593" s="5">
        <v>43181</v>
      </c>
    </row>
    <row r="1594" spans="1:7" x14ac:dyDescent="0.4">
      <c r="A1594">
        <v>94</v>
      </c>
      <c r="B1594" t="s">
        <v>688</v>
      </c>
      <c r="C1594" s="9">
        <v>24.47</v>
      </c>
      <c r="D1594" s="9">
        <v>1.05</v>
      </c>
      <c r="E1594" s="19">
        <v>4.4800000000000004</v>
      </c>
      <c r="F1594" s="4">
        <v>27514</v>
      </c>
      <c r="G1594" s="5">
        <v>43181</v>
      </c>
    </row>
    <row r="1595" spans="1:7" x14ac:dyDescent="0.4">
      <c r="A1595">
        <v>95</v>
      </c>
      <c r="B1595" t="s">
        <v>355</v>
      </c>
      <c r="C1595" s="9">
        <v>7.37</v>
      </c>
      <c r="D1595" s="9">
        <v>0.31</v>
      </c>
      <c r="E1595" s="19">
        <v>4.3899999999999997</v>
      </c>
      <c r="F1595" s="4">
        <v>87574</v>
      </c>
      <c r="G1595" s="5">
        <v>43181</v>
      </c>
    </row>
    <row r="1596" spans="1:7" x14ac:dyDescent="0.4">
      <c r="A1596">
        <v>96</v>
      </c>
      <c r="B1596" t="s">
        <v>689</v>
      </c>
      <c r="C1596" s="9">
        <v>5.96</v>
      </c>
      <c r="D1596" s="9">
        <v>0.25</v>
      </c>
      <c r="E1596" s="19">
        <v>4.38</v>
      </c>
      <c r="F1596" s="4">
        <v>41042</v>
      </c>
      <c r="G1596" s="5">
        <v>43181</v>
      </c>
    </row>
    <row r="1597" spans="1:7" x14ac:dyDescent="0.4">
      <c r="A1597">
        <v>97</v>
      </c>
      <c r="B1597" t="s">
        <v>690</v>
      </c>
      <c r="C1597" s="9">
        <v>16.89</v>
      </c>
      <c r="D1597" s="9">
        <v>0.69</v>
      </c>
      <c r="E1597" s="19">
        <v>4.29</v>
      </c>
      <c r="F1597" s="4">
        <v>1862439</v>
      </c>
      <c r="G1597" s="5">
        <v>43181</v>
      </c>
    </row>
    <row r="1598" spans="1:7" x14ac:dyDescent="0.4">
      <c r="A1598">
        <v>98</v>
      </c>
      <c r="B1598" t="s">
        <v>691</v>
      </c>
      <c r="C1598" s="9">
        <v>69.959999999999994</v>
      </c>
      <c r="D1598" s="9">
        <v>2.82</v>
      </c>
      <c r="E1598" s="19">
        <v>4.2</v>
      </c>
      <c r="F1598" s="4">
        <v>4591609</v>
      </c>
      <c r="G1598" s="5">
        <v>43181</v>
      </c>
    </row>
    <row r="1599" spans="1:7" x14ac:dyDescent="0.4">
      <c r="A1599">
        <v>99</v>
      </c>
      <c r="B1599" t="s">
        <v>343</v>
      </c>
      <c r="C1599" s="9">
        <v>3.75</v>
      </c>
      <c r="D1599" s="9">
        <v>0.15</v>
      </c>
      <c r="E1599" s="19">
        <v>4.17</v>
      </c>
      <c r="F1599" s="4">
        <v>7095</v>
      </c>
      <c r="G1599" s="5">
        <v>43181</v>
      </c>
    </row>
    <row r="1600" spans="1:7" x14ac:dyDescent="0.4">
      <c r="A1600">
        <v>100</v>
      </c>
      <c r="B1600" t="s">
        <v>692</v>
      </c>
      <c r="C1600" s="9">
        <v>38.44</v>
      </c>
      <c r="D1600" s="9">
        <v>1.54</v>
      </c>
      <c r="E1600" s="19">
        <v>4.16</v>
      </c>
      <c r="F1600" s="4">
        <v>20225</v>
      </c>
      <c r="G1600" s="5">
        <v>43181</v>
      </c>
    </row>
    <row r="1601" spans="1:7" x14ac:dyDescent="0.4">
      <c r="A1601">
        <v>1</v>
      </c>
      <c r="B1601" t="s">
        <v>603</v>
      </c>
      <c r="C1601" s="9">
        <v>8.3000000000000007</v>
      </c>
      <c r="D1601" s="9">
        <v>4.5</v>
      </c>
      <c r="E1601" s="19">
        <v>118.42</v>
      </c>
      <c r="F1601" s="4">
        <v>3302693</v>
      </c>
      <c r="G1601" s="5">
        <v>43181</v>
      </c>
    </row>
    <row r="1602" spans="1:7" x14ac:dyDescent="0.4">
      <c r="A1602">
        <v>2</v>
      </c>
      <c r="B1602" t="s">
        <v>694</v>
      </c>
      <c r="C1602" s="9">
        <v>3.5</v>
      </c>
      <c r="D1602" s="9">
        <v>0.72</v>
      </c>
      <c r="E1602" s="19">
        <v>25.9</v>
      </c>
      <c r="F1602" s="4">
        <v>1309253</v>
      </c>
      <c r="G1602" s="5">
        <v>43182</v>
      </c>
    </row>
    <row r="1603" spans="1:7" x14ac:dyDescent="0.4">
      <c r="A1603">
        <v>3</v>
      </c>
      <c r="B1603" t="s">
        <v>695</v>
      </c>
      <c r="C1603" s="9">
        <v>7.52</v>
      </c>
      <c r="D1603" s="9">
        <v>1.54</v>
      </c>
      <c r="E1603" s="19">
        <v>25.75</v>
      </c>
      <c r="F1603" s="4">
        <v>4088971</v>
      </c>
      <c r="G1603" s="5">
        <v>43182</v>
      </c>
    </row>
    <row r="1604" spans="1:7" x14ac:dyDescent="0.4">
      <c r="A1604">
        <v>4</v>
      </c>
      <c r="B1604" t="s">
        <v>371</v>
      </c>
      <c r="C1604" s="9">
        <v>9.2200000000000006</v>
      </c>
      <c r="D1604" s="9">
        <v>1.62</v>
      </c>
      <c r="E1604" s="19">
        <v>21.32</v>
      </c>
      <c r="F1604" s="4">
        <v>191776</v>
      </c>
      <c r="G1604" s="5">
        <v>43182</v>
      </c>
    </row>
    <row r="1605" spans="1:7" x14ac:dyDescent="0.4">
      <c r="A1605">
        <v>5</v>
      </c>
      <c r="B1605" t="s">
        <v>22</v>
      </c>
      <c r="C1605" s="9">
        <v>25.65</v>
      </c>
      <c r="D1605" s="9">
        <v>4.3099999999999996</v>
      </c>
      <c r="E1605" s="19">
        <v>20.2</v>
      </c>
      <c r="F1605" s="4">
        <v>553687</v>
      </c>
      <c r="G1605" s="5">
        <v>43182</v>
      </c>
    </row>
    <row r="1606" spans="1:7" x14ac:dyDescent="0.4">
      <c r="A1606">
        <v>6</v>
      </c>
      <c r="B1606" t="s">
        <v>696</v>
      </c>
      <c r="C1606" s="9">
        <v>31.55</v>
      </c>
      <c r="D1606" s="9">
        <v>5.09</v>
      </c>
      <c r="E1606" s="19">
        <v>19.239999999999998</v>
      </c>
      <c r="F1606" s="4">
        <v>3241741</v>
      </c>
      <c r="G1606" s="5">
        <v>43182</v>
      </c>
    </row>
    <row r="1607" spans="1:7" x14ac:dyDescent="0.4">
      <c r="A1607">
        <v>7</v>
      </c>
      <c r="B1607" t="s">
        <v>500</v>
      </c>
      <c r="C1607" s="9">
        <v>5.2</v>
      </c>
      <c r="D1607" s="9">
        <v>0.79</v>
      </c>
      <c r="E1607" s="19">
        <v>17.91</v>
      </c>
      <c r="F1607" s="4">
        <v>2770856</v>
      </c>
      <c r="G1607" s="5">
        <v>43182</v>
      </c>
    </row>
    <row r="1608" spans="1:7" x14ac:dyDescent="0.4">
      <c r="A1608">
        <v>8</v>
      </c>
      <c r="B1608" t="s">
        <v>697</v>
      </c>
      <c r="C1608" s="9">
        <v>2.84</v>
      </c>
      <c r="D1608" s="9">
        <v>0.42</v>
      </c>
      <c r="E1608" s="19">
        <v>17.2</v>
      </c>
      <c r="F1608" s="4">
        <v>127086</v>
      </c>
      <c r="G1608" s="5">
        <v>43182</v>
      </c>
    </row>
    <row r="1609" spans="1:7" x14ac:dyDescent="0.4">
      <c r="A1609">
        <v>9</v>
      </c>
      <c r="B1609" t="s">
        <v>698</v>
      </c>
      <c r="C1609" s="9">
        <v>7.85</v>
      </c>
      <c r="D1609" s="9">
        <v>1.06</v>
      </c>
      <c r="E1609" s="19">
        <v>15.61</v>
      </c>
      <c r="F1609" s="4">
        <v>8230</v>
      </c>
      <c r="G1609" s="5">
        <v>43182</v>
      </c>
    </row>
    <row r="1610" spans="1:7" x14ac:dyDescent="0.4">
      <c r="A1610">
        <v>10</v>
      </c>
      <c r="B1610" t="s">
        <v>699</v>
      </c>
      <c r="C1610" s="9">
        <v>24.01</v>
      </c>
      <c r="D1610" s="9">
        <v>2.85</v>
      </c>
      <c r="E1610" s="19">
        <v>13.47</v>
      </c>
      <c r="F1610" s="4">
        <v>109925</v>
      </c>
      <c r="G1610" s="5">
        <v>43182</v>
      </c>
    </row>
    <row r="1611" spans="1:7" x14ac:dyDescent="0.4">
      <c r="A1611">
        <v>11</v>
      </c>
      <c r="B1611" t="s">
        <v>700</v>
      </c>
      <c r="C1611" s="9">
        <v>17.55</v>
      </c>
      <c r="D1611" s="9">
        <v>1.81</v>
      </c>
      <c r="E1611" s="19">
        <v>11.5</v>
      </c>
      <c r="F1611" s="4">
        <v>9229</v>
      </c>
      <c r="G1611" s="5">
        <v>43182</v>
      </c>
    </row>
    <row r="1612" spans="1:7" x14ac:dyDescent="0.4">
      <c r="A1612">
        <v>12</v>
      </c>
      <c r="B1612" t="s">
        <v>429</v>
      </c>
      <c r="C1612" s="9">
        <v>10.57</v>
      </c>
      <c r="D1612" s="9">
        <v>1.05</v>
      </c>
      <c r="E1612" s="19">
        <v>11.03</v>
      </c>
      <c r="F1612" s="4">
        <v>97860569</v>
      </c>
      <c r="G1612" s="5">
        <v>43182</v>
      </c>
    </row>
    <row r="1613" spans="1:7" x14ac:dyDescent="0.4">
      <c r="A1613">
        <v>13</v>
      </c>
      <c r="B1613" t="s">
        <v>336</v>
      </c>
      <c r="C1613" s="9">
        <v>48.92</v>
      </c>
      <c r="D1613" s="9">
        <v>4.8499999999999996</v>
      </c>
      <c r="E1613" s="19">
        <v>11.01</v>
      </c>
      <c r="F1613" s="4">
        <v>2381062</v>
      </c>
      <c r="G1613" s="5">
        <v>43182</v>
      </c>
    </row>
    <row r="1614" spans="1:7" x14ac:dyDescent="0.4">
      <c r="A1614">
        <v>14</v>
      </c>
      <c r="B1614" t="s">
        <v>436</v>
      </c>
      <c r="C1614" s="9">
        <v>16.25</v>
      </c>
      <c r="D1614" s="9">
        <v>1.6</v>
      </c>
      <c r="E1614" s="19">
        <v>10.91</v>
      </c>
      <c r="F1614" s="4">
        <v>4352</v>
      </c>
      <c r="G1614" s="5">
        <v>43182</v>
      </c>
    </row>
    <row r="1615" spans="1:7" x14ac:dyDescent="0.4">
      <c r="A1615">
        <v>15</v>
      </c>
      <c r="B1615" t="s">
        <v>603</v>
      </c>
      <c r="C1615" s="9">
        <v>9.1999999999999993</v>
      </c>
      <c r="D1615" s="9">
        <v>0.9</v>
      </c>
      <c r="E1615" s="19">
        <v>10.84</v>
      </c>
      <c r="F1615" s="4">
        <v>543547</v>
      </c>
      <c r="G1615" s="5">
        <v>43182</v>
      </c>
    </row>
    <row r="1616" spans="1:7" x14ac:dyDescent="0.4">
      <c r="A1616">
        <v>16</v>
      </c>
      <c r="B1616" t="s">
        <v>641</v>
      </c>
      <c r="C1616" s="9">
        <v>8.6999999999999993</v>
      </c>
      <c r="D1616" s="9">
        <v>0.82</v>
      </c>
      <c r="E1616" s="19">
        <v>10.41</v>
      </c>
      <c r="F1616" s="4">
        <v>19930</v>
      </c>
      <c r="G1616" s="5">
        <v>43182</v>
      </c>
    </row>
    <row r="1617" spans="1:7" x14ac:dyDescent="0.4">
      <c r="A1617">
        <v>17</v>
      </c>
      <c r="B1617" t="s">
        <v>38</v>
      </c>
      <c r="C1617" s="9">
        <v>71.099999999999994</v>
      </c>
      <c r="D1617" s="9">
        <v>6.6</v>
      </c>
      <c r="E1617" s="19">
        <v>10.23</v>
      </c>
      <c r="F1617" s="4">
        <v>1469062</v>
      </c>
      <c r="G1617" s="5">
        <v>43182</v>
      </c>
    </row>
    <row r="1618" spans="1:7" x14ac:dyDescent="0.4">
      <c r="A1618">
        <v>18</v>
      </c>
      <c r="B1618" t="s">
        <v>207</v>
      </c>
      <c r="C1618" s="9">
        <v>12.46</v>
      </c>
      <c r="D1618" s="9">
        <v>1.1299999999999999</v>
      </c>
      <c r="E1618" s="19">
        <v>9.9700000000000006</v>
      </c>
      <c r="F1618" s="4">
        <v>3471021</v>
      </c>
      <c r="G1618" s="5">
        <v>43182</v>
      </c>
    </row>
    <row r="1619" spans="1:7" x14ac:dyDescent="0.4">
      <c r="A1619">
        <v>19</v>
      </c>
      <c r="B1619" t="s">
        <v>701</v>
      </c>
      <c r="C1619" s="9">
        <v>7.84</v>
      </c>
      <c r="D1619" s="9">
        <v>0.71</v>
      </c>
      <c r="E1619" s="19">
        <v>9.9600000000000009</v>
      </c>
      <c r="F1619" s="4">
        <v>960452</v>
      </c>
      <c r="G1619" s="5">
        <v>43182</v>
      </c>
    </row>
    <row r="1620" spans="1:7" x14ac:dyDescent="0.4">
      <c r="A1620">
        <v>20</v>
      </c>
      <c r="B1620" t="s">
        <v>702</v>
      </c>
      <c r="C1620" s="9">
        <v>2.85</v>
      </c>
      <c r="D1620" s="9">
        <v>0.25</v>
      </c>
      <c r="E1620" s="19">
        <v>9.6199999999999992</v>
      </c>
      <c r="F1620" s="4">
        <v>3603</v>
      </c>
      <c r="G1620" s="5">
        <v>43182</v>
      </c>
    </row>
    <row r="1621" spans="1:7" x14ac:dyDescent="0.4">
      <c r="A1621">
        <v>21</v>
      </c>
      <c r="B1621" t="s">
        <v>703</v>
      </c>
      <c r="C1621" s="9">
        <v>2.75</v>
      </c>
      <c r="D1621" s="9">
        <v>0.24</v>
      </c>
      <c r="E1621" s="19">
        <v>9.56</v>
      </c>
      <c r="F1621" s="4">
        <v>1187207</v>
      </c>
      <c r="G1621" s="5">
        <v>43182</v>
      </c>
    </row>
    <row r="1622" spans="1:7" x14ac:dyDescent="0.4">
      <c r="A1622">
        <v>22</v>
      </c>
      <c r="B1622" t="s">
        <v>648</v>
      </c>
      <c r="C1622" s="9">
        <v>5.2</v>
      </c>
      <c r="D1622" s="9">
        <v>0.45</v>
      </c>
      <c r="E1622" s="19">
        <v>9.4700000000000006</v>
      </c>
      <c r="F1622" s="4">
        <v>502356</v>
      </c>
      <c r="G1622" s="5">
        <v>43182</v>
      </c>
    </row>
    <row r="1623" spans="1:7" x14ac:dyDescent="0.4">
      <c r="A1623">
        <v>23</v>
      </c>
      <c r="B1623" t="s">
        <v>604</v>
      </c>
      <c r="C1623" s="9">
        <v>29.5</v>
      </c>
      <c r="D1623" s="9">
        <v>2.52</v>
      </c>
      <c r="E1623" s="19">
        <v>9.34</v>
      </c>
      <c r="F1623" s="4">
        <v>17833</v>
      </c>
      <c r="G1623" s="5">
        <v>43182</v>
      </c>
    </row>
    <row r="1624" spans="1:7" x14ac:dyDescent="0.4">
      <c r="A1624">
        <v>24</v>
      </c>
      <c r="B1624" t="s">
        <v>704</v>
      </c>
      <c r="C1624" s="9">
        <v>15.78</v>
      </c>
      <c r="D1624" s="9">
        <v>1.32</v>
      </c>
      <c r="E1624" s="19">
        <v>9.1300000000000008</v>
      </c>
      <c r="F1624" s="4">
        <v>22975</v>
      </c>
      <c r="G1624" s="5">
        <v>43182</v>
      </c>
    </row>
    <row r="1625" spans="1:7" x14ac:dyDescent="0.4">
      <c r="A1625">
        <v>25</v>
      </c>
      <c r="B1625" t="s">
        <v>705</v>
      </c>
      <c r="C1625" s="9">
        <v>2.92</v>
      </c>
      <c r="D1625" s="9">
        <v>0.24</v>
      </c>
      <c r="E1625" s="19">
        <v>8.9600000000000009</v>
      </c>
      <c r="F1625" s="4">
        <v>26465</v>
      </c>
      <c r="G1625" s="5">
        <v>43182</v>
      </c>
    </row>
    <row r="1626" spans="1:7" x14ac:dyDescent="0.4">
      <c r="A1626">
        <v>26</v>
      </c>
      <c r="B1626" t="s">
        <v>220</v>
      </c>
      <c r="C1626" s="9">
        <v>6.1</v>
      </c>
      <c r="D1626" s="9">
        <v>0.5</v>
      </c>
      <c r="E1626" s="19">
        <v>8.93</v>
      </c>
      <c r="F1626" s="4">
        <v>279639</v>
      </c>
      <c r="G1626" s="5">
        <v>43182</v>
      </c>
    </row>
    <row r="1627" spans="1:7" x14ac:dyDescent="0.4">
      <c r="A1627">
        <v>27</v>
      </c>
      <c r="B1627" t="s">
        <v>672</v>
      </c>
      <c r="C1627" s="9">
        <v>9.4</v>
      </c>
      <c r="D1627" s="9">
        <v>0.75</v>
      </c>
      <c r="E1627" s="19">
        <v>8.67</v>
      </c>
      <c r="F1627" s="4">
        <v>71061</v>
      </c>
      <c r="G1627" s="5">
        <v>43182</v>
      </c>
    </row>
    <row r="1628" spans="1:7" x14ac:dyDescent="0.4">
      <c r="A1628">
        <v>28</v>
      </c>
      <c r="B1628" t="s">
        <v>706</v>
      </c>
      <c r="C1628" s="9">
        <v>8.9600000000000009</v>
      </c>
      <c r="D1628" s="9">
        <v>0.7</v>
      </c>
      <c r="E1628" s="19">
        <v>8.4700000000000006</v>
      </c>
      <c r="F1628" s="4">
        <v>326568</v>
      </c>
      <c r="G1628" s="5">
        <v>43182</v>
      </c>
    </row>
    <row r="1629" spans="1:7" x14ac:dyDescent="0.4">
      <c r="A1629">
        <v>29</v>
      </c>
      <c r="B1629" t="s">
        <v>707</v>
      </c>
      <c r="C1629" s="9">
        <v>5.29</v>
      </c>
      <c r="D1629" s="9">
        <v>0.41</v>
      </c>
      <c r="E1629" s="19">
        <v>8.4</v>
      </c>
      <c r="F1629" s="4">
        <v>110875</v>
      </c>
      <c r="G1629" s="5">
        <v>43182</v>
      </c>
    </row>
    <row r="1630" spans="1:7" x14ac:dyDescent="0.4">
      <c r="A1630">
        <v>30</v>
      </c>
      <c r="B1630" t="s">
        <v>430</v>
      </c>
      <c r="C1630" s="9">
        <v>20.239999999999998</v>
      </c>
      <c r="D1630" s="9">
        <v>1.56</v>
      </c>
      <c r="E1630" s="19">
        <v>8.35</v>
      </c>
      <c r="F1630" s="4">
        <v>73652700</v>
      </c>
      <c r="G1630" s="5">
        <v>43182</v>
      </c>
    </row>
    <row r="1631" spans="1:7" x14ac:dyDescent="0.4">
      <c r="A1631">
        <v>31</v>
      </c>
      <c r="B1631" t="s">
        <v>601</v>
      </c>
      <c r="C1631" s="9">
        <v>24.99</v>
      </c>
      <c r="D1631" s="9">
        <v>1.92</v>
      </c>
      <c r="E1631" s="19">
        <v>8.32</v>
      </c>
      <c r="F1631" s="4">
        <v>10749609</v>
      </c>
      <c r="G1631" s="5">
        <v>43182</v>
      </c>
    </row>
    <row r="1632" spans="1:7" x14ac:dyDescent="0.4">
      <c r="A1632">
        <v>32</v>
      </c>
      <c r="B1632" t="s">
        <v>520</v>
      </c>
      <c r="C1632" s="9">
        <v>30.72</v>
      </c>
      <c r="D1632" s="9">
        <v>2.3199999999999998</v>
      </c>
      <c r="E1632" s="19">
        <v>8.17</v>
      </c>
      <c r="F1632" s="4">
        <v>4740</v>
      </c>
      <c r="G1632" s="5">
        <v>43182</v>
      </c>
    </row>
    <row r="1633" spans="1:7" x14ac:dyDescent="0.4">
      <c r="A1633">
        <v>33</v>
      </c>
      <c r="B1633" t="s">
        <v>708</v>
      </c>
      <c r="C1633" s="9">
        <v>11.55</v>
      </c>
      <c r="D1633" s="9">
        <v>0.86</v>
      </c>
      <c r="E1633" s="19">
        <v>8.0399999999999991</v>
      </c>
      <c r="F1633" s="4">
        <v>154087</v>
      </c>
      <c r="G1633" s="5">
        <v>43182</v>
      </c>
    </row>
    <row r="1634" spans="1:7" x14ac:dyDescent="0.4">
      <c r="A1634">
        <v>34</v>
      </c>
      <c r="B1634" t="s">
        <v>535</v>
      </c>
      <c r="C1634" s="9">
        <v>31.68</v>
      </c>
      <c r="D1634" s="9">
        <v>2.35</v>
      </c>
      <c r="E1634" s="19">
        <v>8.01</v>
      </c>
      <c r="F1634" s="4">
        <v>2749983</v>
      </c>
      <c r="G1634" s="5">
        <v>43182</v>
      </c>
    </row>
    <row r="1635" spans="1:7" x14ac:dyDescent="0.4">
      <c r="A1635">
        <v>35</v>
      </c>
      <c r="B1635" t="s">
        <v>458</v>
      </c>
      <c r="C1635" s="9">
        <v>19.21</v>
      </c>
      <c r="D1635" s="9">
        <v>1.41</v>
      </c>
      <c r="E1635" s="19">
        <v>7.92</v>
      </c>
      <c r="F1635" s="4">
        <v>25597791</v>
      </c>
      <c r="G1635" s="5">
        <v>43182</v>
      </c>
    </row>
    <row r="1636" spans="1:7" x14ac:dyDescent="0.4">
      <c r="A1636">
        <v>36</v>
      </c>
      <c r="B1636" t="s">
        <v>645</v>
      </c>
      <c r="C1636" s="9">
        <v>12.3</v>
      </c>
      <c r="D1636" s="9">
        <v>0.9</v>
      </c>
      <c r="E1636" s="19">
        <v>7.89</v>
      </c>
      <c r="F1636" s="4">
        <v>5761420</v>
      </c>
      <c r="G1636" s="5">
        <v>43182</v>
      </c>
    </row>
    <row r="1637" spans="1:7" x14ac:dyDescent="0.4">
      <c r="A1637">
        <v>37</v>
      </c>
      <c r="B1637" t="s">
        <v>274</v>
      </c>
      <c r="C1637" s="9">
        <v>3.73</v>
      </c>
      <c r="D1637" s="9">
        <v>0.27</v>
      </c>
      <c r="E1637" s="19">
        <v>7.8</v>
      </c>
      <c r="F1637" s="4">
        <v>119042</v>
      </c>
      <c r="G1637" s="5">
        <v>43182</v>
      </c>
    </row>
    <row r="1638" spans="1:7" x14ac:dyDescent="0.4">
      <c r="A1638">
        <v>38</v>
      </c>
      <c r="B1638" t="s">
        <v>534</v>
      </c>
      <c r="C1638" s="9">
        <v>48.43</v>
      </c>
      <c r="D1638" s="9">
        <v>3.5</v>
      </c>
      <c r="E1638" s="19">
        <v>7.78</v>
      </c>
      <c r="F1638" s="4">
        <v>251177</v>
      </c>
      <c r="G1638" s="5">
        <v>43182</v>
      </c>
    </row>
    <row r="1639" spans="1:7" x14ac:dyDescent="0.4">
      <c r="A1639">
        <v>39</v>
      </c>
      <c r="B1639" t="s">
        <v>575</v>
      </c>
      <c r="C1639" s="9">
        <v>17.239999999999998</v>
      </c>
      <c r="D1639" s="9">
        <v>1.24</v>
      </c>
      <c r="E1639" s="19">
        <v>7.75</v>
      </c>
      <c r="F1639" s="4">
        <v>2443542</v>
      </c>
      <c r="G1639" s="5">
        <v>43182</v>
      </c>
    </row>
    <row r="1640" spans="1:7" x14ac:dyDescent="0.4">
      <c r="A1640">
        <v>40</v>
      </c>
      <c r="B1640" t="s">
        <v>462</v>
      </c>
      <c r="C1640" s="9">
        <v>6.31</v>
      </c>
      <c r="D1640" s="9">
        <v>0.45</v>
      </c>
      <c r="E1640" s="19">
        <v>7.68</v>
      </c>
      <c r="F1640" s="4">
        <v>1680541</v>
      </c>
      <c r="G1640" s="5">
        <v>43182</v>
      </c>
    </row>
    <row r="1641" spans="1:7" x14ac:dyDescent="0.4">
      <c r="A1641">
        <v>41</v>
      </c>
      <c r="B1641" t="s">
        <v>709</v>
      </c>
      <c r="C1641" s="9">
        <v>3.98</v>
      </c>
      <c r="D1641" s="9">
        <v>0.28000000000000003</v>
      </c>
      <c r="E1641" s="19">
        <v>7.57</v>
      </c>
      <c r="F1641" s="4">
        <v>362097</v>
      </c>
      <c r="G1641" s="5">
        <v>43182</v>
      </c>
    </row>
    <row r="1642" spans="1:7" x14ac:dyDescent="0.4">
      <c r="A1642">
        <v>42</v>
      </c>
      <c r="B1642" t="s">
        <v>710</v>
      </c>
      <c r="C1642" s="9">
        <v>2.9</v>
      </c>
      <c r="D1642" s="9">
        <v>0.2</v>
      </c>
      <c r="E1642" s="19">
        <v>7.41</v>
      </c>
      <c r="F1642" s="4">
        <v>11832</v>
      </c>
      <c r="G1642" s="5">
        <v>43182</v>
      </c>
    </row>
    <row r="1643" spans="1:7" x14ac:dyDescent="0.4">
      <c r="A1643">
        <v>43</v>
      </c>
      <c r="B1643" t="s">
        <v>711</v>
      </c>
      <c r="C1643" s="9">
        <v>3.65</v>
      </c>
      <c r="D1643" s="9">
        <v>0.25</v>
      </c>
      <c r="E1643" s="19">
        <v>7.35</v>
      </c>
      <c r="F1643" s="4">
        <v>299789</v>
      </c>
      <c r="G1643" s="5">
        <v>43182</v>
      </c>
    </row>
    <row r="1644" spans="1:7" x14ac:dyDescent="0.4">
      <c r="A1644">
        <v>44</v>
      </c>
      <c r="B1644" t="s">
        <v>712</v>
      </c>
      <c r="C1644" s="9">
        <v>2.5099999999999998</v>
      </c>
      <c r="D1644" s="9">
        <v>0.17</v>
      </c>
      <c r="E1644" s="19">
        <v>7.26</v>
      </c>
      <c r="F1644" s="4">
        <v>54940</v>
      </c>
      <c r="G1644" s="5">
        <v>43182</v>
      </c>
    </row>
    <row r="1645" spans="1:7" x14ac:dyDescent="0.4">
      <c r="A1645">
        <v>45</v>
      </c>
      <c r="B1645" t="s">
        <v>465</v>
      </c>
      <c r="C1645" s="9">
        <v>10.97</v>
      </c>
      <c r="D1645" s="9">
        <v>0.74</v>
      </c>
      <c r="E1645" s="19">
        <v>7.23</v>
      </c>
      <c r="F1645" s="4">
        <v>12745</v>
      </c>
      <c r="G1645" s="5">
        <v>43182</v>
      </c>
    </row>
    <row r="1646" spans="1:7" x14ac:dyDescent="0.4">
      <c r="A1646">
        <v>46</v>
      </c>
      <c r="B1646" t="s">
        <v>266</v>
      </c>
      <c r="C1646" s="9">
        <v>5.64</v>
      </c>
      <c r="D1646" s="9">
        <v>0.38</v>
      </c>
      <c r="E1646" s="19">
        <v>7.22</v>
      </c>
      <c r="F1646" s="4">
        <v>27352949</v>
      </c>
      <c r="G1646" s="5">
        <v>43182</v>
      </c>
    </row>
    <row r="1647" spans="1:7" x14ac:dyDescent="0.4">
      <c r="A1647">
        <v>47</v>
      </c>
      <c r="B1647" t="s">
        <v>642</v>
      </c>
      <c r="C1647" s="9">
        <v>5.39</v>
      </c>
      <c r="D1647" s="9">
        <v>0.36</v>
      </c>
      <c r="E1647" s="19">
        <v>7.16</v>
      </c>
      <c r="F1647" s="4">
        <v>3579499</v>
      </c>
      <c r="G1647" s="5">
        <v>43182</v>
      </c>
    </row>
    <row r="1648" spans="1:7" x14ac:dyDescent="0.4">
      <c r="A1648">
        <v>48</v>
      </c>
      <c r="B1648" t="s">
        <v>676</v>
      </c>
      <c r="C1648" s="9">
        <v>2.25</v>
      </c>
      <c r="D1648" s="9">
        <v>0.15</v>
      </c>
      <c r="E1648" s="19">
        <v>7.14</v>
      </c>
      <c r="F1648" s="4">
        <v>50502</v>
      </c>
      <c r="G1648" s="5">
        <v>43182</v>
      </c>
    </row>
    <row r="1649" spans="1:7" x14ac:dyDescent="0.4">
      <c r="A1649">
        <v>49</v>
      </c>
      <c r="B1649" t="s">
        <v>713</v>
      </c>
      <c r="C1649" s="9">
        <v>5.89</v>
      </c>
      <c r="D1649" s="9">
        <v>0.39</v>
      </c>
      <c r="E1649" s="19">
        <v>7.09</v>
      </c>
      <c r="F1649" s="4">
        <v>5611</v>
      </c>
      <c r="G1649" s="5">
        <v>43182</v>
      </c>
    </row>
    <row r="1650" spans="1:7" x14ac:dyDescent="0.4">
      <c r="A1650">
        <v>50</v>
      </c>
      <c r="B1650" t="s">
        <v>474</v>
      </c>
      <c r="C1650" s="9">
        <v>8.84</v>
      </c>
      <c r="D1650" s="9">
        <v>0.57999999999999996</v>
      </c>
      <c r="E1650" s="19">
        <v>7.09</v>
      </c>
      <c r="F1650" s="4">
        <v>22550</v>
      </c>
      <c r="G1650" s="5">
        <v>43182</v>
      </c>
    </row>
    <row r="1651" spans="1:7" x14ac:dyDescent="0.4">
      <c r="A1651">
        <v>51</v>
      </c>
      <c r="B1651" t="s">
        <v>154</v>
      </c>
      <c r="C1651" s="9">
        <v>43</v>
      </c>
      <c r="D1651" s="9">
        <v>2.8</v>
      </c>
      <c r="E1651" s="19">
        <v>6.97</v>
      </c>
      <c r="F1651" s="4">
        <v>27584</v>
      </c>
      <c r="G1651" s="5">
        <v>43182</v>
      </c>
    </row>
    <row r="1652" spans="1:7" x14ac:dyDescent="0.4">
      <c r="A1652">
        <v>52</v>
      </c>
      <c r="B1652" t="s">
        <v>714</v>
      </c>
      <c r="C1652" s="9">
        <v>15.55</v>
      </c>
      <c r="D1652" s="9">
        <v>1</v>
      </c>
      <c r="E1652" s="19">
        <v>6.87</v>
      </c>
      <c r="F1652" s="4">
        <v>161364</v>
      </c>
      <c r="G1652" s="5">
        <v>43182</v>
      </c>
    </row>
    <row r="1653" spans="1:7" x14ac:dyDescent="0.4">
      <c r="A1653">
        <v>53</v>
      </c>
      <c r="B1653" t="s">
        <v>96</v>
      </c>
      <c r="C1653" s="9">
        <v>22.22</v>
      </c>
      <c r="D1653" s="9">
        <v>1.42</v>
      </c>
      <c r="E1653" s="19">
        <v>6.83</v>
      </c>
      <c r="F1653" s="4">
        <v>1747353</v>
      </c>
      <c r="G1653" s="5">
        <v>43182</v>
      </c>
    </row>
    <row r="1654" spans="1:7" x14ac:dyDescent="0.4">
      <c r="A1654">
        <v>54</v>
      </c>
      <c r="B1654" t="s">
        <v>660</v>
      </c>
      <c r="C1654" s="9">
        <v>12.36</v>
      </c>
      <c r="D1654" s="9">
        <v>0.77</v>
      </c>
      <c r="E1654" s="19">
        <v>6.64</v>
      </c>
      <c r="F1654" s="4">
        <v>13241618</v>
      </c>
      <c r="G1654" s="5">
        <v>43182</v>
      </c>
    </row>
    <row r="1655" spans="1:7" x14ac:dyDescent="0.4">
      <c r="A1655">
        <v>55</v>
      </c>
      <c r="B1655" t="s">
        <v>715</v>
      </c>
      <c r="C1655" s="9">
        <v>2.9</v>
      </c>
      <c r="D1655" s="9">
        <v>0.18</v>
      </c>
      <c r="E1655" s="19">
        <v>6.62</v>
      </c>
      <c r="F1655" s="4">
        <v>127431</v>
      </c>
      <c r="G1655" s="5">
        <v>43182</v>
      </c>
    </row>
    <row r="1656" spans="1:7" x14ac:dyDescent="0.4">
      <c r="A1656">
        <v>56</v>
      </c>
      <c r="B1656" t="s">
        <v>716</v>
      </c>
      <c r="C1656" s="9">
        <v>15.83</v>
      </c>
      <c r="D1656" s="9">
        <v>0.98</v>
      </c>
      <c r="E1656" s="19">
        <v>6.6</v>
      </c>
      <c r="F1656" s="4">
        <v>2648</v>
      </c>
      <c r="G1656" s="5">
        <v>43182</v>
      </c>
    </row>
    <row r="1657" spans="1:7" x14ac:dyDescent="0.4">
      <c r="A1657">
        <v>57</v>
      </c>
      <c r="B1657" t="s">
        <v>717</v>
      </c>
      <c r="C1657" s="9">
        <v>10.55</v>
      </c>
      <c r="D1657" s="9">
        <v>0.65</v>
      </c>
      <c r="E1657" s="19">
        <v>6.57</v>
      </c>
      <c r="F1657" s="4">
        <v>1003184</v>
      </c>
      <c r="G1657" s="5">
        <v>43182</v>
      </c>
    </row>
    <row r="1658" spans="1:7" x14ac:dyDescent="0.4">
      <c r="A1658">
        <v>58</v>
      </c>
      <c r="B1658" t="s">
        <v>649</v>
      </c>
      <c r="C1658" s="9">
        <v>3.09</v>
      </c>
      <c r="D1658" s="9">
        <v>0.19</v>
      </c>
      <c r="E1658" s="19">
        <v>6.55</v>
      </c>
      <c r="F1658" s="4">
        <v>536227</v>
      </c>
      <c r="G1658" s="5">
        <v>43182</v>
      </c>
    </row>
    <row r="1659" spans="1:7" x14ac:dyDescent="0.4">
      <c r="A1659">
        <v>59</v>
      </c>
      <c r="B1659" t="s">
        <v>659</v>
      </c>
      <c r="C1659" s="9">
        <v>32.5</v>
      </c>
      <c r="D1659" s="9">
        <v>1.98</v>
      </c>
      <c r="E1659" s="19">
        <v>6.49</v>
      </c>
      <c r="F1659" s="4">
        <v>581033</v>
      </c>
      <c r="G1659" s="5">
        <v>43182</v>
      </c>
    </row>
    <row r="1660" spans="1:7" x14ac:dyDescent="0.4">
      <c r="A1660">
        <v>60</v>
      </c>
      <c r="B1660" t="s">
        <v>653</v>
      </c>
      <c r="C1660" s="9">
        <v>31.59</v>
      </c>
      <c r="D1660" s="9">
        <v>1.91</v>
      </c>
      <c r="E1660" s="19">
        <v>6.44</v>
      </c>
      <c r="F1660" s="4">
        <v>8487095</v>
      </c>
      <c r="G1660" s="5">
        <v>43182</v>
      </c>
    </row>
    <row r="1661" spans="1:7" x14ac:dyDescent="0.4">
      <c r="A1661">
        <v>61</v>
      </c>
      <c r="B1661" t="s">
        <v>573</v>
      </c>
      <c r="C1661" s="9">
        <v>3.31</v>
      </c>
      <c r="D1661" s="9">
        <v>0.2</v>
      </c>
      <c r="E1661" s="19">
        <v>6.43</v>
      </c>
      <c r="F1661" s="4">
        <v>3126380</v>
      </c>
      <c r="G1661" s="5">
        <v>43182</v>
      </c>
    </row>
    <row r="1662" spans="1:7" x14ac:dyDescent="0.4">
      <c r="A1662">
        <v>62</v>
      </c>
      <c r="B1662" t="s">
        <v>650</v>
      </c>
      <c r="C1662" s="9">
        <v>11.98</v>
      </c>
      <c r="D1662" s="9">
        <v>0.72</v>
      </c>
      <c r="E1662" s="19">
        <v>6.39</v>
      </c>
      <c r="F1662" s="4">
        <v>21482225</v>
      </c>
      <c r="G1662" s="5">
        <v>43182</v>
      </c>
    </row>
    <row r="1663" spans="1:7" x14ac:dyDescent="0.4">
      <c r="A1663">
        <v>63</v>
      </c>
      <c r="B1663" t="s">
        <v>582</v>
      </c>
      <c r="C1663" s="9">
        <v>14.45</v>
      </c>
      <c r="D1663" s="9">
        <v>0.86</v>
      </c>
      <c r="E1663" s="19">
        <v>6.33</v>
      </c>
      <c r="F1663" s="4">
        <v>16048940</v>
      </c>
      <c r="G1663" s="5">
        <v>43182</v>
      </c>
    </row>
    <row r="1664" spans="1:7" x14ac:dyDescent="0.4">
      <c r="A1664">
        <v>64</v>
      </c>
      <c r="B1664" t="s">
        <v>718</v>
      </c>
      <c r="C1664" s="9">
        <v>30.16</v>
      </c>
      <c r="D1664" s="9">
        <v>1.79</v>
      </c>
      <c r="E1664" s="19">
        <v>6.31</v>
      </c>
      <c r="F1664" s="4">
        <v>2039</v>
      </c>
      <c r="G1664" s="5">
        <v>43182</v>
      </c>
    </row>
    <row r="1665" spans="1:7" x14ac:dyDescent="0.4">
      <c r="A1665">
        <v>65</v>
      </c>
      <c r="B1665" t="s">
        <v>719</v>
      </c>
      <c r="C1665" s="9">
        <v>3.08</v>
      </c>
      <c r="D1665" s="9">
        <v>0.18</v>
      </c>
      <c r="E1665" s="19">
        <v>6.21</v>
      </c>
      <c r="F1665" s="4">
        <v>631673</v>
      </c>
      <c r="G1665" s="5">
        <v>43182</v>
      </c>
    </row>
    <row r="1666" spans="1:7" x14ac:dyDescent="0.4">
      <c r="A1666">
        <v>66</v>
      </c>
      <c r="B1666" t="s">
        <v>644</v>
      </c>
      <c r="C1666" s="9">
        <v>8.56</v>
      </c>
      <c r="D1666" s="9">
        <v>0.49</v>
      </c>
      <c r="E1666" s="19">
        <v>6.07</v>
      </c>
      <c r="F1666" s="4">
        <v>2758660</v>
      </c>
      <c r="G1666" s="5">
        <v>43182</v>
      </c>
    </row>
    <row r="1667" spans="1:7" x14ac:dyDescent="0.4">
      <c r="A1667">
        <v>67</v>
      </c>
      <c r="B1667" t="s">
        <v>720</v>
      </c>
      <c r="C1667" s="9">
        <v>37.4</v>
      </c>
      <c r="D1667" s="9">
        <v>2.14</v>
      </c>
      <c r="E1667" s="19">
        <v>6.07</v>
      </c>
      <c r="F1667" s="4">
        <v>18451</v>
      </c>
      <c r="G1667" s="5">
        <v>43182</v>
      </c>
    </row>
    <row r="1668" spans="1:7" x14ac:dyDescent="0.4">
      <c r="A1668">
        <v>68</v>
      </c>
      <c r="B1668" t="s">
        <v>721</v>
      </c>
      <c r="C1668" s="9">
        <v>5</v>
      </c>
      <c r="D1668" s="9">
        <v>0.28000000000000003</v>
      </c>
      <c r="E1668" s="19">
        <v>5.99</v>
      </c>
      <c r="F1668" s="4">
        <v>28657</v>
      </c>
      <c r="G1668" s="5">
        <v>43182</v>
      </c>
    </row>
    <row r="1669" spans="1:7" x14ac:dyDescent="0.4">
      <c r="A1669">
        <v>69</v>
      </c>
      <c r="B1669" t="s">
        <v>722</v>
      </c>
      <c r="C1669" s="9">
        <v>2.2799999999999998</v>
      </c>
      <c r="D1669" s="9">
        <v>0.13</v>
      </c>
      <c r="E1669" s="19">
        <v>5.98</v>
      </c>
      <c r="F1669" s="4">
        <v>72079</v>
      </c>
      <c r="G1669" s="5">
        <v>43182</v>
      </c>
    </row>
    <row r="1670" spans="1:7" x14ac:dyDescent="0.4">
      <c r="A1670">
        <v>70</v>
      </c>
      <c r="B1670" t="s">
        <v>441</v>
      </c>
      <c r="C1670" s="9">
        <v>21.16</v>
      </c>
      <c r="D1670" s="9">
        <v>1.19</v>
      </c>
      <c r="E1670" s="19">
        <v>5.93</v>
      </c>
      <c r="F1670" s="4">
        <v>296506</v>
      </c>
      <c r="G1670" s="5">
        <v>43182</v>
      </c>
    </row>
    <row r="1671" spans="1:7" x14ac:dyDescent="0.4">
      <c r="A1671">
        <v>71</v>
      </c>
      <c r="B1671" t="s">
        <v>723</v>
      </c>
      <c r="C1671" s="9">
        <v>9.65</v>
      </c>
      <c r="D1671" s="9">
        <v>0.54</v>
      </c>
      <c r="E1671" s="19">
        <v>5.93</v>
      </c>
      <c r="F1671" s="4">
        <v>5322968</v>
      </c>
      <c r="G1671" s="5">
        <v>43182</v>
      </c>
    </row>
    <row r="1672" spans="1:7" x14ac:dyDescent="0.4">
      <c r="A1672">
        <v>72</v>
      </c>
      <c r="B1672" t="s">
        <v>453</v>
      </c>
      <c r="C1672" s="9">
        <v>2.34</v>
      </c>
      <c r="D1672" s="9">
        <v>0.13</v>
      </c>
      <c r="E1672" s="19">
        <v>5.88</v>
      </c>
      <c r="F1672" s="4">
        <v>37844</v>
      </c>
      <c r="G1672" s="5">
        <v>43182</v>
      </c>
    </row>
    <row r="1673" spans="1:7" x14ac:dyDescent="0.4">
      <c r="A1673">
        <v>73</v>
      </c>
      <c r="B1673" t="s">
        <v>656</v>
      </c>
      <c r="C1673" s="9">
        <v>14.28</v>
      </c>
      <c r="D1673" s="9">
        <v>0.79</v>
      </c>
      <c r="E1673" s="19">
        <v>5.87</v>
      </c>
      <c r="F1673" s="4">
        <v>23824</v>
      </c>
      <c r="G1673" s="5">
        <v>43182</v>
      </c>
    </row>
    <row r="1674" spans="1:7" x14ac:dyDescent="0.4">
      <c r="A1674">
        <v>74</v>
      </c>
      <c r="B1674" t="s">
        <v>724</v>
      </c>
      <c r="C1674" s="9">
        <v>3.84</v>
      </c>
      <c r="D1674" s="9">
        <v>0.21</v>
      </c>
      <c r="E1674" s="19">
        <v>5.79</v>
      </c>
      <c r="F1674" s="4">
        <v>12917965</v>
      </c>
      <c r="G1674" s="5">
        <v>43182</v>
      </c>
    </row>
    <row r="1675" spans="1:7" x14ac:dyDescent="0.4">
      <c r="A1675">
        <v>75</v>
      </c>
      <c r="B1675" t="s">
        <v>442</v>
      </c>
      <c r="C1675" s="9">
        <v>41.4</v>
      </c>
      <c r="D1675" s="9">
        <v>2.21</v>
      </c>
      <c r="E1675" s="19">
        <v>5.64</v>
      </c>
      <c r="F1675" s="4">
        <v>4950230</v>
      </c>
      <c r="G1675" s="5">
        <v>43182</v>
      </c>
    </row>
    <row r="1676" spans="1:7" x14ac:dyDescent="0.4">
      <c r="A1676">
        <v>76</v>
      </c>
      <c r="B1676" t="s">
        <v>351</v>
      </c>
      <c r="C1676" s="9">
        <v>3.59</v>
      </c>
      <c r="D1676" s="9">
        <v>0.19</v>
      </c>
      <c r="E1676" s="19">
        <v>5.59</v>
      </c>
      <c r="F1676" s="4">
        <v>8427935</v>
      </c>
      <c r="G1676" s="5">
        <v>43182</v>
      </c>
    </row>
    <row r="1677" spans="1:7" x14ac:dyDescent="0.4">
      <c r="A1677">
        <v>77</v>
      </c>
      <c r="B1677" t="s">
        <v>725</v>
      </c>
      <c r="C1677" s="9">
        <v>34.840000000000003</v>
      </c>
      <c r="D1677" s="9">
        <v>1.83</v>
      </c>
      <c r="E1677" s="19">
        <v>5.54</v>
      </c>
      <c r="F1677" s="4">
        <v>1532133</v>
      </c>
      <c r="G1677" s="5">
        <v>43182</v>
      </c>
    </row>
    <row r="1678" spans="1:7" x14ac:dyDescent="0.4">
      <c r="A1678">
        <v>78</v>
      </c>
      <c r="B1678" t="s">
        <v>726</v>
      </c>
      <c r="C1678" s="9">
        <v>2.4900000000000002</v>
      </c>
      <c r="D1678" s="9">
        <v>0.13</v>
      </c>
      <c r="E1678" s="19">
        <v>5.51</v>
      </c>
      <c r="F1678" s="4">
        <v>11857</v>
      </c>
      <c r="G1678" s="5">
        <v>43182</v>
      </c>
    </row>
    <row r="1679" spans="1:7" x14ac:dyDescent="0.4">
      <c r="A1679">
        <v>79</v>
      </c>
      <c r="B1679" t="s">
        <v>646</v>
      </c>
      <c r="C1679" s="9">
        <v>21.31</v>
      </c>
      <c r="D1679" s="9">
        <v>1.1000000000000001</v>
      </c>
      <c r="E1679" s="19">
        <v>5.44</v>
      </c>
      <c r="F1679" s="4">
        <v>9542425</v>
      </c>
      <c r="G1679" s="5">
        <v>43182</v>
      </c>
    </row>
    <row r="1680" spans="1:7" x14ac:dyDescent="0.4">
      <c r="A1680">
        <v>80</v>
      </c>
      <c r="B1680" t="s">
        <v>727</v>
      </c>
      <c r="C1680" s="9">
        <v>3.9</v>
      </c>
      <c r="D1680" s="9">
        <v>0.2</v>
      </c>
      <c r="E1680" s="19">
        <v>5.41</v>
      </c>
      <c r="F1680" s="4">
        <v>10693</v>
      </c>
      <c r="G1680" s="5">
        <v>43182</v>
      </c>
    </row>
    <row r="1681" spans="1:7" x14ac:dyDescent="0.4">
      <c r="A1681">
        <v>81</v>
      </c>
      <c r="B1681" t="s">
        <v>155</v>
      </c>
      <c r="C1681" s="9">
        <v>19.12</v>
      </c>
      <c r="D1681" s="9">
        <v>0.98</v>
      </c>
      <c r="E1681" s="19">
        <v>5.4</v>
      </c>
      <c r="F1681" s="4">
        <v>244858</v>
      </c>
      <c r="G1681" s="5">
        <v>43182</v>
      </c>
    </row>
    <row r="1682" spans="1:7" x14ac:dyDescent="0.4">
      <c r="A1682">
        <v>82</v>
      </c>
      <c r="B1682" t="s">
        <v>491</v>
      </c>
      <c r="C1682" s="9">
        <v>15.44</v>
      </c>
      <c r="D1682" s="9">
        <v>0.79</v>
      </c>
      <c r="E1682" s="19">
        <v>5.39</v>
      </c>
      <c r="F1682" s="4">
        <v>26006</v>
      </c>
      <c r="G1682" s="5">
        <v>43182</v>
      </c>
    </row>
    <row r="1683" spans="1:7" x14ac:dyDescent="0.4">
      <c r="A1683">
        <v>83</v>
      </c>
      <c r="B1683" t="s">
        <v>29</v>
      </c>
      <c r="C1683" s="9">
        <v>14.88</v>
      </c>
      <c r="D1683" s="9">
        <v>0.76</v>
      </c>
      <c r="E1683" s="19">
        <v>5.38</v>
      </c>
      <c r="F1683" s="4">
        <v>172926</v>
      </c>
      <c r="G1683" s="5">
        <v>43182</v>
      </c>
    </row>
    <row r="1684" spans="1:7" x14ac:dyDescent="0.4">
      <c r="A1684">
        <v>84</v>
      </c>
      <c r="B1684" t="s">
        <v>728</v>
      </c>
      <c r="C1684" s="9">
        <v>14.74</v>
      </c>
      <c r="D1684" s="9">
        <v>0.75</v>
      </c>
      <c r="E1684" s="19">
        <v>5.36</v>
      </c>
      <c r="F1684" s="4">
        <v>99291</v>
      </c>
      <c r="G1684" s="5">
        <v>43182</v>
      </c>
    </row>
    <row r="1685" spans="1:7" x14ac:dyDescent="0.4">
      <c r="A1685">
        <v>85</v>
      </c>
      <c r="B1685" t="s">
        <v>467</v>
      </c>
      <c r="C1685" s="9">
        <v>13.04</v>
      </c>
      <c r="D1685" s="9">
        <v>0.66</v>
      </c>
      <c r="E1685" s="19">
        <v>5.33</v>
      </c>
      <c r="F1685" s="4">
        <v>19817</v>
      </c>
      <c r="G1685" s="5">
        <v>43182</v>
      </c>
    </row>
    <row r="1686" spans="1:7" x14ac:dyDescent="0.4">
      <c r="A1686">
        <v>86</v>
      </c>
      <c r="B1686" t="s">
        <v>729</v>
      </c>
      <c r="C1686" s="9">
        <v>8.9499999999999993</v>
      </c>
      <c r="D1686" s="9">
        <v>0.45</v>
      </c>
      <c r="E1686" s="19">
        <v>5.29</v>
      </c>
      <c r="F1686" s="4">
        <v>5788</v>
      </c>
      <c r="G1686" s="5">
        <v>43182</v>
      </c>
    </row>
    <row r="1687" spans="1:7" x14ac:dyDescent="0.4">
      <c r="A1687">
        <v>87</v>
      </c>
      <c r="B1687" t="s">
        <v>730</v>
      </c>
      <c r="C1687" s="9">
        <v>3.99</v>
      </c>
      <c r="D1687" s="9">
        <v>0.2</v>
      </c>
      <c r="E1687" s="19">
        <v>5.28</v>
      </c>
      <c r="F1687" s="4">
        <v>2736930</v>
      </c>
      <c r="G1687" s="5">
        <v>43182</v>
      </c>
    </row>
    <row r="1688" spans="1:7" x14ac:dyDescent="0.4">
      <c r="A1688">
        <v>88</v>
      </c>
      <c r="B1688" t="s">
        <v>661</v>
      </c>
      <c r="C1688" s="9">
        <v>22.1</v>
      </c>
      <c r="D1688" s="9">
        <v>1.1000000000000001</v>
      </c>
      <c r="E1688" s="19">
        <v>5.24</v>
      </c>
      <c r="F1688" s="4">
        <v>69240</v>
      </c>
      <c r="G1688" s="5">
        <v>43182</v>
      </c>
    </row>
    <row r="1689" spans="1:7" x14ac:dyDescent="0.4">
      <c r="A1689">
        <v>89</v>
      </c>
      <c r="B1689" t="s">
        <v>731</v>
      </c>
      <c r="C1689" s="9">
        <v>12.1</v>
      </c>
      <c r="D1689" s="9">
        <v>0.6</v>
      </c>
      <c r="E1689" s="19">
        <v>5.22</v>
      </c>
      <c r="F1689" s="4">
        <v>2563</v>
      </c>
      <c r="G1689" s="5">
        <v>43182</v>
      </c>
    </row>
    <row r="1690" spans="1:7" x14ac:dyDescent="0.4">
      <c r="A1690">
        <v>90</v>
      </c>
      <c r="B1690" t="s">
        <v>732</v>
      </c>
      <c r="C1690" s="9">
        <v>28.29</v>
      </c>
      <c r="D1690" s="9">
        <v>1.4</v>
      </c>
      <c r="E1690" s="19">
        <v>5.21</v>
      </c>
      <c r="F1690" s="4">
        <v>3256198</v>
      </c>
      <c r="G1690" s="5">
        <v>43182</v>
      </c>
    </row>
    <row r="1691" spans="1:7" x14ac:dyDescent="0.4">
      <c r="A1691">
        <v>91</v>
      </c>
      <c r="B1691" t="s">
        <v>674</v>
      </c>
      <c r="C1691" s="9">
        <v>12.56</v>
      </c>
      <c r="D1691" s="9">
        <v>0.62</v>
      </c>
      <c r="E1691" s="19">
        <v>5.19</v>
      </c>
      <c r="F1691" s="4">
        <v>11639494</v>
      </c>
      <c r="G1691" s="5">
        <v>43182</v>
      </c>
    </row>
    <row r="1692" spans="1:7" x14ac:dyDescent="0.4">
      <c r="A1692">
        <v>92</v>
      </c>
      <c r="B1692" t="s">
        <v>683</v>
      </c>
      <c r="C1692" s="9">
        <v>21.85</v>
      </c>
      <c r="D1692" s="9">
        <v>1.06</v>
      </c>
      <c r="E1692" s="19">
        <v>5.0999999999999996</v>
      </c>
      <c r="F1692" s="4">
        <v>132043</v>
      </c>
      <c r="G1692" s="5">
        <v>43182</v>
      </c>
    </row>
    <row r="1693" spans="1:7" x14ac:dyDescent="0.4">
      <c r="A1693">
        <v>93</v>
      </c>
      <c r="B1693" t="s">
        <v>733</v>
      </c>
      <c r="C1693" s="9">
        <v>5.4</v>
      </c>
      <c r="D1693" s="9">
        <v>0.26</v>
      </c>
      <c r="E1693" s="19">
        <v>5.0599999999999996</v>
      </c>
      <c r="F1693" s="4">
        <v>2476659</v>
      </c>
      <c r="G1693" s="5">
        <v>43182</v>
      </c>
    </row>
    <row r="1694" spans="1:7" x14ac:dyDescent="0.4">
      <c r="A1694">
        <v>94</v>
      </c>
      <c r="B1694" t="s">
        <v>654</v>
      </c>
      <c r="C1694" s="9">
        <v>10.77</v>
      </c>
      <c r="D1694" s="9">
        <v>0.5</v>
      </c>
      <c r="E1694" s="19">
        <v>4.91</v>
      </c>
      <c r="F1694" s="4">
        <v>4215</v>
      </c>
      <c r="G1694" s="5">
        <v>43182</v>
      </c>
    </row>
    <row r="1695" spans="1:7" x14ac:dyDescent="0.4">
      <c r="A1695">
        <v>95</v>
      </c>
      <c r="B1695" t="s">
        <v>734</v>
      </c>
      <c r="C1695" s="9">
        <v>28.85</v>
      </c>
      <c r="D1695" s="9">
        <v>1.35</v>
      </c>
      <c r="E1695" s="19">
        <v>4.91</v>
      </c>
      <c r="F1695" s="4">
        <v>26808</v>
      </c>
      <c r="G1695" s="5">
        <v>43182</v>
      </c>
    </row>
    <row r="1696" spans="1:7" x14ac:dyDescent="0.4">
      <c r="A1696">
        <v>96</v>
      </c>
      <c r="B1696" t="s">
        <v>455</v>
      </c>
      <c r="C1696" s="9">
        <v>115.07</v>
      </c>
      <c r="D1696" s="9">
        <v>5.37</v>
      </c>
      <c r="E1696" s="19">
        <v>4.9000000000000004</v>
      </c>
      <c r="F1696" s="4">
        <v>354669</v>
      </c>
      <c r="G1696" s="5">
        <v>43182</v>
      </c>
    </row>
    <row r="1697" spans="1:7" x14ac:dyDescent="0.4">
      <c r="A1697">
        <v>97</v>
      </c>
      <c r="B1697" t="s">
        <v>651</v>
      </c>
      <c r="C1697" s="9">
        <v>16.27</v>
      </c>
      <c r="D1697" s="9">
        <v>0.75</v>
      </c>
      <c r="E1697" s="19">
        <v>4.8499999999999996</v>
      </c>
      <c r="F1697" s="4">
        <v>185872</v>
      </c>
      <c r="G1697" s="5">
        <v>43182</v>
      </c>
    </row>
    <row r="1698" spans="1:7" x14ac:dyDescent="0.4">
      <c r="A1698">
        <v>98</v>
      </c>
      <c r="B1698" t="s">
        <v>440</v>
      </c>
      <c r="C1698" s="9">
        <v>49.76</v>
      </c>
      <c r="D1698" s="9">
        <v>2.29</v>
      </c>
      <c r="E1698" s="19">
        <v>4.82</v>
      </c>
      <c r="F1698" s="4">
        <v>53891188</v>
      </c>
      <c r="G1698" s="5">
        <v>43182</v>
      </c>
    </row>
    <row r="1699" spans="1:7" x14ac:dyDescent="0.4">
      <c r="A1699">
        <v>99</v>
      </c>
      <c r="B1699" t="s">
        <v>431</v>
      </c>
      <c r="C1699" s="9">
        <v>12.78</v>
      </c>
      <c r="D1699" s="9">
        <v>0.57999999999999996</v>
      </c>
      <c r="E1699" s="19">
        <v>4.75</v>
      </c>
      <c r="F1699" s="4">
        <v>2450</v>
      </c>
      <c r="G1699" s="5">
        <v>43182</v>
      </c>
    </row>
    <row r="1700" spans="1:7" x14ac:dyDescent="0.4">
      <c r="A1700">
        <v>100</v>
      </c>
      <c r="B1700" t="s">
        <v>735</v>
      </c>
      <c r="C1700" s="9">
        <v>13.9</v>
      </c>
      <c r="D1700" s="9">
        <v>0.63</v>
      </c>
      <c r="E1700" s="19">
        <v>4.75</v>
      </c>
      <c r="F1700" s="4">
        <v>9747449</v>
      </c>
      <c r="G1700" s="5">
        <v>43182</v>
      </c>
    </row>
    <row r="1701" spans="1:7" x14ac:dyDescent="0.4">
      <c r="A1701">
        <v>1</v>
      </c>
      <c r="B1701" t="s">
        <v>693</v>
      </c>
      <c r="C1701" s="9">
        <v>28.48</v>
      </c>
      <c r="D1701" s="9">
        <v>7.48</v>
      </c>
      <c r="E1701" s="19">
        <v>35.619999999999997</v>
      </c>
      <c r="F1701" s="4">
        <v>55737937</v>
      </c>
      <c r="G1701" s="5">
        <v>43182</v>
      </c>
    </row>
    <row r="1702" spans="1:7" x14ac:dyDescent="0.4">
      <c r="A1702">
        <v>2</v>
      </c>
      <c r="B1702" t="s">
        <v>317</v>
      </c>
      <c r="C1702" s="9">
        <v>20.97</v>
      </c>
      <c r="D1702" s="9">
        <v>4.97</v>
      </c>
      <c r="E1702" s="19">
        <v>31.06</v>
      </c>
      <c r="F1702" s="4">
        <v>185372</v>
      </c>
      <c r="G1702" s="5">
        <v>43185</v>
      </c>
    </row>
    <row r="1703" spans="1:7" x14ac:dyDescent="0.4">
      <c r="A1703">
        <v>3</v>
      </c>
      <c r="B1703" t="s">
        <v>736</v>
      </c>
      <c r="C1703" s="9">
        <v>40.03</v>
      </c>
      <c r="D1703" s="9">
        <v>6.52</v>
      </c>
      <c r="E1703" s="19">
        <v>19.46</v>
      </c>
      <c r="F1703" s="4">
        <v>13520744</v>
      </c>
      <c r="G1703" s="5">
        <v>43185</v>
      </c>
    </row>
    <row r="1704" spans="1:7" x14ac:dyDescent="0.4">
      <c r="A1704">
        <v>4</v>
      </c>
      <c r="B1704" t="s">
        <v>400</v>
      </c>
      <c r="C1704" s="9">
        <v>3.17</v>
      </c>
      <c r="D1704" s="9">
        <v>0.49</v>
      </c>
      <c r="E1704" s="19">
        <v>18.28</v>
      </c>
      <c r="F1704" s="4">
        <v>2002737</v>
      </c>
      <c r="G1704" s="5">
        <v>43185</v>
      </c>
    </row>
    <row r="1705" spans="1:7" x14ac:dyDescent="0.4">
      <c r="A1705">
        <v>5</v>
      </c>
      <c r="B1705" t="s">
        <v>737</v>
      </c>
      <c r="C1705" s="9">
        <v>16.8</v>
      </c>
      <c r="D1705" s="9">
        <v>2.4500000000000002</v>
      </c>
      <c r="E1705" s="19">
        <v>17.07</v>
      </c>
      <c r="F1705" s="4">
        <v>8272127</v>
      </c>
      <c r="G1705" s="5">
        <v>43185</v>
      </c>
    </row>
    <row r="1706" spans="1:7" x14ac:dyDescent="0.4">
      <c r="A1706">
        <v>6</v>
      </c>
      <c r="B1706" t="s">
        <v>237</v>
      </c>
      <c r="C1706" s="9">
        <v>44.8</v>
      </c>
      <c r="D1706" s="9">
        <v>6.08</v>
      </c>
      <c r="E1706" s="19">
        <v>15.7</v>
      </c>
      <c r="F1706" s="4">
        <v>1126502</v>
      </c>
      <c r="G1706" s="5">
        <v>43185</v>
      </c>
    </row>
    <row r="1707" spans="1:7" x14ac:dyDescent="0.4">
      <c r="A1707">
        <v>7</v>
      </c>
      <c r="B1707" t="s">
        <v>738</v>
      </c>
      <c r="C1707" s="9">
        <v>2.3199999999999998</v>
      </c>
      <c r="D1707" s="9">
        <v>0.3</v>
      </c>
      <c r="E1707" s="19">
        <v>14.85</v>
      </c>
      <c r="F1707" s="4">
        <v>408983</v>
      </c>
      <c r="G1707" s="5">
        <v>43185</v>
      </c>
    </row>
    <row r="1708" spans="1:7" x14ac:dyDescent="0.4">
      <c r="A1708">
        <v>8</v>
      </c>
      <c r="B1708" t="s">
        <v>739</v>
      </c>
      <c r="C1708" s="9">
        <v>9.23</v>
      </c>
      <c r="D1708" s="9">
        <v>1.1200000000000001</v>
      </c>
      <c r="E1708" s="19">
        <v>13.81</v>
      </c>
      <c r="F1708" s="4">
        <v>59979</v>
      </c>
      <c r="G1708" s="5">
        <v>43185</v>
      </c>
    </row>
    <row r="1709" spans="1:7" x14ac:dyDescent="0.4">
      <c r="A1709">
        <v>9</v>
      </c>
      <c r="B1709" t="s">
        <v>740</v>
      </c>
      <c r="C1709" s="9">
        <v>3.32</v>
      </c>
      <c r="D1709" s="9">
        <v>0.4</v>
      </c>
      <c r="E1709" s="19">
        <v>13.7</v>
      </c>
      <c r="F1709" s="4">
        <v>273497</v>
      </c>
      <c r="G1709" s="5">
        <v>43185</v>
      </c>
    </row>
    <row r="1710" spans="1:7" x14ac:dyDescent="0.4">
      <c r="A1710">
        <v>10</v>
      </c>
      <c r="B1710" t="s">
        <v>741</v>
      </c>
      <c r="C1710" s="9">
        <v>2.35</v>
      </c>
      <c r="D1710" s="9">
        <v>0.28000000000000003</v>
      </c>
      <c r="E1710" s="19">
        <v>13.25</v>
      </c>
      <c r="F1710" s="4">
        <v>2018112</v>
      </c>
      <c r="G1710" s="5">
        <v>43185</v>
      </c>
    </row>
    <row r="1711" spans="1:7" x14ac:dyDescent="0.4">
      <c r="A1711">
        <v>11</v>
      </c>
      <c r="B1711" t="s">
        <v>742</v>
      </c>
      <c r="C1711" s="9">
        <v>172.49</v>
      </c>
      <c r="D1711" s="9">
        <v>19.27</v>
      </c>
      <c r="E1711" s="19">
        <v>12.58</v>
      </c>
      <c r="F1711" s="4">
        <v>1252512</v>
      </c>
      <c r="G1711" s="5">
        <v>43185</v>
      </c>
    </row>
    <row r="1712" spans="1:7" x14ac:dyDescent="0.4">
      <c r="A1712">
        <v>12</v>
      </c>
      <c r="B1712" t="s">
        <v>743</v>
      </c>
      <c r="C1712" s="9">
        <v>17.09</v>
      </c>
      <c r="D1712" s="9">
        <v>1.84</v>
      </c>
      <c r="E1712" s="19">
        <v>12.07</v>
      </c>
      <c r="F1712" s="4">
        <v>1059693</v>
      </c>
      <c r="G1712" s="5">
        <v>43185</v>
      </c>
    </row>
    <row r="1713" spans="1:7" x14ac:dyDescent="0.4">
      <c r="A1713">
        <v>13</v>
      </c>
      <c r="B1713" t="s">
        <v>527</v>
      </c>
      <c r="C1713" s="9">
        <v>8.25</v>
      </c>
      <c r="D1713" s="9">
        <v>0.85</v>
      </c>
      <c r="E1713" s="19">
        <v>11.49</v>
      </c>
      <c r="F1713" s="4">
        <v>838815</v>
      </c>
      <c r="G1713" s="5">
        <v>43185</v>
      </c>
    </row>
    <row r="1714" spans="1:7" x14ac:dyDescent="0.4">
      <c r="A1714">
        <v>14</v>
      </c>
      <c r="B1714" t="s">
        <v>744</v>
      </c>
      <c r="C1714" s="9">
        <v>122.28</v>
      </c>
      <c r="D1714" s="9">
        <v>12.54</v>
      </c>
      <c r="E1714" s="19">
        <v>11.43</v>
      </c>
      <c r="F1714" s="4">
        <v>490045</v>
      </c>
      <c r="G1714" s="5">
        <v>43185</v>
      </c>
    </row>
    <row r="1715" spans="1:7" x14ac:dyDescent="0.4">
      <c r="A1715">
        <v>15</v>
      </c>
      <c r="B1715" t="s">
        <v>745</v>
      </c>
      <c r="C1715" s="9">
        <v>156.22</v>
      </c>
      <c r="D1715" s="9">
        <v>15.8</v>
      </c>
      <c r="E1715" s="19">
        <v>11.25</v>
      </c>
      <c r="F1715" s="4">
        <v>7571117</v>
      </c>
      <c r="G1715" s="5">
        <v>43185</v>
      </c>
    </row>
    <row r="1716" spans="1:7" x14ac:dyDescent="0.4">
      <c r="A1716">
        <v>16</v>
      </c>
      <c r="B1716" t="s">
        <v>399</v>
      </c>
      <c r="C1716" s="9">
        <v>6.45</v>
      </c>
      <c r="D1716" s="9">
        <v>0.65</v>
      </c>
      <c r="E1716" s="19">
        <v>11.21</v>
      </c>
      <c r="F1716" s="4">
        <v>256164</v>
      </c>
      <c r="G1716" s="5">
        <v>43185</v>
      </c>
    </row>
    <row r="1717" spans="1:7" x14ac:dyDescent="0.4">
      <c r="A1717">
        <v>17</v>
      </c>
      <c r="B1717" t="s">
        <v>746</v>
      </c>
      <c r="C1717" s="9">
        <v>35.08</v>
      </c>
      <c r="D1717" s="9">
        <v>3.52</v>
      </c>
      <c r="E1717" s="19">
        <v>11.15</v>
      </c>
      <c r="F1717" s="4">
        <v>1509661</v>
      </c>
      <c r="G1717" s="5">
        <v>43185</v>
      </c>
    </row>
    <row r="1718" spans="1:7" x14ac:dyDescent="0.4">
      <c r="A1718">
        <v>18</v>
      </c>
      <c r="B1718" t="s">
        <v>515</v>
      </c>
      <c r="C1718" s="9">
        <v>20.54</v>
      </c>
      <c r="D1718" s="9">
        <v>2.04</v>
      </c>
      <c r="E1718" s="19">
        <v>11</v>
      </c>
      <c r="F1718" s="4">
        <v>6606</v>
      </c>
      <c r="G1718" s="5">
        <v>43185</v>
      </c>
    </row>
    <row r="1719" spans="1:7" x14ac:dyDescent="0.4">
      <c r="A1719">
        <v>19</v>
      </c>
      <c r="B1719" t="s">
        <v>747</v>
      </c>
      <c r="C1719" s="9">
        <v>56.46</v>
      </c>
      <c r="D1719" s="9">
        <v>5.49</v>
      </c>
      <c r="E1719" s="19">
        <v>10.78</v>
      </c>
      <c r="F1719" s="4">
        <v>29534</v>
      </c>
      <c r="G1719" s="5">
        <v>43185</v>
      </c>
    </row>
    <row r="1720" spans="1:7" x14ac:dyDescent="0.4">
      <c r="A1720">
        <v>20</v>
      </c>
      <c r="B1720" t="s">
        <v>592</v>
      </c>
      <c r="C1720" s="9">
        <v>4.9400000000000004</v>
      </c>
      <c r="D1720" s="9">
        <v>0.47</v>
      </c>
      <c r="E1720" s="19">
        <v>10.51</v>
      </c>
      <c r="F1720" s="4">
        <v>1699593</v>
      </c>
      <c r="G1720" s="5">
        <v>43185</v>
      </c>
    </row>
    <row r="1721" spans="1:7" x14ac:dyDescent="0.4">
      <c r="A1721">
        <v>21</v>
      </c>
      <c r="B1721" t="s">
        <v>336</v>
      </c>
      <c r="C1721" s="9">
        <v>54</v>
      </c>
      <c r="D1721" s="9">
        <v>5.08</v>
      </c>
      <c r="E1721" s="19">
        <v>10.38</v>
      </c>
      <c r="F1721" s="4">
        <v>2551607</v>
      </c>
      <c r="G1721" s="5">
        <v>43185</v>
      </c>
    </row>
    <row r="1722" spans="1:7" x14ac:dyDescent="0.4">
      <c r="A1722">
        <v>22</v>
      </c>
      <c r="B1722" t="s">
        <v>748</v>
      </c>
      <c r="C1722" s="9">
        <v>56.5</v>
      </c>
      <c r="D1722" s="9">
        <v>5.29</v>
      </c>
      <c r="E1722" s="19">
        <v>10.33</v>
      </c>
      <c r="F1722" s="4">
        <v>127145</v>
      </c>
      <c r="G1722" s="5">
        <v>43185</v>
      </c>
    </row>
    <row r="1723" spans="1:7" x14ac:dyDescent="0.4">
      <c r="A1723">
        <v>23</v>
      </c>
      <c r="B1723" t="s">
        <v>252</v>
      </c>
      <c r="C1723" s="9">
        <v>4.2</v>
      </c>
      <c r="D1723" s="9">
        <v>0.39</v>
      </c>
      <c r="E1723" s="19">
        <v>10.24</v>
      </c>
      <c r="F1723" s="4">
        <v>164190</v>
      </c>
      <c r="G1723" s="5">
        <v>43185</v>
      </c>
    </row>
    <row r="1724" spans="1:7" x14ac:dyDescent="0.4">
      <c r="A1724">
        <v>24</v>
      </c>
      <c r="B1724" t="s">
        <v>138</v>
      </c>
      <c r="C1724" s="9">
        <v>11.21</v>
      </c>
      <c r="D1724" s="9">
        <v>1.01</v>
      </c>
      <c r="E1724" s="19">
        <v>9.9</v>
      </c>
      <c r="F1724" s="4">
        <v>111418</v>
      </c>
      <c r="G1724" s="5">
        <v>43185</v>
      </c>
    </row>
    <row r="1725" spans="1:7" x14ac:dyDescent="0.4">
      <c r="A1725">
        <v>25</v>
      </c>
      <c r="B1725" t="s">
        <v>711</v>
      </c>
      <c r="C1725" s="9">
        <v>4.01</v>
      </c>
      <c r="D1725" s="9">
        <v>0.36</v>
      </c>
      <c r="E1725" s="19">
        <v>9.86</v>
      </c>
      <c r="F1725" s="4">
        <v>368747</v>
      </c>
      <c r="G1725" s="5">
        <v>43185</v>
      </c>
    </row>
    <row r="1726" spans="1:7" x14ac:dyDescent="0.4">
      <c r="A1726">
        <v>26</v>
      </c>
      <c r="B1726" t="s">
        <v>749</v>
      </c>
      <c r="C1726" s="9">
        <v>2.34</v>
      </c>
      <c r="D1726" s="9">
        <v>0.21</v>
      </c>
      <c r="E1726" s="19">
        <v>9.86</v>
      </c>
      <c r="F1726" s="4">
        <v>541841</v>
      </c>
      <c r="G1726" s="5">
        <v>43185</v>
      </c>
    </row>
    <row r="1727" spans="1:7" x14ac:dyDescent="0.4">
      <c r="A1727">
        <v>27</v>
      </c>
      <c r="B1727" t="s">
        <v>750</v>
      </c>
      <c r="C1727" s="9">
        <v>128.94</v>
      </c>
      <c r="D1727" s="9">
        <v>11.38</v>
      </c>
      <c r="E1727" s="19">
        <v>9.68</v>
      </c>
      <c r="F1727" s="4">
        <v>240021</v>
      </c>
      <c r="G1727" s="5">
        <v>43185</v>
      </c>
    </row>
    <row r="1728" spans="1:7" x14ac:dyDescent="0.4">
      <c r="A1728">
        <v>28</v>
      </c>
      <c r="B1728" t="s">
        <v>751</v>
      </c>
      <c r="C1728" s="9">
        <v>76.94</v>
      </c>
      <c r="D1728" s="9">
        <v>6.73</v>
      </c>
      <c r="E1728" s="19">
        <v>9.59</v>
      </c>
      <c r="F1728" s="4">
        <v>67490</v>
      </c>
      <c r="G1728" s="5">
        <v>43185</v>
      </c>
    </row>
    <row r="1729" spans="1:7" x14ac:dyDescent="0.4">
      <c r="A1729">
        <v>29</v>
      </c>
      <c r="B1729" t="s">
        <v>752</v>
      </c>
      <c r="C1729" s="9">
        <v>98.57</v>
      </c>
      <c r="D1729" s="9">
        <v>8.43</v>
      </c>
      <c r="E1729" s="19">
        <v>9.35</v>
      </c>
      <c r="F1729" s="4">
        <v>52482</v>
      </c>
      <c r="G1729" s="5">
        <v>43185</v>
      </c>
    </row>
    <row r="1730" spans="1:7" x14ac:dyDescent="0.4">
      <c r="A1730">
        <v>30</v>
      </c>
      <c r="B1730" t="s">
        <v>753</v>
      </c>
      <c r="C1730" s="9">
        <v>144.46</v>
      </c>
      <c r="D1730" s="9">
        <v>12.32</v>
      </c>
      <c r="E1730" s="19">
        <v>9.32</v>
      </c>
      <c r="F1730" s="4">
        <v>19562</v>
      </c>
      <c r="G1730" s="5">
        <v>43185</v>
      </c>
    </row>
    <row r="1731" spans="1:7" x14ac:dyDescent="0.4">
      <c r="A1731">
        <v>31</v>
      </c>
      <c r="B1731" t="s">
        <v>754</v>
      </c>
      <c r="C1731" s="9">
        <v>81.5</v>
      </c>
      <c r="D1731" s="9">
        <v>6.94</v>
      </c>
      <c r="E1731" s="19">
        <v>9.31</v>
      </c>
      <c r="F1731" s="4">
        <v>93990</v>
      </c>
      <c r="G1731" s="5">
        <v>43185</v>
      </c>
    </row>
    <row r="1732" spans="1:7" x14ac:dyDescent="0.4">
      <c r="A1732">
        <v>32</v>
      </c>
      <c r="B1732" t="s">
        <v>331</v>
      </c>
      <c r="C1732" s="9">
        <v>26.14</v>
      </c>
      <c r="D1732" s="9">
        <v>2.2200000000000002</v>
      </c>
      <c r="E1732" s="19">
        <v>9.2799999999999994</v>
      </c>
      <c r="F1732" s="4">
        <v>238594</v>
      </c>
      <c r="G1732" s="5">
        <v>43185</v>
      </c>
    </row>
    <row r="1733" spans="1:7" x14ac:dyDescent="0.4">
      <c r="A1733">
        <v>33</v>
      </c>
      <c r="B1733" t="s">
        <v>755</v>
      </c>
      <c r="C1733" s="9">
        <v>2.2400000000000002</v>
      </c>
      <c r="D1733" s="9">
        <v>0.19</v>
      </c>
      <c r="E1733" s="19">
        <v>9.26</v>
      </c>
      <c r="F1733" s="4">
        <v>438032</v>
      </c>
      <c r="G1733" s="5">
        <v>43185</v>
      </c>
    </row>
    <row r="1734" spans="1:7" x14ac:dyDescent="0.4">
      <c r="A1734">
        <v>34</v>
      </c>
      <c r="B1734" t="s">
        <v>756</v>
      </c>
      <c r="C1734" s="9">
        <v>32.69</v>
      </c>
      <c r="D1734" s="9">
        <v>2.73</v>
      </c>
      <c r="E1734" s="19">
        <v>9.11</v>
      </c>
      <c r="F1734" s="4">
        <v>12102</v>
      </c>
      <c r="G1734" s="5">
        <v>43185</v>
      </c>
    </row>
    <row r="1735" spans="1:7" x14ac:dyDescent="0.4">
      <c r="A1735">
        <v>35</v>
      </c>
      <c r="B1735" t="s">
        <v>757</v>
      </c>
      <c r="C1735" s="9">
        <v>6.28</v>
      </c>
      <c r="D1735" s="9">
        <v>0.52</v>
      </c>
      <c r="E1735" s="19">
        <v>9.0299999999999994</v>
      </c>
      <c r="F1735" s="4">
        <v>593342</v>
      </c>
      <c r="G1735" s="5">
        <v>43185</v>
      </c>
    </row>
    <row r="1736" spans="1:7" x14ac:dyDescent="0.4">
      <c r="A1736">
        <v>36</v>
      </c>
      <c r="B1736" t="s">
        <v>114</v>
      </c>
      <c r="C1736" s="9">
        <v>17.63</v>
      </c>
      <c r="D1736" s="9">
        <v>1.45</v>
      </c>
      <c r="E1736" s="19">
        <v>8.9600000000000009</v>
      </c>
      <c r="F1736" s="4">
        <v>125389</v>
      </c>
      <c r="G1736" s="5">
        <v>43185</v>
      </c>
    </row>
    <row r="1737" spans="1:7" x14ac:dyDescent="0.4">
      <c r="A1737">
        <v>37</v>
      </c>
      <c r="B1737" t="s">
        <v>758</v>
      </c>
      <c r="C1737" s="9">
        <v>6.1</v>
      </c>
      <c r="D1737" s="9">
        <v>0.5</v>
      </c>
      <c r="E1737" s="19">
        <v>8.93</v>
      </c>
      <c r="F1737" s="4">
        <v>995008</v>
      </c>
      <c r="G1737" s="5">
        <v>43185</v>
      </c>
    </row>
    <row r="1738" spans="1:7" x14ac:dyDescent="0.4">
      <c r="A1738">
        <v>38</v>
      </c>
      <c r="B1738" t="s">
        <v>17</v>
      </c>
      <c r="C1738" s="9">
        <v>33.44</v>
      </c>
      <c r="D1738" s="9">
        <v>2.74</v>
      </c>
      <c r="E1738" s="19">
        <v>8.93</v>
      </c>
      <c r="F1738" s="4">
        <v>354156</v>
      </c>
      <c r="G1738" s="5">
        <v>43185</v>
      </c>
    </row>
    <row r="1739" spans="1:7" x14ac:dyDescent="0.4">
      <c r="A1739">
        <v>39</v>
      </c>
      <c r="B1739" t="s">
        <v>759</v>
      </c>
      <c r="C1739" s="9">
        <v>9.1999999999999993</v>
      </c>
      <c r="D1739" s="9">
        <v>0.75</v>
      </c>
      <c r="E1739" s="19">
        <v>8.8800000000000008</v>
      </c>
      <c r="F1739" s="4">
        <v>123592</v>
      </c>
      <c r="G1739" s="5">
        <v>43185</v>
      </c>
    </row>
    <row r="1740" spans="1:7" x14ac:dyDescent="0.4">
      <c r="A1740">
        <v>40</v>
      </c>
      <c r="B1740" t="s">
        <v>760</v>
      </c>
      <c r="C1740" s="9">
        <v>3.62</v>
      </c>
      <c r="D1740" s="9">
        <v>0.28999999999999998</v>
      </c>
      <c r="E1740" s="19">
        <v>8.7100000000000009</v>
      </c>
      <c r="F1740" s="4">
        <v>226459</v>
      </c>
      <c r="G1740" s="5">
        <v>43185</v>
      </c>
    </row>
    <row r="1741" spans="1:7" x14ac:dyDescent="0.4">
      <c r="A1741">
        <v>41</v>
      </c>
      <c r="B1741" t="s">
        <v>761</v>
      </c>
      <c r="C1741" s="9">
        <v>85.45</v>
      </c>
      <c r="D1741" s="9">
        <v>6.74</v>
      </c>
      <c r="E1741" s="19">
        <v>8.56</v>
      </c>
      <c r="F1741" s="4">
        <v>1704993</v>
      </c>
      <c r="G1741" s="5">
        <v>43185</v>
      </c>
    </row>
    <row r="1742" spans="1:7" x14ac:dyDescent="0.4">
      <c r="A1742">
        <v>42</v>
      </c>
      <c r="B1742" t="s">
        <v>762</v>
      </c>
      <c r="C1742" s="9">
        <v>35.5</v>
      </c>
      <c r="D1742" s="9">
        <v>2.8</v>
      </c>
      <c r="E1742" s="19">
        <v>8.56</v>
      </c>
      <c r="F1742" s="4">
        <v>150976</v>
      </c>
      <c r="G1742" s="5">
        <v>43185</v>
      </c>
    </row>
    <row r="1743" spans="1:7" x14ac:dyDescent="0.4">
      <c r="A1743">
        <v>43</v>
      </c>
      <c r="B1743" t="s">
        <v>763</v>
      </c>
      <c r="C1743" s="9">
        <v>89.48</v>
      </c>
      <c r="D1743" s="9">
        <v>6.98</v>
      </c>
      <c r="E1743" s="19">
        <v>8.4600000000000009</v>
      </c>
      <c r="F1743" s="4">
        <v>1977858</v>
      </c>
      <c r="G1743" s="5">
        <v>43185</v>
      </c>
    </row>
    <row r="1744" spans="1:7" x14ac:dyDescent="0.4">
      <c r="A1744">
        <v>44</v>
      </c>
      <c r="B1744" t="s">
        <v>764</v>
      </c>
      <c r="C1744" s="9">
        <v>64.709999999999994</v>
      </c>
      <c r="D1744" s="9">
        <v>5.03</v>
      </c>
      <c r="E1744" s="19">
        <v>8.43</v>
      </c>
      <c r="F1744" s="4">
        <v>2647642</v>
      </c>
      <c r="G1744" s="5">
        <v>43185</v>
      </c>
    </row>
    <row r="1745" spans="1:7" x14ac:dyDescent="0.4">
      <c r="A1745">
        <v>45</v>
      </c>
      <c r="B1745" t="s">
        <v>765</v>
      </c>
      <c r="C1745" s="9">
        <v>42.19</v>
      </c>
      <c r="D1745" s="9">
        <v>3.26</v>
      </c>
      <c r="E1745" s="19">
        <v>8.3699999999999992</v>
      </c>
      <c r="F1745" s="4">
        <v>8949744</v>
      </c>
      <c r="G1745" s="5">
        <v>43185</v>
      </c>
    </row>
    <row r="1746" spans="1:7" x14ac:dyDescent="0.4">
      <c r="A1746">
        <v>46</v>
      </c>
      <c r="B1746" t="s">
        <v>766</v>
      </c>
      <c r="C1746" s="9">
        <v>7.25</v>
      </c>
      <c r="D1746" s="9">
        <v>0.56000000000000005</v>
      </c>
      <c r="E1746" s="19">
        <v>8.3699999999999992</v>
      </c>
      <c r="F1746" s="4">
        <v>2878219</v>
      </c>
      <c r="G1746" s="5">
        <v>43185</v>
      </c>
    </row>
    <row r="1747" spans="1:7" x14ac:dyDescent="0.4">
      <c r="A1747">
        <v>47</v>
      </c>
      <c r="B1747" t="s">
        <v>767</v>
      </c>
      <c r="C1747" s="9">
        <v>3.25</v>
      </c>
      <c r="D1747" s="9">
        <v>0.25</v>
      </c>
      <c r="E1747" s="19">
        <v>8.33</v>
      </c>
      <c r="F1747" s="4">
        <v>60050</v>
      </c>
      <c r="G1747" s="5">
        <v>43185</v>
      </c>
    </row>
    <row r="1748" spans="1:7" x14ac:dyDescent="0.4">
      <c r="A1748">
        <v>48</v>
      </c>
      <c r="B1748" t="s">
        <v>768</v>
      </c>
      <c r="C1748" s="9">
        <v>133.5</v>
      </c>
      <c r="D1748" s="9">
        <v>10.210000000000001</v>
      </c>
      <c r="E1748" s="19">
        <v>8.2799999999999994</v>
      </c>
      <c r="F1748" s="4">
        <v>2762801</v>
      </c>
      <c r="G1748" s="5">
        <v>43185</v>
      </c>
    </row>
    <row r="1749" spans="1:7" x14ac:dyDescent="0.4">
      <c r="A1749">
        <v>49</v>
      </c>
      <c r="B1749" t="s">
        <v>769</v>
      </c>
      <c r="C1749" s="9">
        <v>97.21</v>
      </c>
      <c r="D1749" s="9">
        <v>7.32</v>
      </c>
      <c r="E1749" s="19">
        <v>8.14</v>
      </c>
      <c r="F1749" s="4">
        <v>133262</v>
      </c>
      <c r="G1749" s="5">
        <v>43185</v>
      </c>
    </row>
    <row r="1750" spans="1:7" x14ac:dyDescent="0.4">
      <c r="A1750">
        <v>50</v>
      </c>
      <c r="B1750" t="s">
        <v>770</v>
      </c>
      <c r="C1750" s="9">
        <v>33.24</v>
      </c>
      <c r="D1750" s="9">
        <v>2.4900000000000002</v>
      </c>
      <c r="E1750" s="19">
        <v>8.1</v>
      </c>
      <c r="F1750" s="4">
        <v>243189</v>
      </c>
      <c r="G1750" s="5">
        <v>43185</v>
      </c>
    </row>
    <row r="1751" spans="1:7" x14ac:dyDescent="0.4">
      <c r="A1751">
        <v>51</v>
      </c>
      <c r="B1751" t="s">
        <v>771</v>
      </c>
      <c r="C1751" s="9">
        <v>68.11</v>
      </c>
      <c r="D1751" s="9">
        <v>5.03</v>
      </c>
      <c r="E1751" s="19">
        <v>7.97</v>
      </c>
      <c r="F1751" s="4">
        <v>4775</v>
      </c>
      <c r="G1751" s="5">
        <v>43185</v>
      </c>
    </row>
    <row r="1752" spans="1:7" x14ac:dyDescent="0.4">
      <c r="A1752">
        <v>52</v>
      </c>
      <c r="B1752" t="s">
        <v>772</v>
      </c>
      <c r="C1752" s="9">
        <v>34.590000000000003</v>
      </c>
      <c r="D1752" s="9">
        <v>2.5299999999999998</v>
      </c>
      <c r="E1752" s="19">
        <v>7.89</v>
      </c>
      <c r="F1752" s="4">
        <v>5415550</v>
      </c>
      <c r="G1752" s="5">
        <v>43185</v>
      </c>
    </row>
    <row r="1753" spans="1:7" x14ac:dyDescent="0.4">
      <c r="A1753">
        <v>53</v>
      </c>
      <c r="B1753" t="s">
        <v>29</v>
      </c>
      <c r="C1753" s="9">
        <v>16.05</v>
      </c>
      <c r="D1753" s="9">
        <v>1.17</v>
      </c>
      <c r="E1753" s="19">
        <v>7.86</v>
      </c>
      <c r="F1753" s="4">
        <v>197526</v>
      </c>
      <c r="G1753" s="5">
        <v>43185</v>
      </c>
    </row>
    <row r="1754" spans="1:7" x14ac:dyDescent="0.4">
      <c r="A1754">
        <v>54</v>
      </c>
      <c r="B1754" t="s">
        <v>146</v>
      </c>
      <c r="C1754" s="9">
        <v>7.55</v>
      </c>
      <c r="D1754" s="9">
        <v>0.55000000000000004</v>
      </c>
      <c r="E1754" s="19">
        <v>7.86</v>
      </c>
      <c r="F1754" s="4">
        <v>117864</v>
      </c>
      <c r="G1754" s="5">
        <v>43185</v>
      </c>
    </row>
    <row r="1755" spans="1:7" x14ac:dyDescent="0.4">
      <c r="A1755">
        <v>55</v>
      </c>
      <c r="B1755" t="s">
        <v>22</v>
      </c>
      <c r="C1755" s="9">
        <v>27.65</v>
      </c>
      <c r="D1755" s="9">
        <v>2</v>
      </c>
      <c r="E1755" s="19">
        <v>7.8</v>
      </c>
      <c r="F1755" s="4">
        <v>479065</v>
      </c>
      <c r="G1755" s="5">
        <v>43185</v>
      </c>
    </row>
    <row r="1756" spans="1:7" x14ac:dyDescent="0.4">
      <c r="A1756">
        <v>56</v>
      </c>
      <c r="B1756" t="s">
        <v>773</v>
      </c>
      <c r="C1756" s="9">
        <v>69.58</v>
      </c>
      <c r="D1756" s="9">
        <v>5.03</v>
      </c>
      <c r="E1756" s="19">
        <v>7.79</v>
      </c>
      <c r="F1756" s="4">
        <v>2244792</v>
      </c>
      <c r="G1756" s="5">
        <v>43185</v>
      </c>
    </row>
    <row r="1757" spans="1:7" x14ac:dyDescent="0.4">
      <c r="A1757">
        <v>57</v>
      </c>
      <c r="B1757" t="s">
        <v>774</v>
      </c>
      <c r="C1757" s="9">
        <v>19.95</v>
      </c>
      <c r="D1757" s="9">
        <v>1.43</v>
      </c>
      <c r="E1757" s="19">
        <v>7.72</v>
      </c>
      <c r="F1757" s="4">
        <v>3813176</v>
      </c>
      <c r="G1757" s="5">
        <v>43185</v>
      </c>
    </row>
    <row r="1758" spans="1:7" x14ac:dyDescent="0.4">
      <c r="A1758">
        <v>58</v>
      </c>
      <c r="B1758" t="s">
        <v>775</v>
      </c>
      <c r="C1758" s="9">
        <v>54.55</v>
      </c>
      <c r="D1758" s="9">
        <v>3.9</v>
      </c>
      <c r="E1758" s="19">
        <v>7.7</v>
      </c>
      <c r="F1758" s="4">
        <v>154840</v>
      </c>
      <c r="G1758" s="5">
        <v>43185</v>
      </c>
    </row>
    <row r="1759" spans="1:7" x14ac:dyDescent="0.4">
      <c r="A1759">
        <v>59</v>
      </c>
      <c r="B1759" t="s">
        <v>776</v>
      </c>
      <c r="C1759" s="9">
        <v>86.9</v>
      </c>
      <c r="D1759" s="9">
        <v>6.21</v>
      </c>
      <c r="E1759" s="19">
        <v>7.7</v>
      </c>
      <c r="F1759" s="4">
        <v>224174</v>
      </c>
      <c r="G1759" s="5">
        <v>43185</v>
      </c>
    </row>
    <row r="1760" spans="1:7" x14ac:dyDescent="0.4">
      <c r="A1760">
        <v>60</v>
      </c>
      <c r="B1760" t="s">
        <v>777</v>
      </c>
      <c r="C1760" s="9">
        <v>51.27</v>
      </c>
      <c r="D1760" s="9">
        <v>3.64</v>
      </c>
      <c r="E1760" s="19">
        <v>7.64</v>
      </c>
      <c r="F1760" s="4">
        <v>184591</v>
      </c>
      <c r="G1760" s="5">
        <v>43185</v>
      </c>
    </row>
    <row r="1761" spans="1:7" x14ac:dyDescent="0.4">
      <c r="A1761">
        <v>61</v>
      </c>
      <c r="B1761" t="s">
        <v>778</v>
      </c>
      <c r="C1761" s="9">
        <v>93.78</v>
      </c>
      <c r="D1761" s="9">
        <v>6.6</v>
      </c>
      <c r="E1761" s="19">
        <v>7.57</v>
      </c>
      <c r="F1761" s="4">
        <v>54238357</v>
      </c>
      <c r="G1761" s="5">
        <v>43185</v>
      </c>
    </row>
    <row r="1762" spans="1:7" x14ac:dyDescent="0.4">
      <c r="A1762">
        <v>62</v>
      </c>
      <c r="B1762" t="s">
        <v>779</v>
      </c>
      <c r="C1762" s="9">
        <v>2.7</v>
      </c>
      <c r="D1762" s="9">
        <v>0.19</v>
      </c>
      <c r="E1762" s="19">
        <v>7.57</v>
      </c>
      <c r="F1762" s="4">
        <v>293689</v>
      </c>
      <c r="G1762" s="5">
        <v>43185</v>
      </c>
    </row>
    <row r="1763" spans="1:7" x14ac:dyDescent="0.4">
      <c r="A1763">
        <v>63</v>
      </c>
      <c r="B1763" t="s">
        <v>780</v>
      </c>
      <c r="C1763" s="9">
        <v>80.45</v>
      </c>
      <c r="D1763" s="9">
        <v>5.63</v>
      </c>
      <c r="E1763" s="19">
        <v>7.52</v>
      </c>
      <c r="F1763" s="4">
        <v>3023821</v>
      </c>
      <c r="G1763" s="5">
        <v>43185</v>
      </c>
    </row>
    <row r="1764" spans="1:7" x14ac:dyDescent="0.4">
      <c r="A1764">
        <v>64</v>
      </c>
      <c r="B1764" t="s">
        <v>781</v>
      </c>
      <c r="C1764" s="9">
        <v>2.15</v>
      </c>
      <c r="D1764" s="9">
        <v>0.15</v>
      </c>
      <c r="E1764" s="19">
        <v>7.5</v>
      </c>
      <c r="F1764" s="4">
        <v>19997</v>
      </c>
      <c r="G1764" s="5">
        <v>43185</v>
      </c>
    </row>
    <row r="1765" spans="1:7" x14ac:dyDescent="0.4">
      <c r="A1765">
        <v>65</v>
      </c>
      <c r="B1765" t="s">
        <v>518</v>
      </c>
      <c r="C1765" s="9">
        <v>48.08</v>
      </c>
      <c r="D1765" s="9">
        <v>3.31</v>
      </c>
      <c r="E1765" s="19">
        <v>7.39</v>
      </c>
      <c r="F1765" s="4">
        <v>3326973</v>
      </c>
      <c r="G1765" s="5">
        <v>43185</v>
      </c>
    </row>
    <row r="1766" spans="1:7" x14ac:dyDescent="0.4">
      <c r="A1766">
        <v>66</v>
      </c>
      <c r="B1766" t="s">
        <v>782</v>
      </c>
      <c r="C1766" s="9">
        <v>86.92</v>
      </c>
      <c r="D1766" s="9">
        <v>5.97</v>
      </c>
      <c r="E1766" s="19">
        <v>7.37</v>
      </c>
      <c r="F1766" s="4">
        <v>8795</v>
      </c>
      <c r="G1766" s="5">
        <v>43185</v>
      </c>
    </row>
    <row r="1767" spans="1:7" x14ac:dyDescent="0.4">
      <c r="A1767">
        <v>67</v>
      </c>
      <c r="B1767" t="s">
        <v>783</v>
      </c>
      <c r="C1767" s="9">
        <v>2.5</v>
      </c>
      <c r="D1767" s="9">
        <v>0.17</v>
      </c>
      <c r="E1767" s="19">
        <v>7.3</v>
      </c>
      <c r="F1767" s="4">
        <v>9091530</v>
      </c>
      <c r="G1767" s="5">
        <v>43185</v>
      </c>
    </row>
    <row r="1768" spans="1:7" x14ac:dyDescent="0.4">
      <c r="A1768">
        <v>68</v>
      </c>
      <c r="B1768" t="s">
        <v>784</v>
      </c>
      <c r="C1768" s="9">
        <v>20.45</v>
      </c>
      <c r="D1768" s="9">
        <v>1.38</v>
      </c>
      <c r="E1768" s="19">
        <v>7.24</v>
      </c>
      <c r="F1768" s="4">
        <v>774915</v>
      </c>
      <c r="G1768" s="5">
        <v>43185</v>
      </c>
    </row>
    <row r="1769" spans="1:7" x14ac:dyDescent="0.4">
      <c r="A1769">
        <v>69</v>
      </c>
      <c r="B1769" t="s">
        <v>785</v>
      </c>
      <c r="C1769" s="9">
        <v>6.68</v>
      </c>
      <c r="D1769" s="9">
        <v>0.45</v>
      </c>
      <c r="E1769" s="19">
        <v>7.22</v>
      </c>
      <c r="F1769" s="4">
        <v>346090</v>
      </c>
      <c r="G1769" s="5">
        <v>43185</v>
      </c>
    </row>
    <row r="1770" spans="1:7" x14ac:dyDescent="0.4">
      <c r="A1770">
        <v>70</v>
      </c>
      <c r="B1770" t="s">
        <v>786</v>
      </c>
      <c r="C1770" s="9">
        <v>66.55</v>
      </c>
      <c r="D1770" s="9">
        <v>4.45</v>
      </c>
      <c r="E1770" s="19">
        <v>7.17</v>
      </c>
      <c r="F1770" s="4">
        <v>32611</v>
      </c>
      <c r="G1770" s="5">
        <v>43185</v>
      </c>
    </row>
    <row r="1771" spans="1:7" x14ac:dyDescent="0.4">
      <c r="A1771">
        <v>71</v>
      </c>
      <c r="B1771" t="s">
        <v>383</v>
      </c>
      <c r="C1771" s="9">
        <v>20.2</v>
      </c>
      <c r="D1771" s="9">
        <v>1.35</v>
      </c>
      <c r="E1771" s="19">
        <v>7.16</v>
      </c>
      <c r="F1771" s="4">
        <v>79136</v>
      </c>
      <c r="G1771" s="5">
        <v>43185</v>
      </c>
    </row>
    <row r="1772" spans="1:7" x14ac:dyDescent="0.4">
      <c r="A1772">
        <v>72</v>
      </c>
      <c r="B1772" t="s">
        <v>368</v>
      </c>
      <c r="C1772" s="9">
        <v>2.5499999999999998</v>
      </c>
      <c r="D1772" s="9">
        <v>0.17</v>
      </c>
      <c r="E1772" s="19">
        <v>7.14</v>
      </c>
      <c r="F1772" s="4">
        <v>38937</v>
      </c>
      <c r="G1772" s="5">
        <v>43185</v>
      </c>
    </row>
    <row r="1773" spans="1:7" x14ac:dyDescent="0.4">
      <c r="A1773">
        <v>73</v>
      </c>
      <c r="B1773" t="s">
        <v>600</v>
      </c>
      <c r="C1773" s="9">
        <v>15.05</v>
      </c>
      <c r="D1773" s="9">
        <v>1</v>
      </c>
      <c r="E1773" s="19">
        <v>7.12</v>
      </c>
      <c r="F1773" s="4">
        <v>890855</v>
      </c>
      <c r="G1773" s="5">
        <v>43185</v>
      </c>
    </row>
    <row r="1774" spans="1:7" x14ac:dyDescent="0.4">
      <c r="A1774">
        <v>74</v>
      </c>
      <c r="B1774" t="s">
        <v>787</v>
      </c>
      <c r="C1774" s="9">
        <v>12.95</v>
      </c>
      <c r="D1774" s="9">
        <v>0.85</v>
      </c>
      <c r="E1774" s="19">
        <v>7.02</v>
      </c>
      <c r="F1774" s="4">
        <v>7318438</v>
      </c>
      <c r="G1774" s="5">
        <v>43185</v>
      </c>
    </row>
    <row r="1775" spans="1:7" x14ac:dyDescent="0.4">
      <c r="A1775">
        <v>75</v>
      </c>
      <c r="B1775" t="s">
        <v>693</v>
      </c>
      <c r="C1775" s="9">
        <v>30.45</v>
      </c>
      <c r="D1775" s="9">
        <v>1.97</v>
      </c>
      <c r="E1775" s="19">
        <v>6.92</v>
      </c>
      <c r="F1775" s="4">
        <v>16871422</v>
      </c>
      <c r="G1775" s="5">
        <v>43185</v>
      </c>
    </row>
    <row r="1776" spans="1:7" x14ac:dyDescent="0.4">
      <c r="A1776">
        <v>76</v>
      </c>
      <c r="B1776" t="s">
        <v>44</v>
      </c>
      <c r="C1776" s="9">
        <v>31.75</v>
      </c>
      <c r="D1776" s="9">
        <v>2.0499999999999998</v>
      </c>
      <c r="E1776" s="19">
        <v>6.9</v>
      </c>
      <c r="F1776" s="4">
        <v>584187</v>
      </c>
      <c r="G1776" s="5">
        <v>43185</v>
      </c>
    </row>
    <row r="1777" spans="1:7" x14ac:dyDescent="0.4">
      <c r="A1777">
        <v>77</v>
      </c>
      <c r="B1777" t="s">
        <v>272</v>
      </c>
      <c r="C1777" s="9">
        <v>9.3000000000000007</v>
      </c>
      <c r="D1777" s="9">
        <v>0.6</v>
      </c>
      <c r="E1777" s="19">
        <v>6.9</v>
      </c>
      <c r="F1777" s="4">
        <v>750963</v>
      </c>
      <c r="G1777" s="5">
        <v>43185</v>
      </c>
    </row>
    <row r="1778" spans="1:7" x14ac:dyDescent="0.4">
      <c r="A1778">
        <v>78</v>
      </c>
      <c r="B1778" t="s">
        <v>208</v>
      </c>
      <c r="C1778" s="9">
        <v>2.33</v>
      </c>
      <c r="D1778" s="9">
        <v>0.15</v>
      </c>
      <c r="E1778" s="19">
        <v>6.88</v>
      </c>
      <c r="F1778" s="4">
        <v>1314067</v>
      </c>
      <c r="G1778" s="5">
        <v>43185</v>
      </c>
    </row>
    <row r="1779" spans="1:7" x14ac:dyDescent="0.4">
      <c r="A1779">
        <v>79</v>
      </c>
      <c r="B1779" t="s">
        <v>788</v>
      </c>
      <c r="C1779" s="9">
        <v>18.05</v>
      </c>
      <c r="D1779" s="9">
        <v>1.1599999999999999</v>
      </c>
      <c r="E1779" s="19">
        <v>6.87</v>
      </c>
      <c r="F1779" s="4">
        <v>310826</v>
      </c>
      <c r="G1779" s="5">
        <v>43185</v>
      </c>
    </row>
    <row r="1780" spans="1:7" x14ac:dyDescent="0.4">
      <c r="A1780">
        <v>80</v>
      </c>
      <c r="B1780" t="s">
        <v>562</v>
      </c>
      <c r="C1780" s="9">
        <v>17.239999999999998</v>
      </c>
      <c r="D1780" s="9">
        <v>1.1000000000000001</v>
      </c>
      <c r="E1780" s="19">
        <v>6.82</v>
      </c>
      <c r="F1780" s="4">
        <v>1038037</v>
      </c>
      <c r="G1780" s="5">
        <v>43185</v>
      </c>
    </row>
    <row r="1781" spans="1:7" x14ac:dyDescent="0.4">
      <c r="A1781">
        <v>81</v>
      </c>
      <c r="B1781" t="s">
        <v>482</v>
      </c>
      <c r="C1781" s="9">
        <v>24.46</v>
      </c>
      <c r="D1781" s="9">
        <v>1.56</v>
      </c>
      <c r="E1781" s="19">
        <v>6.81</v>
      </c>
      <c r="F1781" s="4">
        <v>2020855</v>
      </c>
      <c r="G1781" s="5">
        <v>43185</v>
      </c>
    </row>
    <row r="1782" spans="1:7" x14ac:dyDescent="0.4">
      <c r="A1782">
        <v>82</v>
      </c>
      <c r="B1782" t="s">
        <v>789</v>
      </c>
      <c r="C1782" s="9">
        <v>3.45</v>
      </c>
      <c r="D1782" s="9">
        <v>0.22</v>
      </c>
      <c r="E1782" s="19">
        <v>6.81</v>
      </c>
      <c r="F1782" s="4">
        <v>670161</v>
      </c>
      <c r="G1782" s="5">
        <v>43185</v>
      </c>
    </row>
    <row r="1783" spans="1:7" x14ac:dyDescent="0.4">
      <c r="A1783">
        <v>83</v>
      </c>
      <c r="B1783" t="s">
        <v>790</v>
      </c>
      <c r="C1783" s="9">
        <v>2.2000000000000002</v>
      </c>
      <c r="D1783" s="9">
        <v>0.14000000000000001</v>
      </c>
      <c r="E1783" s="19">
        <v>6.79</v>
      </c>
      <c r="F1783" s="4">
        <v>2000</v>
      </c>
      <c r="G1783" s="5">
        <v>43185</v>
      </c>
    </row>
    <row r="1784" spans="1:7" x14ac:dyDescent="0.4">
      <c r="A1784">
        <v>84</v>
      </c>
      <c r="B1784" t="s">
        <v>712</v>
      </c>
      <c r="C1784" s="9">
        <v>2.68</v>
      </c>
      <c r="D1784" s="9">
        <v>0.17</v>
      </c>
      <c r="E1784" s="19">
        <v>6.77</v>
      </c>
      <c r="F1784" s="4">
        <v>80343</v>
      </c>
      <c r="G1784" s="5">
        <v>43185</v>
      </c>
    </row>
    <row r="1785" spans="1:7" x14ac:dyDescent="0.4">
      <c r="A1785">
        <v>85</v>
      </c>
      <c r="B1785" t="s">
        <v>791</v>
      </c>
      <c r="C1785" s="9">
        <v>15.82</v>
      </c>
      <c r="D1785" s="9">
        <v>0.99</v>
      </c>
      <c r="E1785" s="19">
        <v>6.68</v>
      </c>
      <c r="F1785" s="4">
        <v>283759</v>
      </c>
      <c r="G1785" s="5">
        <v>43185</v>
      </c>
    </row>
    <row r="1786" spans="1:7" x14ac:dyDescent="0.4">
      <c r="A1786">
        <v>86</v>
      </c>
      <c r="B1786" t="s">
        <v>792</v>
      </c>
      <c r="C1786" s="9">
        <v>113.86</v>
      </c>
      <c r="D1786" s="9">
        <v>7.07</v>
      </c>
      <c r="E1786" s="19">
        <v>6.62</v>
      </c>
      <c r="F1786" s="4">
        <v>1003721</v>
      </c>
      <c r="G1786" s="5">
        <v>43185</v>
      </c>
    </row>
    <row r="1787" spans="1:7" x14ac:dyDescent="0.4">
      <c r="A1787">
        <v>87</v>
      </c>
      <c r="B1787" t="s">
        <v>169</v>
      </c>
      <c r="C1787" s="9">
        <v>14.82</v>
      </c>
      <c r="D1787" s="9">
        <v>0.92</v>
      </c>
      <c r="E1787" s="19">
        <v>6.62</v>
      </c>
      <c r="F1787" s="4">
        <v>232226</v>
      </c>
      <c r="G1787" s="5">
        <v>43185</v>
      </c>
    </row>
    <row r="1788" spans="1:7" x14ac:dyDescent="0.4">
      <c r="A1788">
        <v>88</v>
      </c>
      <c r="B1788" t="s">
        <v>793</v>
      </c>
      <c r="C1788" s="9">
        <v>33.9</v>
      </c>
      <c r="D1788" s="9">
        <v>2.1</v>
      </c>
      <c r="E1788" s="19">
        <v>6.61</v>
      </c>
      <c r="F1788" s="4">
        <v>8352</v>
      </c>
      <c r="G1788" s="5">
        <v>43185</v>
      </c>
    </row>
    <row r="1789" spans="1:7" x14ac:dyDescent="0.4">
      <c r="A1789">
        <v>89</v>
      </c>
      <c r="B1789" t="s">
        <v>794</v>
      </c>
      <c r="C1789" s="9">
        <v>89.3</v>
      </c>
      <c r="D1789" s="9">
        <v>5.53</v>
      </c>
      <c r="E1789" s="19">
        <v>6.6</v>
      </c>
      <c r="F1789" s="4">
        <v>13574550</v>
      </c>
      <c r="G1789" s="5">
        <v>43185</v>
      </c>
    </row>
    <row r="1790" spans="1:7" x14ac:dyDescent="0.4">
      <c r="A1790">
        <v>90</v>
      </c>
      <c r="B1790" t="s">
        <v>795</v>
      </c>
      <c r="C1790" s="9">
        <v>43.77</v>
      </c>
      <c r="D1790" s="9">
        <v>2.7</v>
      </c>
      <c r="E1790" s="19">
        <v>6.57</v>
      </c>
      <c r="F1790" s="4">
        <v>31631</v>
      </c>
      <c r="G1790" s="5">
        <v>43185</v>
      </c>
    </row>
    <row r="1791" spans="1:7" x14ac:dyDescent="0.4">
      <c r="A1791">
        <v>91</v>
      </c>
      <c r="B1791" t="s">
        <v>796</v>
      </c>
      <c r="C1791" s="9">
        <v>69.569999999999993</v>
      </c>
      <c r="D1791" s="9">
        <v>4.29</v>
      </c>
      <c r="E1791" s="19">
        <v>6.57</v>
      </c>
      <c r="F1791" s="4">
        <v>3556351</v>
      </c>
      <c r="G1791" s="5">
        <v>43185</v>
      </c>
    </row>
    <row r="1792" spans="1:7" x14ac:dyDescent="0.4">
      <c r="A1792">
        <v>92</v>
      </c>
      <c r="B1792" t="s">
        <v>797</v>
      </c>
      <c r="C1792" s="9">
        <v>15.9</v>
      </c>
      <c r="D1792" s="9">
        <v>0.98</v>
      </c>
      <c r="E1792" s="19">
        <v>6.57</v>
      </c>
      <c r="F1792" s="4">
        <v>2113588</v>
      </c>
      <c r="G1792" s="5">
        <v>43185</v>
      </c>
    </row>
    <row r="1793" spans="1:7" x14ac:dyDescent="0.4">
      <c r="A1793">
        <v>93</v>
      </c>
      <c r="B1793" t="s">
        <v>798</v>
      </c>
      <c r="C1793" s="9">
        <v>15.11</v>
      </c>
      <c r="D1793" s="9">
        <v>0.93</v>
      </c>
      <c r="E1793" s="19">
        <v>6.56</v>
      </c>
      <c r="F1793" s="4">
        <v>452773</v>
      </c>
      <c r="G1793" s="5">
        <v>43185</v>
      </c>
    </row>
    <row r="1794" spans="1:7" x14ac:dyDescent="0.4">
      <c r="A1794">
        <v>94</v>
      </c>
      <c r="B1794" t="s">
        <v>216</v>
      </c>
      <c r="C1794" s="9">
        <v>22.33</v>
      </c>
      <c r="D1794" s="9">
        <v>1.37</v>
      </c>
      <c r="E1794" s="19">
        <v>6.54</v>
      </c>
      <c r="F1794" s="4">
        <v>352457</v>
      </c>
      <c r="G1794" s="5">
        <v>43185</v>
      </c>
    </row>
    <row r="1795" spans="1:7" x14ac:dyDescent="0.4">
      <c r="A1795">
        <v>95</v>
      </c>
      <c r="B1795" t="s">
        <v>720</v>
      </c>
      <c r="C1795" s="9">
        <v>39.840000000000003</v>
      </c>
      <c r="D1795" s="9">
        <v>2.44</v>
      </c>
      <c r="E1795" s="19">
        <v>6.52</v>
      </c>
      <c r="F1795" s="4">
        <v>23570</v>
      </c>
      <c r="G1795" s="5">
        <v>43185</v>
      </c>
    </row>
    <row r="1796" spans="1:7" x14ac:dyDescent="0.4">
      <c r="A1796">
        <v>96</v>
      </c>
      <c r="B1796" t="s">
        <v>799</v>
      </c>
      <c r="C1796" s="9">
        <v>32.9</v>
      </c>
      <c r="D1796" s="9">
        <v>2</v>
      </c>
      <c r="E1796" s="19">
        <v>6.47</v>
      </c>
      <c r="F1796" s="4">
        <v>323622</v>
      </c>
      <c r="G1796" s="5">
        <v>43185</v>
      </c>
    </row>
    <row r="1797" spans="1:7" x14ac:dyDescent="0.4">
      <c r="A1797">
        <v>97</v>
      </c>
      <c r="B1797" t="s">
        <v>511</v>
      </c>
      <c r="C1797" s="9">
        <v>8.24</v>
      </c>
      <c r="D1797" s="9">
        <v>0.5</v>
      </c>
      <c r="E1797" s="19">
        <v>6.46</v>
      </c>
      <c r="F1797" s="4">
        <v>2139174</v>
      </c>
      <c r="G1797" s="5">
        <v>43185</v>
      </c>
    </row>
    <row r="1798" spans="1:7" x14ac:dyDescent="0.4">
      <c r="A1798">
        <v>98</v>
      </c>
      <c r="B1798" t="s">
        <v>800</v>
      </c>
      <c r="C1798" s="9">
        <v>228.91</v>
      </c>
      <c r="D1798" s="9">
        <v>13.89</v>
      </c>
      <c r="E1798" s="19">
        <v>6.46</v>
      </c>
      <c r="F1798" s="4">
        <v>4404057</v>
      </c>
      <c r="G1798" s="5">
        <v>43185</v>
      </c>
    </row>
    <row r="1799" spans="1:7" x14ac:dyDescent="0.4">
      <c r="A1799">
        <v>99</v>
      </c>
      <c r="B1799" t="s">
        <v>801</v>
      </c>
      <c r="C1799" s="9">
        <v>81.75</v>
      </c>
      <c r="D1799" s="9">
        <v>4.96</v>
      </c>
      <c r="E1799" s="19">
        <v>6.46</v>
      </c>
      <c r="F1799" s="4">
        <v>157656</v>
      </c>
      <c r="G1799" s="5">
        <v>43185</v>
      </c>
    </row>
    <row r="1800" spans="1:7" x14ac:dyDescent="0.4">
      <c r="A1800">
        <v>100</v>
      </c>
      <c r="B1800" t="s">
        <v>802</v>
      </c>
      <c r="C1800" s="9">
        <v>320.35000000000002</v>
      </c>
      <c r="D1800" s="9">
        <v>19.41</v>
      </c>
      <c r="E1800" s="19">
        <v>6.45</v>
      </c>
      <c r="F1800" s="4">
        <v>11698861</v>
      </c>
      <c r="G1800" s="5">
        <v>43185</v>
      </c>
    </row>
    <row r="1801" spans="1:7" x14ac:dyDescent="0.4">
      <c r="A1801">
        <v>1</v>
      </c>
      <c r="B1801" t="s">
        <v>717</v>
      </c>
      <c r="C1801" s="9">
        <v>13.83</v>
      </c>
      <c r="D1801" s="9">
        <v>3.28</v>
      </c>
      <c r="E1801" s="19">
        <v>31.09</v>
      </c>
      <c r="F1801" s="4">
        <v>16951574</v>
      </c>
      <c r="G1801" s="5">
        <v>43185</v>
      </c>
    </row>
    <row r="1802" spans="1:7" x14ac:dyDescent="0.4">
      <c r="A1802">
        <v>2</v>
      </c>
      <c r="B1802" s="15" t="s">
        <v>224</v>
      </c>
      <c r="C1802" s="9">
        <v>2.63</v>
      </c>
      <c r="D1802" s="9">
        <v>0.61</v>
      </c>
      <c r="E1802" s="19">
        <v>30.2</v>
      </c>
      <c r="F1802" s="4">
        <v>4271890</v>
      </c>
      <c r="G1802" s="5">
        <v>43186</v>
      </c>
    </row>
    <row r="1803" spans="1:7" x14ac:dyDescent="0.4">
      <c r="A1803">
        <v>3</v>
      </c>
      <c r="B1803" t="s">
        <v>803</v>
      </c>
      <c r="C1803" s="9">
        <v>6.33</v>
      </c>
      <c r="D1803" s="9">
        <v>1.2</v>
      </c>
      <c r="E1803" s="19">
        <v>23.45</v>
      </c>
      <c r="F1803" s="4">
        <v>59035</v>
      </c>
      <c r="G1803" s="5">
        <v>43186</v>
      </c>
    </row>
    <row r="1804" spans="1:7" x14ac:dyDescent="0.4">
      <c r="A1804">
        <v>4</v>
      </c>
      <c r="B1804" t="s">
        <v>804</v>
      </c>
      <c r="C1804" s="9">
        <v>2.91</v>
      </c>
      <c r="D1804" s="9">
        <v>0.46</v>
      </c>
      <c r="E1804" s="19">
        <v>18.78</v>
      </c>
      <c r="F1804" s="4">
        <v>64561</v>
      </c>
      <c r="G1804" s="5">
        <v>43186</v>
      </c>
    </row>
    <row r="1805" spans="1:7" x14ac:dyDescent="0.4">
      <c r="A1805">
        <v>5</v>
      </c>
      <c r="B1805" t="s">
        <v>286</v>
      </c>
      <c r="C1805" s="9">
        <v>2.4</v>
      </c>
      <c r="D1805" s="9">
        <v>0.36</v>
      </c>
      <c r="E1805" s="19">
        <v>17.649999999999999</v>
      </c>
      <c r="F1805" s="4">
        <v>9651107</v>
      </c>
      <c r="G1805" s="5">
        <v>43186</v>
      </c>
    </row>
    <row r="1806" spans="1:7" x14ac:dyDescent="0.4">
      <c r="A1806">
        <v>6</v>
      </c>
      <c r="B1806" t="s">
        <v>154</v>
      </c>
      <c r="C1806" s="9">
        <v>45</v>
      </c>
      <c r="D1806" s="9">
        <v>6.31</v>
      </c>
      <c r="E1806" s="19">
        <v>16.32</v>
      </c>
      <c r="F1806" s="4">
        <v>42858</v>
      </c>
      <c r="G1806" s="5">
        <v>43186</v>
      </c>
    </row>
    <row r="1807" spans="1:7" x14ac:dyDescent="0.4">
      <c r="A1807">
        <v>7</v>
      </c>
      <c r="B1807" t="s">
        <v>433</v>
      </c>
      <c r="C1807" s="9">
        <v>12.98</v>
      </c>
      <c r="D1807" s="9">
        <v>1.8</v>
      </c>
      <c r="E1807" s="19">
        <v>16.100000000000001</v>
      </c>
      <c r="F1807" s="4">
        <v>383266</v>
      </c>
      <c r="G1807" s="5">
        <v>43186</v>
      </c>
    </row>
    <row r="1808" spans="1:7" x14ac:dyDescent="0.4">
      <c r="A1808">
        <v>8</v>
      </c>
      <c r="B1808" t="s">
        <v>805</v>
      </c>
      <c r="C1808" s="9">
        <v>2.3199999999999998</v>
      </c>
      <c r="D1808" s="9">
        <v>0.32</v>
      </c>
      <c r="E1808" s="19">
        <v>16</v>
      </c>
      <c r="F1808" s="4">
        <v>784364</v>
      </c>
      <c r="G1808" s="5">
        <v>43186</v>
      </c>
    </row>
    <row r="1809" spans="1:7" x14ac:dyDescent="0.4">
      <c r="A1809">
        <v>9</v>
      </c>
      <c r="B1809" t="s">
        <v>429</v>
      </c>
      <c r="C1809" s="9">
        <v>10.46</v>
      </c>
      <c r="D1809" s="9">
        <v>1.37</v>
      </c>
      <c r="E1809" s="19">
        <v>15.07</v>
      </c>
      <c r="F1809" s="4">
        <v>66531940</v>
      </c>
      <c r="G1809" s="5">
        <v>43186</v>
      </c>
    </row>
    <row r="1810" spans="1:7" x14ac:dyDescent="0.4">
      <c r="A1810">
        <v>10</v>
      </c>
      <c r="B1810" t="s">
        <v>806</v>
      </c>
      <c r="C1810" s="9">
        <v>2.52</v>
      </c>
      <c r="D1810" s="9">
        <v>0.32</v>
      </c>
      <c r="E1810" s="19">
        <v>14.55</v>
      </c>
      <c r="F1810" s="4">
        <v>12197936</v>
      </c>
      <c r="G1810" s="5">
        <v>43186</v>
      </c>
    </row>
    <row r="1811" spans="1:7" x14ac:dyDescent="0.4">
      <c r="A1811">
        <v>11</v>
      </c>
      <c r="B1811" t="s">
        <v>351</v>
      </c>
      <c r="C1811" s="9">
        <v>3.72</v>
      </c>
      <c r="D1811" s="9">
        <v>0.43</v>
      </c>
      <c r="E1811" s="19">
        <v>13.07</v>
      </c>
      <c r="F1811" s="4">
        <v>10843918</v>
      </c>
      <c r="G1811" s="5">
        <v>43186</v>
      </c>
    </row>
    <row r="1812" spans="1:7" x14ac:dyDescent="0.4">
      <c r="A1812">
        <v>12</v>
      </c>
      <c r="B1812" t="s">
        <v>807</v>
      </c>
      <c r="C1812" s="9">
        <v>17.3</v>
      </c>
      <c r="D1812" s="9">
        <v>1.99</v>
      </c>
      <c r="E1812" s="19">
        <v>12.96</v>
      </c>
      <c r="F1812" s="4">
        <v>744677</v>
      </c>
      <c r="G1812" s="5">
        <v>43186</v>
      </c>
    </row>
    <row r="1813" spans="1:7" x14ac:dyDescent="0.4">
      <c r="A1813">
        <v>13</v>
      </c>
      <c r="B1813" t="s">
        <v>127</v>
      </c>
      <c r="C1813" s="9">
        <v>21.32</v>
      </c>
      <c r="D1813" s="9">
        <v>2.36</v>
      </c>
      <c r="E1813" s="19">
        <v>12.45</v>
      </c>
      <c r="F1813" s="4">
        <v>137679</v>
      </c>
      <c r="G1813" s="5">
        <v>43186</v>
      </c>
    </row>
    <row r="1814" spans="1:7" x14ac:dyDescent="0.4">
      <c r="A1814">
        <v>14</v>
      </c>
      <c r="B1814" t="s">
        <v>333</v>
      </c>
      <c r="C1814" s="9">
        <v>4.3499999999999996</v>
      </c>
      <c r="D1814" s="9">
        <v>0.48</v>
      </c>
      <c r="E1814" s="19">
        <v>12.4</v>
      </c>
      <c r="F1814" s="4">
        <v>1860619</v>
      </c>
      <c r="G1814" s="5">
        <v>43186</v>
      </c>
    </row>
    <row r="1815" spans="1:7" x14ac:dyDescent="0.4">
      <c r="A1815">
        <v>15</v>
      </c>
      <c r="B1815" t="s">
        <v>430</v>
      </c>
      <c r="C1815" s="9">
        <v>20.100000000000001</v>
      </c>
      <c r="D1815" s="9">
        <v>2.13</v>
      </c>
      <c r="E1815" s="19">
        <v>11.85</v>
      </c>
      <c r="F1815" s="4">
        <v>39580021</v>
      </c>
      <c r="G1815" s="5">
        <v>43186</v>
      </c>
    </row>
    <row r="1816" spans="1:7" x14ac:dyDescent="0.4">
      <c r="A1816">
        <v>16</v>
      </c>
      <c r="B1816" t="s">
        <v>808</v>
      </c>
      <c r="C1816" s="9">
        <v>65.25</v>
      </c>
      <c r="D1816" s="9">
        <v>6.65</v>
      </c>
      <c r="E1816" s="19">
        <v>11.35</v>
      </c>
      <c r="F1816" s="4">
        <v>6830</v>
      </c>
      <c r="G1816" s="5">
        <v>43186</v>
      </c>
    </row>
    <row r="1817" spans="1:7" x14ac:dyDescent="0.4">
      <c r="A1817">
        <v>17</v>
      </c>
      <c r="B1817" t="s">
        <v>207</v>
      </c>
      <c r="C1817" s="9">
        <v>12.14</v>
      </c>
      <c r="D1817" s="9">
        <v>1.23</v>
      </c>
      <c r="E1817" s="19">
        <v>11.27</v>
      </c>
      <c r="F1817" s="4">
        <v>2859193</v>
      </c>
      <c r="G1817" s="5">
        <v>43186</v>
      </c>
    </row>
    <row r="1818" spans="1:7" x14ac:dyDescent="0.4">
      <c r="A1818">
        <v>18</v>
      </c>
      <c r="B1818" t="s">
        <v>809</v>
      </c>
      <c r="C1818" s="9">
        <v>75.89</v>
      </c>
      <c r="D1818" s="9">
        <v>7.23</v>
      </c>
      <c r="E1818" s="19">
        <v>10.53</v>
      </c>
      <c r="F1818" s="4">
        <v>154356</v>
      </c>
      <c r="G1818" s="5">
        <v>43186</v>
      </c>
    </row>
    <row r="1819" spans="1:7" x14ac:dyDescent="0.4">
      <c r="A1819">
        <v>19</v>
      </c>
      <c r="B1819" t="s">
        <v>465</v>
      </c>
      <c r="C1819" s="9">
        <v>11.14</v>
      </c>
      <c r="D1819" s="9">
        <v>1.01</v>
      </c>
      <c r="E1819" s="19">
        <v>9.9700000000000006</v>
      </c>
      <c r="F1819" s="4">
        <v>20740</v>
      </c>
      <c r="G1819" s="5">
        <v>43186</v>
      </c>
    </row>
    <row r="1820" spans="1:7" x14ac:dyDescent="0.4">
      <c r="A1820">
        <v>20</v>
      </c>
      <c r="B1820" t="s">
        <v>810</v>
      </c>
      <c r="C1820" s="9">
        <v>4.42</v>
      </c>
      <c r="D1820" s="9">
        <v>0.4</v>
      </c>
      <c r="E1820" s="19">
        <v>9.9499999999999993</v>
      </c>
      <c r="F1820" s="4">
        <v>400333</v>
      </c>
      <c r="G1820" s="5">
        <v>43186</v>
      </c>
    </row>
    <row r="1821" spans="1:7" x14ac:dyDescent="0.4">
      <c r="A1821">
        <v>21</v>
      </c>
      <c r="B1821" t="s">
        <v>458</v>
      </c>
      <c r="C1821" s="9">
        <v>18.73</v>
      </c>
      <c r="D1821" s="9">
        <v>1.66</v>
      </c>
      <c r="E1821" s="19">
        <v>9.7200000000000006</v>
      </c>
      <c r="F1821" s="4">
        <v>25851441</v>
      </c>
      <c r="G1821" s="5">
        <v>43186</v>
      </c>
    </row>
    <row r="1822" spans="1:7" x14ac:dyDescent="0.4">
      <c r="A1822">
        <v>22</v>
      </c>
      <c r="B1822" t="s">
        <v>462</v>
      </c>
      <c r="C1822" s="9">
        <v>6.14</v>
      </c>
      <c r="D1822" s="9">
        <v>0.54</v>
      </c>
      <c r="E1822" s="19">
        <v>9.64</v>
      </c>
      <c r="F1822" s="4">
        <v>2112967</v>
      </c>
      <c r="G1822" s="5">
        <v>43186</v>
      </c>
    </row>
    <row r="1823" spans="1:7" x14ac:dyDescent="0.4">
      <c r="A1823">
        <v>23</v>
      </c>
      <c r="B1823" t="s">
        <v>467</v>
      </c>
      <c r="C1823" s="9">
        <v>13.39</v>
      </c>
      <c r="D1823" s="9">
        <v>1.1499999999999999</v>
      </c>
      <c r="E1823" s="19">
        <v>9.4</v>
      </c>
      <c r="F1823" s="4">
        <v>6416</v>
      </c>
      <c r="G1823" s="5">
        <v>43186</v>
      </c>
    </row>
    <row r="1824" spans="1:7" x14ac:dyDescent="0.4">
      <c r="A1824">
        <v>24</v>
      </c>
      <c r="B1824" t="s">
        <v>730</v>
      </c>
      <c r="C1824" s="9">
        <v>4.51</v>
      </c>
      <c r="D1824" s="9">
        <v>0.38</v>
      </c>
      <c r="E1824" s="19">
        <v>9.1999999999999993</v>
      </c>
      <c r="F1824" s="4">
        <v>3559296</v>
      </c>
      <c r="G1824" s="5">
        <v>43186</v>
      </c>
    </row>
    <row r="1825" spans="1:7" x14ac:dyDescent="0.4">
      <c r="A1825">
        <v>25</v>
      </c>
      <c r="B1825" t="s">
        <v>396</v>
      </c>
      <c r="C1825" s="9">
        <v>5.21</v>
      </c>
      <c r="D1825" s="9">
        <v>0.41</v>
      </c>
      <c r="E1825" s="19">
        <v>8.5399999999999991</v>
      </c>
      <c r="F1825" s="4">
        <v>161126</v>
      </c>
      <c r="G1825" s="5">
        <v>43186</v>
      </c>
    </row>
    <row r="1826" spans="1:7" x14ac:dyDescent="0.4">
      <c r="A1826">
        <v>26</v>
      </c>
      <c r="B1826" t="s">
        <v>811</v>
      </c>
      <c r="C1826" s="9">
        <v>21.13</v>
      </c>
      <c r="D1826" s="9">
        <v>1.66</v>
      </c>
      <c r="E1826" s="19">
        <v>8.5299999999999994</v>
      </c>
      <c r="F1826" s="4">
        <v>2030172</v>
      </c>
      <c r="G1826" s="5">
        <v>43186</v>
      </c>
    </row>
    <row r="1827" spans="1:7" x14ac:dyDescent="0.4">
      <c r="A1827">
        <v>27</v>
      </c>
      <c r="B1827" t="s">
        <v>727</v>
      </c>
      <c r="C1827" s="9">
        <v>2.96</v>
      </c>
      <c r="D1827" s="9">
        <v>0.23</v>
      </c>
      <c r="E1827" s="19">
        <v>8.42</v>
      </c>
      <c r="F1827" s="4">
        <v>68318</v>
      </c>
      <c r="G1827" s="5">
        <v>43186</v>
      </c>
    </row>
    <row r="1828" spans="1:7" x14ac:dyDescent="0.4">
      <c r="A1828">
        <v>28</v>
      </c>
      <c r="B1828" t="s">
        <v>812</v>
      </c>
      <c r="C1828" s="9">
        <v>7.9</v>
      </c>
      <c r="D1828" s="9">
        <v>0.61</v>
      </c>
      <c r="E1828" s="19">
        <v>8.3699999999999992</v>
      </c>
      <c r="F1828" s="4">
        <v>29639</v>
      </c>
      <c r="G1828" s="5">
        <v>43186</v>
      </c>
    </row>
    <row r="1829" spans="1:7" x14ac:dyDescent="0.4">
      <c r="A1829">
        <v>29</v>
      </c>
      <c r="B1829" t="s">
        <v>813</v>
      </c>
      <c r="C1829" s="9">
        <v>2.21</v>
      </c>
      <c r="D1829" s="9">
        <v>0.17</v>
      </c>
      <c r="E1829" s="19">
        <v>8.33</v>
      </c>
      <c r="F1829" s="4">
        <v>5960</v>
      </c>
      <c r="G1829" s="5">
        <v>43186</v>
      </c>
    </row>
    <row r="1830" spans="1:7" x14ac:dyDescent="0.4">
      <c r="A1830">
        <v>30</v>
      </c>
      <c r="B1830" t="s">
        <v>441</v>
      </c>
      <c r="C1830" s="9">
        <v>21.09</v>
      </c>
      <c r="D1830" s="9">
        <v>1.59</v>
      </c>
      <c r="E1830" s="19">
        <v>8.15</v>
      </c>
      <c r="F1830" s="4">
        <v>135206</v>
      </c>
      <c r="G1830" s="5">
        <v>43186</v>
      </c>
    </row>
    <row r="1831" spans="1:7" x14ac:dyDescent="0.4">
      <c r="A1831">
        <v>31</v>
      </c>
      <c r="B1831" t="s">
        <v>474</v>
      </c>
      <c r="C1831" s="9">
        <v>8.7200000000000006</v>
      </c>
      <c r="D1831" s="9">
        <v>0.66</v>
      </c>
      <c r="E1831" s="19">
        <v>8.1300000000000008</v>
      </c>
      <c r="F1831" s="4">
        <v>26588</v>
      </c>
      <c r="G1831" s="5">
        <v>43186</v>
      </c>
    </row>
    <row r="1832" spans="1:7" x14ac:dyDescent="0.4">
      <c r="A1832">
        <v>32</v>
      </c>
      <c r="B1832" t="s">
        <v>440</v>
      </c>
      <c r="C1832" s="9">
        <v>49.86</v>
      </c>
      <c r="D1832" s="9">
        <v>3.73</v>
      </c>
      <c r="E1832" s="19">
        <v>8.09</v>
      </c>
      <c r="F1832" s="4">
        <v>37211799</v>
      </c>
      <c r="G1832" s="5">
        <v>43186</v>
      </c>
    </row>
    <row r="1833" spans="1:7" x14ac:dyDescent="0.4">
      <c r="A1833">
        <v>33</v>
      </c>
      <c r="B1833" t="s">
        <v>442</v>
      </c>
      <c r="C1833" s="9">
        <v>41.25</v>
      </c>
      <c r="D1833" s="9">
        <v>3.06</v>
      </c>
      <c r="E1833" s="19">
        <v>8.01</v>
      </c>
      <c r="F1833" s="4">
        <v>3521935</v>
      </c>
      <c r="G1833" s="5">
        <v>43186</v>
      </c>
    </row>
    <row r="1834" spans="1:7" x14ac:dyDescent="0.4">
      <c r="A1834">
        <v>34</v>
      </c>
      <c r="B1834" t="s">
        <v>331</v>
      </c>
      <c r="C1834" s="9">
        <v>28.22</v>
      </c>
      <c r="D1834" s="9">
        <v>2.08</v>
      </c>
      <c r="E1834" s="19">
        <v>7.96</v>
      </c>
      <c r="F1834" s="4">
        <v>258446</v>
      </c>
      <c r="G1834" s="5">
        <v>43186</v>
      </c>
    </row>
    <row r="1835" spans="1:7" x14ac:dyDescent="0.4">
      <c r="A1835">
        <v>35</v>
      </c>
      <c r="B1835" t="s">
        <v>814</v>
      </c>
      <c r="C1835" s="9">
        <v>7.12</v>
      </c>
      <c r="D1835" s="9">
        <v>0.52</v>
      </c>
      <c r="E1835" s="19">
        <v>7.88</v>
      </c>
      <c r="F1835" s="4">
        <v>72714</v>
      </c>
      <c r="G1835" s="5">
        <v>43186</v>
      </c>
    </row>
    <row r="1836" spans="1:7" x14ac:dyDescent="0.4">
      <c r="A1836">
        <v>36</v>
      </c>
      <c r="B1836" t="s">
        <v>712</v>
      </c>
      <c r="C1836" s="9">
        <v>2.89</v>
      </c>
      <c r="D1836" s="9">
        <v>0.21</v>
      </c>
      <c r="E1836" s="19">
        <v>7.84</v>
      </c>
      <c r="F1836" s="4">
        <v>173787</v>
      </c>
      <c r="G1836" s="5">
        <v>43186</v>
      </c>
    </row>
    <row r="1837" spans="1:7" x14ac:dyDescent="0.4">
      <c r="A1837">
        <v>37</v>
      </c>
      <c r="B1837" t="s">
        <v>408</v>
      </c>
      <c r="C1837" s="9">
        <v>15.88</v>
      </c>
      <c r="D1837" s="9">
        <v>1.1499999999999999</v>
      </c>
      <c r="E1837" s="19">
        <v>7.77</v>
      </c>
      <c r="F1837" s="4">
        <v>223485</v>
      </c>
      <c r="G1837" s="5">
        <v>43186</v>
      </c>
    </row>
    <row r="1838" spans="1:7" x14ac:dyDescent="0.4">
      <c r="A1838">
        <v>38</v>
      </c>
      <c r="B1838" t="s">
        <v>701</v>
      </c>
      <c r="C1838" s="9">
        <v>8.33</v>
      </c>
      <c r="D1838" s="9">
        <v>0.6</v>
      </c>
      <c r="E1838" s="19">
        <v>7.76</v>
      </c>
      <c r="F1838" s="4">
        <v>692981</v>
      </c>
      <c r="G1838" s="5">
        <v>43186</v>
      </c>
    </row>
    <row r="1839" spans="1:7" x14ac:dyDescent="0.4">
      <c r="A1839">
        <v>39</v>
      </c>
      <c r="B1839" t="s">
        <v>125</v>
      </c>
      <c r="C1839" s="9">
        <v>9.9600000000000009</v>
      </c>
      <c r="D1839" s="9">
        <v>0.71</v>
      </c>
      <c r="E1839" s="19">
        <v>7.68</v>
      </c>
      <c r="F1839" s="4">
        <v>79426</v>
      </c>
      <c r="G1839" s="5">
        <v>43186</v>
      </c>
    </row>
    <row r="1840" spans="1:7" x14ac:dyDescent="0.4">
      <c r="A1840">
        <v>40</v>
      </c>
      <c r="B1840" t="s">
        <v>815</v>
      </c>
      <c r="C1840" s="9">
        <v>6.93</v>
      </c>
      <c r="D1840" s="9">
        <v>0.49</v>
      </c>
      <c r="E1840" s="19">
        <v>7.61</v>
      </c>
      <c r="F1840" s="4">
        <v>443509</v>
      </c>
      <c r="G1840" s="5">
        <v>43186</v>
      </c>
    </row>
    <row r="1841" spans="1:7" x14ac:dyDescent="0.4">
      <c r="A1841">
        <v>41</v>
      </c>
      <c r="B1841" t="s">
        <v>318</v>
      </c>
      <c r="C1841" s="9">
        <v>29.34</v>
      </c>
      <c r="D1841" s="9">
        <v>2.0699999999999998</v>
      </c>
      <c r="E1841" s="19">
        <v>7.59</v>
      </c>
      <c r="F1841" s="4">
        <v>17566</v>
      </c>
      <c r="G1841" s="5">
        <v>43186</v>
      </c>
    </row>
    <row r="1842" spans="1:7" x14ac:dyDescent="0.4">
      <c r="A1842">
        <v>42</v>
      </c>
      <c r="B1842" t="s">
        <v>491</v>
      </c>
      <c r="C1842" s="9">
        <v>15.24</v>
      </c>
      <c r="D1842" s="9">
        <v>1.07</v>
      </c>
      <c r="E1842" s="19">
        <v>7.53</v>
      </c>
      <c r="F1842" s="4">
        <v>14030</v>
      </c>
      <c r="G1842" s="5">
        <v>43186</v>
      </c>
    </row>
    <row r="1843" spans="1:7" x14ac:dyDescent="0.4">
      <c r="A1843">
        <v>43</v>
      </c>
      <c r="B1843" t="s">
        <v>816</v>
      </c>
      <c r="C1843" s="9">
        <v>4.3499999999999996</v>
      </c>
      <c r="D1843" s="9">
        <v>0.3</v>
      </c>
      <c r="E1843" s="19">
        <v>7.41</v>
      </c>
      <c r="F1843" s="4">
        <v>580852</v>
      </c>
      <c r="G1843" s="5">
        <v>43186</v>
      </c>
    </row>
    <row r="1844" spans="1:7" x14ac:dyDescent="0.4">
      <c r="A1844">
        <v>44</v>
      </c>
      <c r="B1844" t="s">
        <v>817</v>
      </c>
      <c r="C1844" s="9">
        <v>3.05</v>
      </c>
      <c r="D1844" s="9">
        <v>0.21</v>
      </c>
      <c r="E1844" s="19">
        <v>7.39</v>
      </c>
      <c r="F1844" s="4">
        <v>38024</v>
      </c>
      <c r="G1844" s="5">
        <v>43186</v>
      </c>
    </row>
    <row r="1845" spans="1:7" x14ac:dyDescent="0.4">
      <c r="A1845">
        <v>45</v>
      </c>
      <c r="B1845" t="s">
        <v>444</v>
      </c>
      <c r="C1845" s="9">
        <v>12.25</v>
      </c>
      <c r="D1845" s="9">
        <v>0.84</v>
      </c>
      <c r="E1845" s="19">
        <v>7.36</v>
      </c>
      <c r="F1845" s="4">
        <v>3222339</v>
      </c>
      <c r="G1845" s="5">
        <v>43186</v>
      </c>
    </row>
    <row r="1846" spans="1:7" x14ac:dyDescent="0.4">
      <c r="A1846">
        <v>46</v>
      </c>
      <c r="B1846" t="s">
        <v>145</v>
      </c>
      <c r="C1846" s="9">
        <v>2.58</v>
      </c>
      <c r="D1846" s="9">
        <v>0.18</v>
      </c>
      <c r="E1846" s="19">
        <v>7.33</v>
      </c>
      <c r="F1846" s="4">
        <v>55737</v>
      </c>
      <c r="G1846" s="5">
        <v>43186</v>
      </c>
    </row>
    <row r="1847" spans="1:7" x14ac:dyDescent="0.4">
      <c r="A1847">
        <v>47</v>
      </c>
      <c r="B1847" t="s">
        <v>209</v>
      </c>
      <c r="C1847" s="9">
        <v>9.5500000000000007</v>
      </c>
      <c r="D1847" s="9">
        <v>0.65</v>
      </c>
      <c r="E1847" s="19">
        <v>7.3</v>
      </c>
      <c r="F1847" s="4">
        <v>326976</v>
      </c>
      <c r="G1847" s="5">
        <v>43186</v>
      </c>
    </row>
    <row r="1848" spans="1:7" x14ac:dyDescent="0.4">
      <c r="A1848">
        <v>48</v>
      </c>
      <c r="B1848" t="s">
        <v>208</v>
      </c>
      <c r="C1848" s="9">
        <v>2.5</v>
      </c>
      <c r="D1848" s="9">
        <v>0.17</v>
      </c>
      <c r="E1848" s="19">
        <v>7.3</v>
      </c>
      <c r="F1848" s="4">
        <v>2861782</v>
      </c>
      <c r="G1848" s="5">
        <v>43186</v>
      </c>
    </row>
    <row r="1849" spans="1:7" x14ac:dyDescent="0.4">
      <c r="A1849">
        <v>49</v>
      </c>
      <c r="B1849" t="s">
        <v>749</v>
      </c>
      <c r="C1849" s="9">
        <v>2.5099999999999998</v>
      </c>
      <c r="D1849" s="9">
        <v>0.17</v>
      </c>
      <c r="E1849" s="19">
        <v>7.26</v>
      </c>
      <c r="F1849" s="4">
        <v>1485393</v>
      </c>
      <c r="G1849" s="5">
        <v>43186</v>
      </c>
    </row>
    <row r="1850" spans="1:7" x14ac:dyDescent="0.4">
      <c r="A1850">
        <v>50</v>
      </c>
      <c r="B1850" t="s">
        <v>818</v>
      </c>
      <c r="C1850" s="9">
        <v>16.899999999999999</v>
      </c>
      <c r="D1850" s="9">
        <v>1.1000000000000001</v>
      </c>
      <c r="E1850" s="19">
        <v>6.96</v>
      </c>
      <c r="F1850" s="4">
        <v>880505</v>
      </c>
      <c r="G1850" s="5">
        <v>43186</v>
      </c>
    </row>
    <row r="1851" spans="1:7" x14ac:dyDescent="0.4">
      <c r="A1851">
        <v>51</v>
      </c>
      <c r="B1851" t="s">
        <v>445</v>
      </c>
      <c r="C1851" s="9">
        <v>13.07</v>
      </c>
      <c r="D1851" s="9">
        <v>0.85</v>
      </c>
      <c r="E1851" s="19">
        <v>6.96</v>
      </c>
      <c r="F1851" s="4">
        <v>1736803</v>
      </c>
      <c r="G1851" s="5">
        <v>43186</v>
      </c>
    </row>
    <row r="1852" spans="1:7" x14ac:dyDescent="0.4">
      <c r="A1852">
        <v>52</v>
      </c>
      <c r="B1852" t="s">
        <v>250</v>
      </c>
      <c r="C1852" s="9">
        <v>2.78</v>
      </c>
      <c r="D1852" s="9">
        <v>0.18</v>
      </c>
      <c r="E1852" s="19">
        <v>6.92</v>
      </c>
      <c r="F1852" s="4">
        <v>4943</v>
      </c>
      <c r="G1852" s="5">
        <v>43186</v>
      </c>
    </row>
    <row r="1853" spans="1:7" x14ac:dyDescent="0.4">
      <c r="A1853">
        <v>53</v>
      </c>
      <c r="B1853" t="s">
        <v>819</v>
      </c>
      <c r="C1853" s="9">
        <v>37.6</v>
      </c>
      <c r="D1853" s="9">
        <v>2.4</v>
      </c>
      <c r="E1853" s="19">
        <v>6.82</v>
      </c>
      <c r="F1853" s="4">
        <v>1912200</v>
      </c>
      <c r="G1853" s="5">
        <v>43186</v>
      </c>
    </row>
    <row r="1854" spans="1:7" x14ac:dyDescent="0.4">
      <c r="A1854">
        <v>54</v>
      </c>
      <c r="B1854" t="s">
        <v>304</v>
      </c>
      <c r="C1854" s="9">
        <v>4.0999999999999996</v>
      </c>
      <c r="D1854" s="9">
        <v>0.26</v>
      </c>
      <c r="E1854" s="19">
        <v>6.77</v>
      </c>
      <c r="F1854" s="4">
        <v>19251</v>
      </c>
      <c r="G1854" s="5">
        <v>43186</v>
      </c>
    </row>
    <row r="1855" spans="1:7" x14ac:dyDescent="0.4">
      <c r="A1855">
        <v>55</v>
      </c>
      <c r="B1855" t="s">
        <v>641</v>
      </c>
      <c r="C1855" s="9">
        <v>8.2899999999999991</v>
      </c>
      <c r="D1855" s="9">
        <v>0.52</v>
      </c>
      <c r="E1855" s="19">
        <v>6.76</v>
      </c>
      <c r="F1855" s="4">
        <v>6434</v>
      </c>
      <c r="G1855" s="5">
        <v>43186</v>
      </c>
    </row>
    <row r="1856" spans="1:7" x14ac:dyDescent="0.4">
      <c r="A1856">
        <v>56</v>
      </c>
      <c r="B1856" t="s">
        <v>348</v>
      </c>
      <c r="C1856" s="9">
        <v>18.68</v>
      </c>
      <c r="D1856" s="9">
        <v>1.18</v>
      </c>
      <c r="E1856" s="19">
        <v>6.74</v>
      </c>
      <c r="F1856" s="4">
        <v>184526</v>
      </c>
      <c r="G1856" s="5">
        <v>43186</v>
      </c>
    </row>
    <row r="1857" spans="1:7" x14ac:dyDescent="0.4">
      <c r="A1857">
        <v>57</v>
      </c>
      <c r="B1857" t="s">
        <v>674</v>
      </c>
      <c r="C1857" s="9">
        <v>12.38</v>
      </c>
      <c r="D1857" s="9">
        <v>0.76</v>
      </c>
      <c r="E1857" s="19">
        <v>6.54</v>
      </c>
      <c r="F1857" s="4">
        <v>11024268</v>
      </c>
      <c r="G1857" s="5">
        <v>43186</v>
      </c>
    </row>
    <row r="1858" spans="1:7" x14ac:dyDescent="0.4">
      <c r="A1858">
        <v>58</v>
      </c>
      <c r="B1858" t="s">
        <v>820</v>
      </c>
      <c r="C1858" s="9">
        <v>6.83</v>
      </c>
      <c r="D1858" s="9">
        <v>0.41</v>
      </c>
      <c r="E1858" s="19">
        <v>6.39</v>
      </c>
      <c r="F1858" s="4">
        <v>322170</v>
      </c>
      <c r="G1858" s="5">
        <v>43186</v>
      </c>
    </row>
    <row r="1859" spans="1:7" x14ac:dyDescent="0.4">
      <c r="A1859">
        <v>59</v>
      </c>
      <c r="B1859" t="s">
        <v>821</v>
      </c>
      <c r="C1859" s="9">
        <v>10.95</v>
      </c>
      <c r="D1859" s="9">
        <v>0.65</v>
      </c>
      <c r="E1859" s="19">
        <v>6.31</v>
      </c>
      <c r="F1859" s="4">
        <v>18893</v>
      </c>
      <c r="G1859" s="5">
        <v>43186</v>
      </c>
    </row>
    <row r="1860" spans="1:7" x14ac:dyDescent="0.4">
      <c r="A1860">
        <v>60</v>
      </c>
      <c r="B1860" t="s">
        <v>150</v>
      </c>
      <c r="C1860" s="9">
        <v>2.5499999999999998</v>
      </c>
      <c r="D1860" s="9">
        <v>0.15</v>
      </c>
      <c r="E1860" s="19">
        <v>6.25</v>
      </c>
      <c r="F1860" s="4">
        <v>19551</v>
      </c>
      <c r="G1860" s="5">
        <v>43186</v>
      </c>
    </row>
    <row r="1861" spans="1:7" x14ac:dyDescent="0.4">
      <c r="A1861">
        <v>61</v>
      </c>
      <c r="B1861" t="s">
        <v>549</v>
      </c>
      <c r="C1861" s="9">
        <v>18.23</v>
      </c>
      <c r="D1861" s="9">
        <v>1.07</v>
      </c>
      <c r="E1861" s="19">
        <v>6.24</v>
      </c>
      <c r="F1861" s="4">
        <v>54606</v>
      </c>
      <c r="G1861" s="5">
        <v>43186</v>
      </c>
    </row>
    <row r="1862" spans="1:7" x14ac:dyDescent="0.4">
      <c r="A1862">
        <v>62</v>
      </c>
      <c r="B1862" t="s">
        <v>822</v>
      </c>
      <c r="C1862" s="9">
        <v>9.69</v>
      </c>
      <c r="D1862" s="9">
        <v>0.56000000000000005</v>
      </c>
      <c r="E1862" s="19">
        <v>6.12</v>
      </c>
      <c r="F1862" s="4">
        <v>5349</v>
      </c>
      <c r="G1862" s="5">
        <v>43186</v>
      </c>
    </row>
    <row r="1863" spans="1:7" x14ac:dyDescent="0.4">
      <c r="A1863">
        <v>63</v>
      </c>
      <c r="B1863" t="s">
        <v>823</v>
      </c>
      <c r="C1863" s="9">
        <v>2.98</v>
      </c>
      <c r="D1863" s="9">
        <v>0.17</v>
      </c>
      <c r="E1863" s="19">
        <v>6.05</v>
      </c>
      <c r="F1863" s="4">
        <v>1430429</v>
      </c>
      <c r="G1863" s="5">
        <v>43186</v>
      </c>
    </row>
    <row r="1864" spans="1:7" x14ac:dyDescent="0.4">
      <c r="A1864">
        <v>64</v>
      </c>
      <c r="B1864" t="s">
        <v>824</v>
      </c>
      <c r="C1864" s="9">
        <v>2.99</v>
      </c>
      <c r="D1864" s="9">
        <v>0.17</v>
      </c>
      <c r="E1864" s="19">
        <v>6.03</v>
      </c>
      <c r="F1864" s="4">
        <v>7195</v>
      </c>
      <c r="G1864" s="5">
        <v>43186</v>
      </c>
    </row>
    <row r="1865" spans="1:7" x14ac:dyDescent="0.4">
      <c r="A1865">
        <v>65</v>
      </c>
      <c r="B1865" t="s">
        <v>19</v>
      </c>
      <c r="C1865" s="9">
        <v>5.87</v>
      </c>
      <c r="D1865" s="9">
        <v>0.33</v>
      </c>
      <c r="E1865" s="19">
        <v>5.96</v>
      </c>
      <c r="F1865" s="4">
        <v>14080</v>
      </c>
      <c r="G1865" s="5">
        <v>43186</v>
      </c>
    </row>
    <row r="1866" spans="1:7" x14ac:dyDescent="0.4">
      <c r="A1866">
        <v>66</v>
      </c>
      <c r="B1866" t="s">
        <v>825</v>
      </c>
      <c r="C1866" s="9">
        <v>96.49</v>
      </c>
      <c r="D1866" s="9">
        <v>5.42</v>
      </c>
      <c r="E1866" s="19">
        <v>5.95</v>
      </c>
      <c r="F1866" s="4">
        <v>5406</v>
      </c>
      <c r="G1866" s="5">
        <v>43186</v>
      </c>
    </row>
    <row r="1867" spans="1:7" x14ac:dyDescent="0.4">
      <c r="A1867">
        <v>67</v>
      </c>
      <c r="B1867" t="s">
        <v>826</v>
      </c>
      <c r="C1867" s="9">
        <v>8.02</v>
      </c>
      <c r="D1867" s="9">
        <v>0.44</v>
      </c>
      <c r="E1867" s="19">
        <v>5.8</v>
      </c>
      <c r="F1867" s="4">
        <v>476898</v>
      </c>
      <c r="G1867" s="5">
        <v>43186</v>
      </c>
    </row>
    <row r="1868" spans="1:7" x14ac:dyDescent="0.4">
      <c r="A1868">
        <v>68</v>
      </c>
      <c r="B1868" t="s">
        <v>686</v>
      </c>
      <c r="C1868" s="9">
        <v>25.72</v>
      </c>
      <c r="D1868" s="9">
        <v>1.41</v>
      </c>
      <c r="E1868" s="19">
        <v>5.8</v>
      </c>
      <c r="F1868" s="4">
        <v>5625593</v>
      </c>
      <c r="G1868" s="5">
        <v>43186</v>
      </c>
    </row>
    <row r="1869" spans="1:7" x14ac:dyDescent="0.4">
      <c r="A1869">
        <v>69</v>
      </c>
      <c r="B1869" t="s">
        <v>659</v>
      </c>
      <c r="C1869" s="9">
        <v>32.14</v>
      </c>
      <c r="D1869" s="9">
        <v>1.76</v>
      </c>
      <c r="E1869" s="19">
        <v>5.79</v>
      </c>
      <c r="F1869" s="4">
        <v>607561</v>
      </c>
      <c r="G1869" s="5">
        <v>43186</v>
      </c>
    </row>
    <row r="1870" spans="1:7" x14ac:dyDescent="0.4">
      <c r="A1870">
        <v>70</v>
      </c>
      <c r="B1870" t="s">
        <v>660</v>
      </c>
      <c r="C1870" s="9">
        <v>12.21</v>
      </c>
      <c r="D1870" s="9">
        <v>0.66</v>
      </c>
      <c r="E1870" s="19">
        <v>5.71</v>
      </c>
      <c r="F1870" s="4">
        <v>11723440</v>
      </c>
      <c r="G1870" s="5">
        <v>43186</v>
      </c>
    </row>
    <row r="1871" spans="1:7" x14ac:dyDescent="0.4">
      <c r="A1871">
        <v>71</v>
      </c>
      <c r="B1871" t="s">
        <v>683</v>
      </c>
      <c r="C1871" s="9">
        <v>21.84</v>
      </c>
      <c r="D1871" s="9">
        <v>1.1499999999999999</v>
      </c>
      <c r="E1871" s="19">
        <v>5.56</v>
      </c>
      <c r="F1871" s="4">
        <v>64184</v>
      </c>
      <c r="G1871" s="5">
        <v>43186</v>
      </c>
    </row>
    <row r="1872" spans="1:7" x14ac:dyDescent="0.4">
      <c r="A1872">
        <v>72</v>
      </c>
      <c r="B1872" t="s">
        <v>827</v>
      </c>
      <c r="C1872" s="9">
        <v>6.46</v>
      </c>
      <c r="D1872" s="9">
        <v>0.34</v>
      </c>
      <c r="E1872" s="19">
        <v>5.56</v>
      </c>
      <c r="F1872" s="4">
        <v>21211</v>
      </c>
      <c r="G1872" s="5">
        <v>43186</v>
      </c>
    </row>
    <row r="1873" spans="1:7" x14ac:dyDescent="0.4">
      <c r="A1873">
        <v>73</v>
      </c>
      <c r="B1873" t="s">
        <v>644</v>
      </c>
      <c r="C1873" s="9">
        <v>8.15</v>
      </c>
      <c r="D1873" s="9">
        <v>0.42</v>
      </c>
      <c r="E1873" s="19">
        <v>5.43</v>
      </c>
      <c r="F1873" s="4">
        <v>2155134</v>
      </c>
      <c r="G1873" s="5">
        <v>43186</v>
      </c>
    </row>
    <row r="1874" spans="1:7" x14ac:dyDescent="0.4">
      <c r="A1874">
        <v>74</v>
      </c>
      <c r="B1874" t="s">
        <v>729</v>
      </c>
      <c r="C1874" s="9">
        <v>9.1999999999999993</v>
      </c>
      <c r="D1874" s="9">
        <v>0.47</v>
      </c>
      <c r="E1874" s="19">
        <v>5.39</v>
      </c>
      <c r="F1874" s="4">
        <v>12319</v>
      </c>
      <c r="G1874" s="5">
        <v>43186</v>
      </c>
    </row>
    <row r="1875" spans="1:7" x14ac:dyDescent="0.4">
      <c r="A1875">
        <v>75</v>
      </c>
      <c r="B1875" t="s">
        <v>699</v>
      </c>
      <c r="C1875" s="9">
        <v>23.49</v>
      </c>
      <c r="D1875" s="9">
        <v>1.2</v>
      </c>
      <c r="E1875" s="19">
        <v>5.38</v>
      </c>
      <c r="F1875" s="4">
        <v>63509</v>
      </c>
      <c r="G1875" s="5">
        <v>43186</v>
      </c>
    </row>
    <row r="1876" spans="1:7" x14ac:dyDescent="0.4">
      <c r="A1876">
        <v>76</v>
      </c>
      <c r="B1876" t="s">
        <v>650</v>
      </c>
      <c r="C1876" s="9">
        <v>11.57</v>
      </c>
      <c r="D1876" s="9">
        <v>0.59</v>
      </c>
      <c r="E1876" s="19">
        <v>5.37</v>
      </c>
      <c r="F1876" s="4">
        <v>24116642</v>
      </c>
      <c r="G1876" s="5">
        <v>43186</v>
      </c>
    </row>
    <row r="1877" spans="1:7" x14ac:dyDescent="0.4">
      <c r="A1877">
        <v>77</v>
      </c>
      <c r="B1877" t="s">
        <v>653</v>
      </c>
      <c r="C1877" s="9">
        <v>30.5</v>
      </c>
      <c r="D1877" s="9">
        <v>1.54</v>
      </c>
      <c r="E1877" s="19">
        <v>5.32</v>
      </c>
      <c r="F1877" s="4">
        <v>8406946</v>
      </c>
      <c r="G1877" s="5">
        <v>43186</v>
      </c>
    </row>
    <row r="1878" spans="1:7" x14ac:dyDescent="0.4">
      <c r="A1878">
        <v>78</v>
      </c>
      <c r="B1878" t="s">
        <v>828</v>
      </c>
      <c r="C1878" s="9">
        <v>23.58</v>
      </c>
      <c r="D1878" s="9">
        <v>1.18</v>
      </c>
      <c r="E1878" s="19">
        <v>5.27</v>
      </c>
      <c r="F1878" s="4">
        <v>13837</v>
      </c>
      <c r="G1878" s="5">
        <v>43186</v>
      </c>
    </row>
    <row r="1879" spans="1:7" x14ac:dyDescent="0.4">
      <c r="A1879">
        <v>79</v>
      </c>
      <c r="B1879" t="s">
        <v>355</v>
      </c>
      <c r="C1879" s="9">
        <v>7.55</v>
      </c>
      <c r="D1879" s="9">
        <v>0.36</v>
      </c>
      <c r="E1879" s="19">
        <v>5.01</v>
      </c>
      <c r="F1879" s="4">
        <v>101003</v>
      </c>
      <c r="G1879" s="5">
        <v>43186</v>
      </c>
    </row>
    <row r="1880" spans="1:7" x14ac:dyDescent="0.4">
      <c r="A1880">
        <v>80</v>
      </c>
      <c r="B1880" t="s">
        <v>829</v>
      </c>
      <c r="C1880" s="9">
        <v>53.48</v>
      </c>
      <c r="D1880" s="9">
        <v>2.5299999999999998</v>
      </c>
      <c r="E1880" s="19">
        <v>4.97</v>
      </c>
      <c r="F1880" s="4">
        <v>1456477</v>
      </c>
      <c r="G1880" s="5">
        <v>43186</v>
      </c>
    </row>
    <row r="1881" spans="1:7" x14ac:dyDescent="0.4">
      <c r="A1881">
        <v>81</v>
      </c>
      <c r="B1881" t="s">
        <v>830</v>
      </c>
      <c r="C1881" s="9">
        <v>3.21</v>
      </c>
      <c r="D1881" s="9">
        <v>0.15</v>
      </c>
      <c r="E1881" s="19">
        <v>4.9000000000000004</v>
      </c>
      <c r="F1881" s="4">
        <v>13358522</v>
      </c>
      <c r="G1881" s="5">
        <v>43186</v>
      </c>
    </row>
    <row r="1882" spans="1:7" x14ac:dyDescent="0.4">
      <c r="A1882">
        <v>82</v>
      </c>
      <c r="B1882" t="s">
        <v>181</v>
      </c>
      <c r="C1882" s="9">
        <v>2.15</v>
      </c>
      <c r="D1882" s="9">
        <v>0.1</v>
      </c>
      <c r="E1882" s="19">
        <v>4.88</v>
      </c>
      <c r="F1882" s="4">
        <v>223655</v>
      </c>
      <c r="G1882" s="5">
        <v>43186</v>
      </c>
    </row>
    <row r="1883" spans="1:7" x14ac:dyDescent="0.4">
      <c r="A1883">
        <v>83</v>
      </c>
      <c r="B1883" t="s">
        <v>831</v>
      </c>
      <c r="C1883" s="9">
        <v>8.6</v>
      </c>
      <c r="D1883" s="9">
        <v>0.4</v>
      </c>
      <c r="E1883" s="19">
        <v>4.88</v>
      </c>
      <c r="F1883" s="4">
        <v>406209</v>
      </c>
      <c r="G1883" s="5">
        <v>43186</v>
      </c>
    </row>
    <row r="1884" spans="1:7" x14ac:dyDescent="0.4">
      <c r="A1884">
        <v>84</v>
      </c>
      <c r="B1884" t="s">
        <v>645</v>
      </c>
      <c r="C1884" s="9">
        <v>11.83</v>
      </c>
      <c r="D1884" s="9">
        <v>0.55000000000000004</v>
      </c>
      <c r="E1884" s="19">
        <v>4.88</v>
      </c>
      <c r="F1884" s="4">
        <v>4653908</v>
      </c>
      <c r="G1884" s="5">
        <v>43186</v>
      </c>
    </row>
    <row r="1885" spans="1:7" x14ac:dyDescent="0.4">
      <c r="A1885">
        <v>85</v>
      </c>
      <c r="B1885" t="s">
        <v>580</v>
      </c>
      <c r="C1885" s="9">
        <v>4.76</v>
      </c>
      <c r="D1885" s="9">
        <v>0.22</v>
      </c>
      <c r="E1885" s="19">
        <v>4.8499999999999996</v>
      </c>
      <c r="F1885" s="4">
        <v>4455</v>
      </c>
      <c r="G1885" s="5">
        <v>43186</v>
      </c>
    </row>
    <row r="1886" spans="1:7" x14ac:dyDescent="0.4">
      <c r="A1886">
        <v>86</v>
      </c>
      <c r="B1886" t="s">
        <v>832</v>
      </c>
      <c r="C1886" s="9">
        <v>35.75</v>
      </c>
      <c r="D1886" s="9">
        <v>1.65</v>
      </c>
      <c r="E1886" s="19">
        <v>4.84</v>
      </c>
      <c r="F1886" s="4">
        <v>3211</v>
      </c>
      <c r="G1886" s="5">
        <v>43186</v>
      </c>
    </row>
    <row r="1887" spans="1:7" x14ac:dyDescent="0.4">
      <c r="A1887">
        <v>87</v>
      </c>
      <c r="B1887" t="s">
        <v>833</v>
      </c>
      <c r="C1887" s="9">
        <v>21.45</v>
      </c>
      <c r="D1887" s="9">
        <v>0.99</v>
      </c>
      <c r="E1887" s="19">
        <v>4.84</v>
      </c>
      <c r="F1887" s="4">
        <v>97228</v>
      </c>
      <c r="G1887" s="5">
        <v>43186</v>
      </c>
    </row>
    <row r="1888" spans="1:7" x14ac:dyDescent="0.4">
      <c r="A1888">
        <v>88</v>
      </c>
      <c r="B1888" t="s">
        <v>64</v>
      </c>
      <c r="C1888" s="9">
        <v>5.97</v>
      </c>
      <c r="D1888" s="9">
        <v>0.27</v>
      </c>
      <c r="E1888" s="19">
        <v>4.82</v>
      </c>
      <c r="F1888" s="4">
        <v>18773</v>
      </c>
      <c r="G1888" s="5">
        <v>43186</v>
      </c>
    </row>
    <row r="1889" spans="1:7" x14ac:dyDescent="0.4">
      <c r="A1889">
        <v>89</v>
      </c>
      <c r="B1889" t="s">
        <v>834</v>
      </c>
      <c r="C1889" s="9">
        <v>10.69</v>
      </c>
      <c r="D1889" s="9">
        <v>0.49</v>
      </c>
      <c r="E1889" s="19">
        <v>4.8</v>
      </c>
      <c r="F1889" s="4">
        <v>2517505</v>
      </c>
      <c r="G1889" s="5">
        <v>43186</v>
      </c>
    </row>
    <row r="1890" spans="1:7" x14ac:dyDescent="0.4">
      <c r="A1890">
        <v>90</v>
      </c>
      <c r="B1890" t="s">
        <v>637</v>
      </c>
      <c r="C1890" s="9">
        <v>22.95</v>
      </c>
      <c r="D1890" s="9">
        <v>1.05</v>
      </c>
      <c r="E1890" s="19">
        <v>4.79</v>
      </c>
      <c r="F1890" s="4">
        <v>605664</v>
      </c>
      <c r="G1890" s="5">
        <v>43186</v>
      </c>
    </row>
    <row r="1891" spans="1:7" x14ac:dyDescent="0.4">
      <c r="A1891">
        <v>91</v>
      </c>
      <c r="B1891" t="s">
        <v>374</v>
      </c>
      <c r="C1891" s="9">
        <v>4.4000000000000004</v>
      </c>
      <c r="D1891" s="9">
        <v>0.2</v>
      </c>
      <c r="E1891" s="19">
        <v>4.76</v>
      </c>
      <c r="F1891" s="4">
        <v>33166</v>
      </c>
      <c r="G1891" s="5">
        <v>43186</v>
      </c>
    </row>
    <row r="1892" spans="1:7" x14ac:dyDescent="0.4">
      <c r="A1892">
        <v>92</v>
      </c>
      <c r="B1892" t="s">
        <v>835</v>
      </c>
      <c r="C1892" s="9">
        <v>2.2000000000000002</v>
      </c>
      <c r="D1892" s="9">
        <v>0.1</v>
      </c>
      <c r="E1892" s="19">
        <v>4.76</v>
      </c>
      <c r="F1892" s="4">
        <v>466503</v>
      </c>
      <c r="G1892" s="5">
        <v>43186</v>
      </c>
    </row>
    <row r="1893" spans="1:7" x14ac:dyDescent="0.4">
      <c r="A1893">
        <v>93</v>
      </c>
      <c r="B1893" t="s">
        <v>836</v>
      </c>
      <c r="C1893" s="9">
        <v>4.4400000000000004</v>
      </c>
      <c r="D1893" s="9">
        <v>0.2</v>
      </c>
      <c r="E1893" s="19">
        <v>4.72</v>
      </c>
      <c r="F1893" s="4">
        <v>3671</v>
      </c>
      <c r="G1893" s="5">
        <v>43186</v>
      </c>
    </row>
    <row r="1894" spans="1:7" x14ac:dyDescent="0.4">
      <c r="A1894">
        <v>94</v>
      </c>
      <c r="B1894" t="s">
        <v>837</v>
      </c>
      <c r="C1894" s="9">
        <v>11.07</v>
      </c>
      <c r="D1894" s="9">
        <v>0.48</v>
      </c>
      <c r="E1894" s="19">
        <v>4.53</v>
      </c>
      <c r="F1894" s="4">
        <v>2771</v>
      </c>
      <c r="G1894" s="5">
        <v>43186</v>
      </c>
    </row>
    <row r="1895" spans="1:7" x14ac:dyDescent="0.4">
      <c r="A1895">
        <v>95</v>
      </c>
      <c r="B1895" t="s">
        <v>22</v>
      </c>
      <c r="C1895" s="9">
        <v>28.9</v>
      </c>
      <c r="D1895" s="9">
        <v>1.25</v>
      </c>
      <c r="E1895" s="19">
        <v>4.5199999999999996</v>
      </c>
      <c r="F1895" s="4">
        <v>815642</v>
      </c>
      <c r="G1895" s="5">
        <v>43186</v>
      </c>
    </row>
    <row r="1896" spans="1:7" x14ac:dyDescent="0.4">
      <c r="A1896">
        <v>96</v>
      </c>
      <c r="B1896" t="s">
        <v>838</v>
      </c>
      <c r="C1896" s="9">
        <v>22.2</v>
      </c>
      <c r="D1896" s="9">
        <v>0.96</v>
      </c>
      <c r="E1896" s="19">
        <v>4.5199999999999996</v>
      </c>
      <c r="F1896" s="4">
        <v>390235</v>
      </c>
      <c r="G1896" s="5">
        <v>43186</v>
      </c>
    </row>
    <row r="1897" spans="1:7" x14ac:dyDescent="0.4">
      <c r="A1897">
        <v>97</v>
      </c>
      <c r="B1897" t="s">
        <v>839</v>
      </c>
      <c r="C1897" s="9">
        <v>26.83</v>
      </c>
      <c r="D1897" s="9">
        <v>1.1599999999999999</v>
      </c>
      <c r="E1897" s="19">
        <v>4.5199999999999996</v>
      </c>
      <c r="F1897" s="4">
        <v>29971</v>
      </c>
      <c r="G1897" s="5">
        <v>43186</v>
      </c>
    </row>
    <row r="1898" spans="1:7" x14ac:dyDescent="0.4">
      <c r="A1898">
        <v>98</v>
      </c>
      <c r="B1898" t="s">
        <v>840</v>
      </c>
      <c r="C1898" s="9">
        <v>14</v>
      </c>
      <c r="D1898" s="9">
        <v>0.6</v>
      </c>
      <c r="E1898" s="19">
        <v>4.4800000000000004</v>
      </c>
      <c r="F1898" s="4">
        <v>669013</v>
      </c>
      <c r="G1898" s="5">
        <v>43186</v>
      </c>
    </row>
    <row r="1899" spans="1:7" x14ac:dyDescent="0.4">
      <c r="A1899">
        <v>99</v>
      </c>
      <c r="B1899" t="s">
        <v>841</v>
      </c>
      <c r="C1899" s="9">
        <v>12.9</v>
      </c>
      <c r="D1899" s="9">
        <v>0.55000000000000004</v>
      </c>
      <c r="E1899" s="19">
        <v>4.45</v>
      </c>
      <c r="F1899" s="4">
        <v>318189</v>
      </c>
      <c r="G1899" s="5">
        <v>43186</v>
      </c>
    </row>
    <row r="1900" spans="1:7" x14ac:dyDescent="0.4">
      <c r="A1900">
        <v>100</v>
      </c>
      <c r="B1900" t="s">
        <v>656</v>
      </c>
      <c r="C1900" s="9">
        <v>13.96</v>
      </c>
      <c r="D1900" s="9">
        <v>0.59</v>
      </c>
      <c r="E1900" s="19">
        <v>4.45</v>
      </c>
      <c r="F1900" s="4">
        <v>19661</v>
      </c>
      <c r="G1900" s="5">
        <v>43186</v>
      </c>
    </row>
    <row r="1901" spans="1:7" x14ac:dyDescent="0.4">
      <c r="A1901">
        <v>1</v>
      </c>
      <c r="B1901" s="15" t="s">
        <v>676</v>
      </c>
      <c r="C1901" s="9">
        <v>2.75</v>
      </c>
      <c r="D1901" s="9">
        <v>0.65</v>
      </c>
      <c r="E1901" s="19">
        <v>30.95</v>
      </c>
      <c r="F1901" s="4">
        <v>230080</v>
      </c>
      <c r="G1901" s="5">
        <v>43186</v>
      </c>
    </row>
    <row r="1902" spans="1:7" x14ac:dyDescent="0.4">
      <c r="A1902">
        <v>2</v>
      </c>
      <c r="B1902" t="s">
        <v>843</v>
      </c>
      <c r="C1902" s="9">
        <v>44.8</v>
      </c>
      <c r="D1902" s="9">
        <v>6.6</v>
      </c>
      <c r="E1902" s="19">
        <v>17.28</v>
      </c>
      <c r="F1902" s="4">
        <v>511331</v>
      </c>
      <c r="G1902" s="5">
        <v>43187</v>
      </c>
    </row>
    <row r="1903" spans="1:7" x14ac:dyDescent="0.4">
      <c r="A1903">
        <v>3</v>
      </c>
      <c r="B1903" t="s">
        <v>844</v>
      </c>
      <c r="C1903" s="9">
        <v>18.66</v>
      </c>
      <c r="D1903" s="9">
        <v>2.66</v>
      </c>
      <c r="E1903" s="19">
        <v>16.63</v>
      </c>
      <c r="F1903" s="4">
        <v>2958631</v>
      </c>
      <c r="G1903" s="5">
        <v>43187</v>
      </c>
    </row>
    <row r="1904" spans="1:7" x14ac:dyDescent="0.4">
      <c r="A1904">
        <v>4</v>
      </c>
      <c r="B1904" t="s">
        <v>845</v>
      </c>
      <c r="C1904" s="9">
        <v>45</v>
      </c>
      <c r="D1904" s="9">
        <v>6.08</v>
      </c>
      <c r="E1904" s="19">
        <v>15.62</v>
      </c>
      <c r="F1904" s="4">
        <v>34463085</v>
      </c>
      <c r="G1904" s="5">
        <v>43187</v>
      </c>
    </row>
    <row r="1905" spans="1:7" x14ac:dyDescent="0.4">
      <c r="A1905">
        <v>5</v>
      </c>
      <c r="B1905" t="s">
        <v>846</v>
      </c>
      <c r="C1905" s="9">
        <v>28.13</v>
      </c>
      <c r="D1905" s="9">
        <v>3.74</v>
      </c>
      <c r="E1905" s="19">
        <v>15.33</v>
      </c>
      <c r="F1905" s="4">
        <v>13000055</v>
      </c>
      <c r="G1905" s="5">
        <v>43187</v>
      </c>
    </row>
    <row r="1906" spans="1:7" x14ac:dyDescent="0.4">
      <c r="A1906">
        <v>6</v>
      </c>
      <c r="B1906" t="s">
        <v>579</v>
      </c>
      <c r="C1906" s="9">
        <v>3.85</v>
      </c>
      <c r="D1906" s="9">
        <v>0.5</v>
      </c>
      <c r="E1906" s="19">
        <v>14.93</v>
      </c>
      <c r="F1906" s="4">
        <v>66924</v>
      </c>
      <c r="G1906" s="5">
        <v>43187</v>
      </c>
    </row>
    <row r="1907" spans="1:7" x14ac:dyDescent="0.4">
      <c r="A1907">
        <v>7</v>
      </c>
      <c r="B1907" t="s">
        <v>33</v>
      </c>
      <c r="C1907" s="9">
        <v>5.97</v>
      </c>
      <c r="D1907" s="9">
        <v>0.75</v>
      </c>
      <c r="E1907" s="19">
        <v>14.25</v>
      </c>
      <c r="F1907" s="4">
        <v>53361</v>
      </c>
      <c r="G1907" s="5">
        <v>43187</v>
      </c>
    </row>
    <row r="1908" spans="1:7" x14ac:dyDescent="0.4">
      <c r="A1908">
        <v>8</v>
      </c>
      <c r="B1908" t="s">
        <v>50</v>
      </c>
      <c r="C1908" s="9">
        <v>3.79</v>
      </c>
      <c r="D1908" s="9">
        <v>0.44</v>
      </c>
      <c r="E1908" s="19">
        <v>13.13</v>
      </c>
      <c r="F1908" s="4">
        <v>410707</v>
      </c>
      <c r="G1908" s="5">
        <v>43187</v>
      </c>
    </row>
    <row r="1909" spans="1:7" x14ac:dyDescent="0.4">
      <c r="A1909">
        <v>9</v>
      </c>
      <c r="B1909" t="s">
        <v>676</v>
      </c>
      <c r="C1909" s="9">
        <v>3.1</v>
      </c>
      <c r="D1909" s="9">
        <v>0.35</v>
      </c>
      <c r="E1909" s="19">
        <v>12.73</v>
      </c>
      <c r="F1909" s="4">
        <v>468993</v>
      </c>
      <c r="G1909" s="5">
        <v>43187</v>
      </c>
    </row>
    <row r="1910" spans="1:7" x14ac:dyDescent="0.4">
      <c r="A1910">
        <v>10</v>
      </c>
      <c r="B1910" t="s">
        <v>701</v>
      </c>
      <c r="C1910" s="9">
        <v>9.3699999999999992</v>
      </c>
      <c r="D1910" s="9">
        <v>1.04</v>
      </c>
      <c r="E1910" s="19">
        <v>12.48</v>
      </c>
      <c r="F1910" s="4">
        <v>1021502</v>
      </c>
      <c r="G1910" s="5">
        <v>43187</v>
      </c>
    </row>
    <row r="1911" spans="1:7" x14ac:dyDescent="0.4">
      <c r="A1911">
        <v>11</v>
      </c>
      <c r="B1911" t="s">
        <v>208</v>
      </c>
      <c r="C1911" s="9">
        <v>2.81</v>
      </c>
      <c r="D1911" s="9">
        <v>0.31</v>
      </c>
      <c r="E1911" s="19">
        <v>12.4</v>
      </c>
      <c r="F1911" s="4">
        <v>3131681</v>
      </c>
      <c r="G1911" s="5">
        <v>43187</v>
      </c>
    </row>
    <row r="1912" spans="1:7" x14ac:dyDescent="0.4">
      <c r="A1912">
        <v>12</v>
      </c>
      <c r="B1912" t="s">
        <v>847</v>
      </c>
      <c r="C1912" s="9">
        <v>144.53</v>
      </c>
      <c r="D1912" s="9">
        <v>15.66</v>
      </c>
      <c r="E1912" s="19">
        <v>12.15</v>
      </c>
      <c r="F1912" s="4">
        <v>7124065</v>
      </c>
      <c r="G1912" s="5">
        <v>43187</v>
      </c>
    </row>
    <row r="1913" spans="1:7" x14ac:dyDescent="0.4">
      <c r="A1913">
        <v>13</v>
      </c>
      <c r="B1913" t="s">
        <v>848</v>
      </c>
      <c r="C1913" s="9">
        <v>3.92</v>
      </c>
      <c r="D1913" s="9">
        <v>0.4</v>
      </c>
      <c r="E1913" s="19">
        <v>11.36</v>
      </c>
      <c r="F1913" s="4">
        <v>470715</v>
      </c>
      <c r="G1913" s="5">
        <v>43187</v>
      </c>
    </row>
    <row r="1914" spans="1:7" x14ac:dyDescent="0.4">
      <c r="A1914">
        <v>14</v>
      </c>
      <c r="B1914" t="s">
        <v>849</v>
      </c>
      <c r="C1914" s="9">
        <v>12.24</v>
      </c>
      <c r="D1914" s="9">
        <v>1.24</v>
      </c>
      <c r="E1914" s="19">
        <v>11.27</v>
      </c>
      <c r="F1914" s="4">
        <v>1651442</v>
      </c>
      <c r="G1914" s="5">
        <v>43187</v>
      </c>
    </row>
    <row r="1915" spans="1:7" x14ac:dyDescent="0.4">
      <c r="A1915">
        <v>15</v>
      </c>
      <c r="B1915" t="s">
        <v>850</v>
      </c>
      <c r="C1915" s="9">
        <v>159.65</v>
      </c>
      <c r="D1915" s="9">
        <v>14.75</v>
      </c>
      <c r="E1915" s="19">
        <v>10.18</v>
      </c>
      <c r="F1915" s="4">
        <v>141601</v>
      </c>
      <c r="G1915" s="5">
        <v>43187</v>
      </c>
    </row>
    <row r="1916" spans="1:7" x14ac:dyDescent="0.4">
      <c r="A1916">
        <v>16</v>
      </c>
      <c r="B1916" t="s">
        <v>851</v>
      </c>
      <c r="C1916" s="9">
        <v>6.7</v>
      </c>
      <c r="D1916" s="9">
        <v>0.6</v>
      </c>
      <c r="E1916" s="19">
        <v>9.84</v>
      </c>
      <c r="F1916" s="4">
        <v>326555</v>
      </c>
      <c r="G1916" s="5">
        <v>43187</v>
      </c>
    </row>
    <row r="1917" spans="1:7" x14ac:dyDescent="0.4">
      <c r="A1917">
        <v>17</v>
      </c>
      <c r="B1917" t="s">
        <v>852</v>
      </c>
      <c r="C1917" s="9">
        <v>5.03</v>
      </c>
      <c r="D1917" s="9">
        <v>0.44</v>
      </c>
      <c r="E1917" s="19">
        <v>9.59</v>
      </c>
      <c r="F1917" s="4">
        <v>1550260</v>
      </c>
      <c r="G1917" s="5">
        <v>43187</v>
      </c>
    </row>
    <row r="1918" spans="1:7" x14ac:dyDescent="0.4">
      <c r="A1918">
        <v>18</v>
      </c>
      <c r="B1918" t="s">
        <v>853</v>
      </c>
      <c r="C1918" s="9">
        <v>85.96</v>
      </c>
      <c r="D1918" s="9">
        <v>7.25</v>
      </c>
      <c r="E1918" s="19">
        <v>9.2100000000000009</v>
      </c>
      <c r="F1918" s="4">
        <v>10322715</v>
      </c>
      <c r="G1918" s="5">
        <v>43187</v>
      </c>
    </row>
    <row r="1919" spans="1:7" x14ac:dyDescent="0.4">
      <c r="A1919">
        <v>19</v>
      </c>
      <c r="B1919" t="s">
        <v>854</v>
      </c>
      <c r="C1919" s="9">
        <v>14.05</v>
      </c>
      <c r="D1919" s="9">
        <v>1.1499999999999999</v>
      </c>
      <c r="E1919" s="19">
        <v>8.91</v>
      </c>
      <c r="F1919" s="4">
        <v>7993</v>
      </c>
      <c r="G1919" s="5">
        <v>43187</v>
      </c>
    </row>
    <row r="1920" spans="1:7" x14ac:dyDescent="0.4">
      <c r="A1920">
        <v>20</v>
      </c>
      <c r="B1920" t="s">
        <v>855</v>
      </c>
      <c r="C1920" s="9">
        <v>10.38</v>
      </c>
      <c r="D1920" s="9">
        <v>0.83</v>
      </c>
      <c r="E1920" s="19">
        <v>8.69</v>
      </c>
      <c r="F1920" s="4">
        <v>5961394</v>
      </c>
      <c r="G1920" s="5">
        <v>43187</v>
      </c>
    </row>
    <row r="1921" spans="1:7" x14ac:dyDescent="0.4">
      <c r="A1921">
        <v>21</v>
      </c>
      <c r="B1921" t="s">
        <v>856</v>
      </c>
      <c r="C1921" s="9">
        <v>4.1399999999999997</v>
      </c>
      <c r="D1921" s="9">
        <v>0.33</v>
      </c>
      <c r="E1921" s="19">
        <v>8.66</v>
      </c>
      <c r="F1921" s="4">
        <v>3383314</v>
      </c>
      <c r="G1921" s="5">
        <v>43187</v>
      </c>
    </row>
    <row r="1922" spans="1:7" x14ac:dyDescent="0.4">
      <c r="A1922">
        <v>22</v>
      </c>
      <c r="B1922" t="s">
        <v>857</v>
      </c>
      <c r="C1922" s="9">
        <v>4.91</v>
      </c>
      <c r="D1922" s="9">
        <v>0.39</v>
      </c>
      <c r="E1922" s="19">
        <v>8.6300000000000008</v>
      </c>
      <c r="F1922" s="4">
        <v>543588</v>
      </c>
      <c r="G1922" s="5">
        <v>43187</v>
      </c>
    </row>
    <row r="1923" spans="1:7" x14ac:dyDescent="0.4">
      <c r="A1923">
        <v>23</v>
      </c>
      <c r="B1923" t="s">
        <v>145</v>
      </c>
      <c r="C1923" s="9">
        <v>2.8</v>
      </c>
      <c r="D1923" s="9">
        <v>0.22</v>
      </c>
      <c r="E1923" s="19">
        <v>8.51</v>
      </c>
      <c r="F1923" s="4">
        <v>45040</v>
      </c>
      <c r="G1923" s="5">
        <v>43187</v>
      </c>
    </row>
    <row r="1924" spans="1:7" x14ac:dyDescent="0.4">
      <c r="A1924">
        <v>24</v>
      </c>
      <c r="B1924" t="s">
        <v>858</v>
      </c>
      <c r="C1924" s="9">
        <v>18.96</v>
      </c>
      <c r="D1924" s="9">
        <v>1.46</v>
      </c>
      <c r="E1924" s="19">
        <v>8.34</v>
      </c>
      <c r="F1924" s="4">
        <v>92759</v>
      </c>
      <c r="G1924" s="5">
        <v>43187</v>
      </c>
    </row>
    <row r="1925" spans="1:7" x14ac:dyDescent="0.4">
      <c r="A1925">
        <v>25</v>
      </c>
      <c r="B1925" t="s">
        <v>119</v>
      </c>
      <c r="C1925" s="9">
        <v>23.52</v>
      </c>
      <c r="D1925" s="9">
        <v>1.81</v>
      </c>
      <c r="E1925" s="19">
        <v>8.34</v>
      </c>
      <c r="F1925" s="4">
        <v>34949</v>
      </c>
      <c r="G1925" s="5">
        <v>43187</v>
      </c>
    </row>
    <row r="1926" spans="1:7" x14ac:dyDescent="0.4">
      <c r="A1926">
        <v>26</v>
      </c>
      <c r="B1926" t="s">
        <v>210</v>
      </c>
      <c r="C1926" s="9">
        <v>3.56</v>
      </c>
      <c r="D1926" s="9">
        <v>0.27</v>
      </c>
      <c r="E1926" s="19">
        <v>8.2100000000000009</v>
      </c>
      <c r="F1926" s="4">
        <v>326406</v>
      </c>
      <c r="G1926" s="5">
        <v>43187</v>
      </c>
    </row>
    <row r="1927" spans="1:7" x14ac:dyDescent="0.4">
      <c r="A1927">
        <v>27</v>
      </c>
      <c r="B1927" t="s">
        <v>859</v>
      </c>
      <c r="C1927" s="9">
        <v>24.33</v>
      </c>
      <c r="D1927" s="9">
        <v>1.84</v>
      </c>
      <c r="E1927" s="19">
        <v>8.18</v>
      </c>
      <c r="F1927" s="4">
        <v>1139112</v>
      </c>
      <c r="G1927" s="5">
        <v>43187</v>
      </c>
    </row>
    <row r="1928" spans="1:7" x14ac:dyDescent="0.4">
      <c r="A1928">
        <v>28</v>
      </c>
      <c r="B1928" t="s">
        <v>702</v>
      </c>
      <c r="C1928" s="9">
        <v>2.81</v>
      </c>
      <c r="D1928" s="9">
        <v>0.21</v>
      </c>
      <c r="E1928" s="19">
        <v>8.08</v>
      </c>
      <c r="F1928" s="4">
        <v>2749438</v>
      </c>
      <c r="G1928" s="5">
        <v>43187</v>
      </c>
    </row>
    <row r="1929" spans="1:7" x14ac:dyDescent="0.4">
      <c r="A1929">
        <v>29</v>
      </c>
      <c r="B1929" t="s">
        <v>860</v>
      </c>
      <c r="C1929" s="9">
        <v>18.55</v>
      </c>
      <c r="D1929" s="9">
        <v>1.36</v>
      </c>
      <c r="E1929" s="19">
        <v>7.91</v>
      </c>
      <c r="F1929" s="4">
        <v>826758</v>
      </c>
      <c r="G1929" s="5">
        <v>43187</v>
      </c>
    </row>
    <row r="1930" spans="1:7" x14ac:dyDescent="0.4">
      <c r="A1930">
        <v>30</v>
      </c>
      <c r="B1930" t="s">
        <v>861</v>
      </c>
      <c r="C1930" s="9">
        <v>18.43</v>
      </c>
      <c r="D1930" s="9">
        <v>1.35</v>
      </c>
      <c r="E1930" s="19">
        <v>7.9</v>
      </c>
      <c r="F1930" s="4">
        <v>357490</v>
      </c>
      <c r="G1930" s="5">
        <v>43187</v>
      </c>
    </row>
    <row r="1931" spans="1:7" x14ac:dyDescent="0.4">
      <c r="A1931">
        <v>31</v>
      </c>
      <c r="B1931" t="s">
        <v>154</v>
      </c>
      <c r="C1931" s="9">
        <v>48.54</v>
      </c>
      <c r="D1931" s="9">
        <v>3.54</v>
      </c>
      <c r="E1931" s="19">
        <v>7.87</v>
      </c>
      <c r="F1931" s="4">
        <v>101160</v>
      </c>
      <c r="G1931" s="5">
        <v>43187</v>
      </c>
    </row>
    <row r="1932" spans="1:7" x14ac:dyDescent="0.4">
      <c r="A1932">
        <v>32</v>
      </c>
      <c r="B1932" t="s">
        <v>415</v>
      </c>
      <c r="C1932" s="9">
        <v>11.41</v>
      </c>
      <c r="D1932" s="9">
        <v>0.83</v>
      </c>
      <c r="E1932" s="19">
        <v>7.84</v>
      </c>
      <c r="F1932" s="4">
        <v>65192</v>
      </c>
      <c r="G1932" s="5">
        <v>43187</v>
      </c>
    </row>
    <row r="1933" spans="1:7" x14ac:dyDescent="0.4">
      <c r="A1933">
        <v>33</v>
      </c>
      <c r="B1933" t="s">
        <v>43</v>
      </c>
      <c r="C1933" s="9">
        <v>6.67</v>
      </c>
      <c r="D1933" s="9">
        <v>0.48</v>
      </c>
      <c r="E1933" s="19">
        <v>7.84</v>
      </c>
      <c r="F1933" s="4">
        <v>173451</v>
      </c>
      <c r="G1933" s="5">
        <v>43187</v>
      </c>
    </row>
    <row r="1934" spans="1:7" x14ac:dyDescent="0.4">
      <c r="A1934">
        <v>34</v>
      </c>
      <c r="B1934" t="s">
        <v>862</v>
      </c>
      <c r="C1934" s="9">
        <v>17.02</v>
      </c>
      <c r="D1934" s="9">
        <v>1.2</v>
      </c>
      <c r="E1934" s="19">
        <v>7.59</v>
      </c>
      <c r="F1934" s="4">
        <v>593789</v>
      </c>
      <c r="G1934" s="5">
        <v>43187</v>
      </c>
    </row>
    <row r="1935" spans="1:7" x14ac:dyDescent="0.4">
      <c r="A1935">
        <v>35</v>
      </c>
      <c r="B1935" t="s">
        <v>863</v>
      </c>
      <c r="C1935" s="9">
        <v>12.1</v>
      </c>
      <c r="D1935" s="9">
        <v>0.8</v>
      </c>
      <c r="E1935" s="19">
        <v>7.08</v>
      </c>
      <c r="F1935" s="4">
        <v>286104</v>
      </c>
      <c r="G1935" s="5">
        <v>43187</v>
      </c>
    </row>
    <row r="1936" spans="1:7" x14ac:dyDescent="0.4">
      <c r="A1936">
        <v>36</v>
      </c>
      <c r="B1936" t="s">
        <v>864</v>
      </c>
      <c r="C1936" s="9">
        <v>7.58</v>
      </c>
      <c r="D1936" s="9">
        <v>0.5</v>
      </c>
      <c r="E1936" s="19">
        <v>7.06</v>
      </c>
      <c r="F1936" s="4">
        <v>679180</v>
      </c>
      <c r="G1936" s="5">
        <v>43187</v>
      </c>
    </row>
    <row r="1937" spans="1:7" x14ac:dyDescent="0.4">
      <c r="A1937">
        <v>37</v>
      </c>
      <c r="B1937" t="s">
        <v>827</v>
      </c>
      <c r="C1937" s="9">
        <v>6.9</v>
      </c>
      <c r="D1937" s="9">
        <v>0.44</v>
      </c>
      <c r="E1937" s="19">
        <v>6.81</v>
      </c>
      <c r="F1937" s="4">
        <v>2325</v>
      </c>
      <c r="G1937" s="5">
        <v>43187</v>
      </c>
    </row>
    <row r="1938" spans="1:7" x14ac:dyDescent="0.4">
      <c r="A1938">
        <v>38</v>
      </c>
      <c r="B1938" t="s">
        <v>865</v>
      </c>
      <c r="C1938" s="9">
        <v>26</v>
      </c>
      <c r="D1938" s="9">
        <v>1.65</v>
      </c>
      <c r="E1938" s="19">
        <v>6.78</v>
      </c>
      <c r="F1938" s="4">
        <v>210503</v>
      </c>
      <c r="G1938" s="5">
        <v>43187</v>
      </c>
    </row>
    <row r="1939" spans="1:7" x14ac:dyDescent="0.4">
      <c r="A1939">
        <v>39</v>
      </c>
      <c r="B1939" t="s">
        <v>829</v>
      </c>
      <c r="C1939" s="9">
        <v>57.05</v>
      </c>
      <c r="D1939" s="9">
        <v>3.57</v>
      </c>
      <c r="E1939" s="19">
        <v>6.68</v>
      </c>
      <c r="F1939" s="4">
        <v>1265510</v>
      </c>
      <c r="G1939" s="5">
        <v>43187</v>
      </c>
    </row>
    <row r="1940" spans="1:7" x14ac:dyDescent="0.4">
      <c r="A1940">
        <v>40</v>
      </c>
      <c r="B1940" t="s">
        <v>866</v>
      </c>
      <c r="C1940" s="9">
        <v>6.6</v>
      </c>
      <c r="D1940" s="9">
        <v>0.41</v>
      </c>
      <c r="E1940" s="19">
        <v>6.62</v>
      </c>
      <c r="F1940" s="4">
        <v>2527651</v>
      </c>
      <c r="G1940" s="5">
        <v>43187</v>
      </c>
    </row>
    <row r="1941" spans="1:7" x14ac:dyDescent="0.4">
      <c r="A1941">
        <v>41</v>
      </c>
      <c r="B1941" t="s">
        <v>339</v>
      </c>
      <c r="C1941" s="9">
        <v>18.260000000000002</v>
      </c>
      <c r="D1941" s="9">
        <v>1.1200000000000001</v>
      </c>
      <c r="E1941" s="19">
        <v>6.56</v>
      </c>
      <c r="F1941" s="4">
        <v>40438</v>
      </c>
      <c r="G1941" s="5">
        <v>43187</v>
      </c>
    </row>
    <row r="1942" spans="1:7" x14ac:dyDescent="0.4">
      <c r="A1942">
        <v>42</v>
      </c>
      <c r="B1942" t="s">
        <v>817</v>
      </c>
      <c r="C1942" s="9">
        <v>3.25</v>
      </c>
      <c r="D1942" s="9">
        <v>0.2</v>
      </c>
      <c r="E1942" s="19">
        <v>6.56</v>
      </c>
      <c r="F1942" s="4">
        <v>37381</v>
      </c>
      <c r="G1942" s="5">
        <v>43187</v>
      </c>
    </row>
    <row r="1943" spans="1:7" x14ac:dyDescent="0.4">
      <c r="A1943">
        <v>43</v>
      </c>
      <c r="B1943" t="s">
        <v>867</v>
      </c>
      <c r="C1943" s="9">
        <v>36.049999999999997</v>
      </c>
      <c r="D1943" s="9">
        <v>2.2000000000000002</v>
      </c>
      <c r="E1943" s="19">
        <v>6.5</v>
      </c>
      <c r="F1943" s="4">
        <v>18743</v>
      </c>
      <c r="G1943" s="5">
        <v>43187</v>
      </c>
    </row>
    <row r="1944" spans="1:7" x14ac:dyDescent="0.4">
      <c r="A1944">
        <v>44</v>
      </c>
      <c r="B1944" t="s">
        <v>781</v>
      </c>
      <c r="C1944" s="9">
        <v>2.2000000000000002</v>
      </c>
      <c r="D1944" s="9">
        <v>0.13</v>
      </c>
      <c r="E1944" s="19">
        <v>6.27</v>
      </c>
      <c r="F1944" s="4">
        <v>23286</v>
      </c>
      <c r="G1944" s="5">
        <v>43187</v>
      </c>
    </row>
    <row r="1945" spans="1:7" x14ac:dyDescent="0.4">
      <c r="A1945">
        <v>45</v>
      </c>
      <c r="B1945" t="s">
        <v>207</v>
      </c>
      <c r="C1945" s="9">
        <v>12.9</v>
      </c>
      <c r="D1945" s="9">
        <v>0.76</v>
      </c>
      <c r="E1945" s="19">
        <v>6.26</v>
      </c>
      <c r="F1945" s="4">
        <v>3230062</v>
      </c>
      <c r="G1945" s="5">
        <v>43187</v>
      </c>
    </row>
    <row r="1946" spans="1:7" x14ac:dyDescent="0.4">
      <c r="A1946">
        <v>46</v>
      </c>
      <c r="B1946" t="s">
        <v>868</v>
      </c>
      <c r="C1946" s="9">
        <v>59.14</v>
      </c>
      <c r="D1946" s="9">
        <v>3.44</v>
      </c>
      <c r="E1946" s="19">
        <v>6.18</v>
      </c>
      <c r="F1946" s="4">
        <v>659195</v>
      </c>
      <c r="G1946" s="5">
        <v>43187</v>
      </c>
    </row>
    <row r="1947" spans="1:7" x14ac:dyDescent="0.4">
      <c r="A1947">
        <v>47</v>
      </c>
      <c r="B1947" t="s">
        <v>869</v>
      </c>
      <c r="C1947" s="9">
        <v>31.91</v>
      </c>
      <c r="D1947" s="9">
        <v>1.84</v>
      </c>
      <c r="E1947" s="19">
        <v>6.12</v>
      </c>
      <c r="F1947" s="4">
        <v>1326138</v>
      </c>
      <c r="G1947" s="5">
        <v>43187</v>
      </c>
    </row>
    <row r="1948" spans="1:7" x14ac:dyDescent="0.4">
      <c r="A1948">
        <v>48</v>
      </c>
      <c r="B1948" t="s">
        <v>486</v>
      </c>
      <c r="C1948" s="9">
        <v>10.8</v>
      </c>
      <c r="D1948" s="9">
        <v>0.61</v>
      </c>
      <c r="E1948" s="19">
        <v>5.99</v>
      </c>
      <c r="F1948" s="4">
        <v>940302</v>
      </c>
      <c r="G1948" s="5">
        <v>43187</v>
      </c>
    </row>
    <row r="1949" spans="1:7" x14ac:dyDescent="0.4">
      <c r="A1949">
        <v>49</v>
      </c>
      <c r="B1949" t="s">
        <v>870</v>
      </c>
      <c r="C1949" s="9">
        <v>10.62</v>
      </c>
      <c r="D1949" s="9">
        <v>0.57999999999999996</v>
      </c>
      <c r="E1949" s="19">
        <v>5.83</v>
      </c>
      <c r="F1949" s="4">
        <v>7142578</v>
      </c>
      <c r="G1949" s="5">
        <v>43187</v>
      </c>
    </row>
    <row r="1950" spans="1:7" x14ac:dyDescent="0.4">
      <c r="A1950">
        <v>50</v>
      </c>
      <c r="B1950" t="s">
        <v>28</v>
      </c>
      <c r="C1950" s="9">
        <v>9.15</v>
      </c>
      <c r="D1950" s="9">
        <v>0.5</v>
      </c>
      <c r="E1950" s="19">
        <v>5.78</v>
      </c>
      <c r="F1950" s="4">
        <v>229818</v>
      </c>
      <c r="G1950" s="5">
        <v>43187</v>
      </c>
    </row>
    <row r="1951" spans="1:7" x14ac:dyDescent="0.4">
      <c r="A1951">
        <v>51</v>
      </c>
      <c r="B1951" t="s">
        <v>871</v>
      </c>
      <c r="C1951" s="9">
        <v>17.3</v>
      </c>
      <c r="D1951" s="9">
        <v>0.94</v>
      </c>
      <c r="E1951" s="19">
        <v>5.75</v>
      </c>
      <c r="F1951" s="4">
        <v>6124</v>
      </c>
      <c r="G1951" s="5">
        <v>43187</v>
      </c>
    </row>
    <row r="1952" spans="1:7" x14ac:dyDescent="0.4">
      <c r="A1952">
        <v>52</v>
      </c>
      <c r="B1952" t="s">
        <v>30</v>
      </c>
      <c r="C1952" s="9">
        <v>3.51</v>
      </c>
      <c r="D1952" s="9">
        <v>0.19</v>
      </c>
      <c r="E1952" s="19">
        <v>5.72</v>
      </c>
      <c r="F1952" s="4">
        <v>61133</v>
      </c>
      <c r="G1952" s="5">
        <v>43187</v>
      </c>
    </row>
    <row r="1953" spans="1:7" x14ac:dyDescent="0.4">
      <c r="A1953">
        <v>53</v>
      </c>
      <c r="B1953" t="s">
        <v>872</v>
      </c>
      <c r="C1953" s="9">
        <v>8.35</v>
      </c>
      <c r="D1953" s="9">
        <v>0.45</v>
      </c>
      <c r="E1953" s="19">
        <v>5.7</v>
      </c>
      <c r="F1953" s="4">
        <v>20749</v>
      </c>
      <c r="G1953" s="5">
        <v>43187</v>
      </c>
    </row>
    <row r="1954" spans="1:7" x14ac:dyDescent="0.4">
      <c r="A1954">
        <v>54</v>
      </c>
      <c r="B1954" t="s">
        <v>643</v>
      </c>
      <c r="C1954" s="9">
        <v>3.74</v>
      </c>
      <c r="D1954" s="9">
        <v>0.2</v>
      </c>
      <c r="E1954" s="19">
        <v>5.65</v>
      </c>
      <c r="F1954" s="4">
        <v>315775</v>
      </c>
      <c r="G1954" s="5">
        <v>43187</v>
      </c>
    </row>
    <row r="1955" spans="1:7" x14ac:dyDescent="0.4">
      <c r="A1955">
        <v>55</v>
      </c>
      <c r="B1955" t="s">
        <v>873</v>
      </c>
      <c r="C1955" s="9">
        <v>3.69</v>
      </c>
      <c r="D1955" s="9">
        <v>0.2</v>
      </c>
      <c r="E1955" s="19">
        <v>5.59</v>
      </c>
      <c r="F1955" s="4">
        <v>537083</v>
      </c>
      <c r="G1955" s="5">
        <v>43187</v>
      </c>
    </row>
    <row r="1956" spans="1:7" x14ac:dyDescent="0.4">
      <c r="A1956">
        <v>56</v>
      </c>
      <c r="B1956" t="s">
        <v>730</v>
      </c>
      <c r="C1956" s="9">
        <v>4.76</v>
      </c>
      <c r="D1956" s="9">
        <v>0.25</v>
      </c>
      <c r="E1956" s="19">
        <v>5.54</v>
      </c>
      <c r="F1956" s="4">
        <v>4190768</v>
      </c>
      <c r="G1956" s="5">
        <v>43187</v>
      </c>
    </row>
    <row r="1957" spans="1:7" x14ac:dyDescent="0.4">
      <c r="A1957">
        <v>57</v>
      </c>
      <c r="B1957" t="s">
        <v>874</v>
      </c>
      <c r="C1957" s="9">
        <v>19.5</v>
      </c>
      <c r="D1957" s="9">
        <v>1.02</v>
      </c>
      <c r="E1957" s="19">
        <v>5.52</v>
      </c>
      <c r="F1957" s="4">
        <v>1978824</v>
      </c>
      <c r="G1957" s="5">
        <v>43187</v>
      </c>
    </row>
    <row r="1958" spans="1:7" x14ac:dyDescent="0.4">
      <c r="A1958">
        <v>58</v>
      </c>
      <c r="B1958" t="s">
        <v>875</v>
      </c>
      <c r="C1958" s="9">
        <v>45</v>
      </c>
      <c r="D1958" s="9">
        <v>2.35</v>
      </c>
      <c r="E1958" s="19">
        <v>5.51</v>
      </c>
      <c r="F1958" s="4">
        <v>2492924</v>
      </c>
      <c r="G1958" s="5">
        <v>43187</v>
      </c>
    </row>
    <row r="1959" spans="1:7" x14ac:dyDescent="0.4">
      <c r="A1959">
        <v>59</v>
      </c>
      <c r="B1959" t="s">
        <v>876</v>
      </c>
      <c r="C1959" s="9">
        <v>10.55</v>
      </c>
      <c r="D1959" s="9">
        <v>0.55000000000000004</v>
      </c>
      <c r="E1959" s="19">
        <v>5.5</v>
      </c>
      <c r="F1959" s="4">
        <v>121934</v>
      </c>
      <c r="G1959" s="5">
        <v>43187</v>
      </c>
    </row>
    <row r="1960" spans="1:7" x14ac:dyDescent="0.4">
      <c r="A1960">
        <v>60</v>
      </c>
      <c r="B1960" t="s">
        <v>421</v>
      </c>
      <c r="C1960" s="9">
        <v>3.85</v>
      </c>
      <c r="D1960" s="9">
        <v>0.2</v>
      </c>
      <c r="E1960" s="19">
        <v>5.48</v>
      </c>
      <c r="F1960" s="4">
        <v>107078</v>
      </c>
      <c r="G1960" s="5">
        <v>43187</v>
      </c>
    </row>
    <row r="1961" spans="1:7" x14ac:dyDescent="0.4">
      <c r="A1961">
        <v>61</v>
      </c>
      <c r="B1961" t="s">
        <v>877</v>
      </c>
      <c r="C1961" s="9">
        <v>27.73</v>
      </c>
      <c r="D1961" s="9">
        <v>1.44</v>
      </c>
      <c r="E1961" s="19">
        <v>5.48</v>
      </c>
      <c r="F1961" s="4">
        <v>425155</v>
      </c>
      <c r="G1961" s="5">
        <v>43187</v>
      </c>
    </row>
    <row r="1962" spans="1:7" x14ac:dyDescent="0.4">
      <c r="A1962">
        <v>62</v>
      </c>
      <c r="B1962" t="s">
        <v>625</v>
      </c>
      <c r="C1962" s="9">
        <v>37.82</v>
      </c>
      <c r="D1962" s="9">
        <v>1.95</v>
      </c>
      <c r="E1962" s="19">
        <v>5.44</v>
      </c>
      <c r="F1962" s="4">
        <v>102781</v>
      </c>
      <c r="G1962" s="5">
        <v>43187</v>
      </c>
    </row>
    <row r="1963" spans="1:7" x14ac:dyDescent="0.4">
      <c r="A1963">
        <v>63</v>
      </c>
      <c r="B1963" t="s">
        <v>478</v>
      </c>
      <c r="C1963" s="9">
        <v>5.52</v>
      </c>
      <c r="D1963" s="9">
        <v>0.28000000000000003</v>
      </c>
      <c r="E1963" s="19">
        <v>5.34</v>
      </c>
      <c r="F1963" s="4">
        <v>64476</v>
      </c>
      <c r="G1963" s="5">
        <v>43187</v>
      </c>
    </row>
    <row r="1964" spans="1:7" x14ac:dyDescent="0.4">
      <c r="A1964">
        <v>64</v>
      </c>
      <c r="B1964" t="s">
        <v>195</v>
      </c>
      <c r="C1964" s="9">
        <v>7.9</v>
      </c>
      <c r="D1964" s="9">
        <v>0.4</v>
      </c>
      <c r="E1964" s="19">
        <v>5.33</v>
      </c>
      <c r="F1964" s="4">
        <v>9922</v>
      </c>
      <c r="G1964" s="5">
        <v>43187</v>
      </c>
    </row>
    <row r="1965" spans="1:7" x14ac:dyDescent="0.4">
      <c r="A1965">
        <v>65</v>
      </c>
      <c r="B1965" t="s">
        <v>878</v>
      </c>
      <c r="C1965" s="9">
        <v>6.94</v>
      </c>
      <c r="D1965" s="9">
        <v>0.35</v>
      </c>
      <c r="E1965" s="19">
        <v>5.31</v>
      </c>
      <c r="F1965" s="4">
        <v>113587</v>
      </c>
      <c r="G1965" s="5">
        <v>43187</v>
      </c>
    </row>
    <row r="1966" spans="1:7" x14ac:dyDescent="0.4">
      <c r="A1966">
        <v>66</v>
      </c>
      <c r="B1966" t="s">
        <v>353</v>
      </c>
      <c r="C1966" s="9">
        <v>10.61</v>
      </c>
      <c r="D1966" s="9">
        <v>0.53</v>
      </c>
      <c r="E1966" s="19">
        <v>5.26</v>
      </c>
      <c r="F1966" s="4">
        <v>292203</v>
      </c>
      <c r="G1966" s="5">
        <v>43187</v>
      </c>
    </row>
    <row r="1967" spans="1:7" x14ac:dyDescent="0.4">
      <c r="A1967">
        <v>67</v>
      </c>
      <c r="B1967" t="s">
        <v>879</v>
      </c>
      <c r="C1967" s="9">
        <v>16.100000000000001</v>
      </c>
      <c r="D1967" s="9">
        <v>0.8</v>
      </c>
      <c r="E1967" s="19">
        <v>5.23</v>
      </c>
      <c r="F1967" s="4">
        <v>31848</v>
      </c>
      <c r="G1967" s="5">
        <v>43187</v>
      </c>
    </row>
    <row r="1968" spans="1:7" x14ac:dyDescent="0.4">
      <c r="A1968">
        <v>68</v>
      </c>
      <c r="B1968" t="s">
        <v>880</v>
      </c>
      <c r="C1968" s="9">
        <v>12.1</v>
      </c>
      <c r="D1968" s="9">
        <v>0.6</v>
      </c>
      <c r="E1968" s="19">
        <v>5.22</v>
      </c>
      <c r="F1968" s="4">
        <v>1357423</v>
      </c>
      <c r="G1968" s="5">
        <v>43187</v>
      </c>
    </row>
    <row r="1969" spans="1:7" x14ac:dyDescent="0.4">
      <c r="A1969">
        <v>69</v>
      </c>
      <c r="B1969" t="s">
        <v>881</v>
      </c>
      <c r="C1969" s="9">
        <v>23.44</v>
      </c>
      <c r="D1969" s="9">
        <v>1.1499999999999999</v>
      </c>
      <c r="E1969" s="19">
        <v>5.17</v>
      </c>
      <c r="F1969" s="4">
        <v>2954</v>
      </c>
      <c r="G1969" s="5">
        <v>43187</v>
      </c>
    </row>
    <row r="1970" spans="1:7" x14ac:dyDescent="0.4">
      <c r="A1970">
        <v>70</v>
      </c>
      <c r="B1970" t="s">
        <v>882</v>
      </c>
      <c r="C1970" s="9">
        <v>3.05</v>
      </c>
      <c r="D1970" s="9">
        <v>0.15</v>
      </c>
      <c r="E1970" s="19">
        <v>5.17</v>
      </c>
      <c r="F1970" s="4">
        <v>17482101</v>
      </c>
      <c r="G1970" s="5">
        <v>43187</v>
      </c>
    </row>
    <row r="1971" spans="1:7" x14ac:dyDescent="0.4">
      <c r="A1971">
        <v>71</v>
      </c>
      <c r="B1971" t="s">
        <v>386</v>
      </c>
      <c r="C1971" s="9">
        <v>3.27</v>
      </c>
      <c r="D1971" s="9">
        <v>0.16</v>
      </c>
      <c r="E1971" s="19">
        <v>5.14</v>
      </c>
      <c r="F1971" s="4">
        <v>905141</v>
      </c>
      <c r="G1971" s="5">
        <v>43187</v>
      </c>
    </row>
    <row r="1972" spans="1:7" x14ac:dyDescent="0.4">
      <c r="A1972">
        <v>72</v>
      </c>
      <c r="B1972" t="s">
        <v>393</v>
      </c>
      <c r="C1972" s="9">
        <v>5.1100000000000003</v>
      </c>
      <c r="D1972" s="9">
        <v>0.25</v>
      </c>
      <c r="E1972" s="19">
        <v>5.14</v>
      </c>
      <c r="F1972" s="4">
        <v>159277</v>
      </c>
      <c r="G1972" s="5">
        <v>43187</v>
      </c>
    </row>
    <row r="1973" spans="1:7" x14ac:dyDescent="0.4">
      <c r="A1973">
        <v>73</v>
      </c>
      <c r="B1973" t="s">
        <v>883</v>
      </c>
      <c r="C1973" s="9">
        <v>30.8</v>
      </c>
      <c r="D1973" s="9">
        <v>1.5</v>
      </c>
      <c r="E1973" s="19">
        <v>5.12</v>
      </c>
      <c r="F1973" s="4">
        <v>961668</v>
      </c>
      <c r="G1973" s="5">
        <v>43187</v>
      </c>
    </row>
    <row r="1974" spans="1:7" x14ac:dyDescent="0.4">
      <c r="A1974">
        <v>74</v>
      </c>
      <c r="B1974" t="s">
        <v>884</v>
      </c>
      <c r="C1974" s="9">
        <v>11.3</v>
      </c>
      <c r="D1974" s="9">
        <v>0.55000000000000004</v>
      </c>
      <c r="E1974" s="19">
        <v>5.12</v>
      </c>
      <c r="F1974" s="4">
        <v>90211</v>
      </c>
      <c r="G1974" s="5">
        <v>43187</v>
      </c>
    </row>
    <row r="1975" spans="1:7" x14ac:dyDescent="0.4">
      <c r="A1975">
        <v>75</v>
      </c>
      <c r="B1975" t="s">
        <v>108</v>
      </c>
      <c r="C1975" s="9">
        <v>27.25</v>
      </c>
      <c r="D1975" s="9">
        <v>1.32</v>
      </c>
      <c r="E1975" s="19">
        <v>5.09</v>
      </c>
      <c r="F1975" s="4">
        <v>108349</v>
      </c>
      <c r="G1975" s="5">
        <v>43187</v>
      </c>
    </row>
    <row r="1976" spans="1:7" x14ac:dyDescent="0.4">
      <c r="A1976">
        <v>76</v>
      </c>
      <c r="B1976" t="s">
        <v>283</v>
      </c>
      <c r="C1976" s="9">
        <v>5.59</v>
      </c>
      <c r="D1976" s="9">
        <v>0.27</v>
      </c>
      <c r="E1976" s="19">
        <v>5.08</v>
      </c>
      <c r="F1976" s="4">
        <v>43614</v>
      </c>
      <c r="G1976" s="5">
        <v>43187</v>
      </c>
    </row>
    <row r="1977" spans="1:7" x14ac:dyDescent="0.4">
      <c r="A1977">
        <v>77</v>
      </c>
      <c r="B1977" t="s">
        <v>88</v>
      </c>
      <c r="C1977" s="9">
        <v>2.4900000000000002</v>
      </c>
      <c r="D1977" s="9">
        <v>0.12</v>
      </c>
      <c r="E1977" s="19">
        <v>5.0599999999999996</v>
      </c>
      <c r="F1977" s="4">
        <v>827407</v>
      </c>
      <c r="G1977" s="5">
        <v>43187</v>
      </c>
    </row>
    <row r="1978" spans="1:7" x14ac:dyDescent="0.4">
      <c r="A1978">
        <v>78</v>
      </c>
      <c r="B1978" t="s">
        <v>447</v>
      </c>
      <c r="C1978" s="9">
        <v>8.0399999999999991</v>
      </c>
      <c r="D1978" s="9">
        <v>0.38</v>
      </c>
      <c r="E1978" s="19">
        <v>4.96</v>
      </c>
      <c r="F1978" s="4">
        <v>15840</v>
      </c>
      <c r="G1978" s="5">
        <v>43187</v>
      </c>
    </row>
    <row r="1979" spans="1:7" x14ac:dyDescent="0.4">
      <c r="A1979">
        <v>79</v>
      </c>
      <c r="B1979" t="s">
        <v>140</v>
      </c>
      <c r="C1979" s="9">
        <v>6.35</v>
      </c>
      <c r="D1979" s="9">
        <v>0.3</v>
      </c>
      <c r="E1979" s="19">
        <v>4.96</v>
      </c>
      <c r="F1979" s="4">
        <v>152152</v>
      </c>
      <c r="G1979" s="5">
        <v>43187</v>
      </c>
    </row>
    <row r="1980" spans="1:7" x14ac:dyDescent="0.4">
      <c r="A1980">
        <v>80</v>
      </c>
      <c r="B1980" t="s">
        <v>885</v>
      </c>
      <c r="C1980" s="9">
        <v>143.29</v>
      </c>
      <c r="D1980" s="9">
        <v>6.76</v>
      </c>
      <c r="E1980" s="19">
        <v>4.95</v>
      </c>
      <c r="F1980" s="4">
        <v>12572</v>
      </c>
      <c r="G1980" s="5">
        <v>43187</v>
      </c>
    </row>
    <row r="1981" spans="1:7" x14ac:dyDescent="0.4">
      <c r="A1981">
        <v>81</v>
      </c>
      <c r="B1981" t="s">
        <v>886</v>
      </c>
      <c r="C1981" s="9">
        <v>8.5</v>
      </c>
      <c r="D1981" s="9">
        <v>0.4</v>
      </c>
      <c r="E1981" s="19">
        <v>4.9400000000000004</v>
      </c>
      <c r="F1981" s="4">
        <v>135951</v>
      </c>
      <c r="G1981" s="5">
        <v>43187</v>
      </c>
    </row>
    <row r="1982" spans="1:7" x14ac:dyDescent="0.4">
      <c r="A1982">
        <v>82</v>
      </c>
      <c r="B1982" t="s">
        <v>766</v>
      </c>
      <c r="C1982" s="9">
        <v>7.06</v>
      </c>
      <c r="D1982" s="9">
        <v>0.33</v>
      </c>
      <c r="E1982" s="19">
        <v>4.9000000000000004</v>
      </c>
      <c r="F1982" s="4">
        <v>1885331</v>
      </c>
      <c r="G1982" s="5">
        <v>43187</v>
      </c>
    </row>
    <row r="1983" spans="1:7" x14ac:dyDescent="0.4">
      <c r="A1983">
        <v>83</v>
      </c>
      <c r="B1983" t="s">
        <v>481</v>
      </c>
      <c r="C1983" s="9">
        <v>26.9</v>
      </c>
      <c r="D1983" s="9">
        <v>1.25</v>
      </c>
      <c r="E1983" s="19">
        <v>4.87</v>
      </c>
      <c r="F1983" s="4">
        <v>44320</v>
      </c>
      <c r="G1983" s="5">
        <v>43187</v>
      </c>
    </row>
    <row r="1984" spans="1:7" x14ac:dyDescent="0.4">
      <c r="A1984">
        <v>84</v>
      </c>
      <c r="B1984" t="s">
        <v>887</v>
      </c>
      <c r="C1984" s="9">
        <v>3.23</v>
      </c>
      <c r="D1984" s="9">
        <v>0.15</v>
      </c>
      <c r="E1984" s="19">
        <v>4.87</v>
      </c>
      <c r="F1984" s="4">
        <v>78607</v>
      </c>
      <c r="G1984" s="5">
        <v>43187</v>
      </c>
    </row>
    <row r="1985" spans="1:7" x14ac:dyDescent="0.4">
      <c r="A1985">
        <v>85</v>
      </c>
      <c r="B1985" t="s">
        <v>888</v>
      </c>
      <c r="C1985" s="9">
        <v>25.46</v>
      </c>
      <c r="D1985" s="9">
        <v>1.18</v>
      </c>
      <c r="E1985" s="19">
        <v>4.8600000000000003</v>
      </c>
      <c r="F1985" s="4">
        <v>2449</v>
      </c>
      <c r="G1985" s="5">
        <v>43187</v>
      </c>
    </row>
    <row r="1986" spans="1:7" x14ac:dyDescent="0.4">
      <c r="A1986">
        <v>86</v>
      </c>
      <c r="B1986" t="s">
        <v>889</v>
      </c>
      <c r="C1986" s="9">
        <v>17.91</v>
      </c>
      <c r="D1986" s="9">
        <v>0.83</v>
      </c>
      <c r="E1986" s="19">
        <v>4.8600000000000003</v>
      </c>
      <c r="F1986" s="4">
        <v>509096</v>
      </c>
      <c r="G1986" s="5">
        <v>43187</v>
      </c>
    </row>
    <row r="1987" spans="1:7" x14ac:dyDescent="0.4">
      <c r="A1987">
        <v>87</v>
      </c>
      <c r="B1987" t="s">
        <v>890</v>
      </c>
      <c r="C1987" s="9">
        <v>21.6</v>
      </c>
      <c r="D1987" s="9">
        <v>1</v>
      </c>
      <c r="E1987" s="19">
        <v>4.8499999999999996</v>
      </c>
      <c r="F1987" s="4">
        <v>32729</v>
      </c>
      <c r="G1987" s="5">
        <v>43187</v>
      </c>
    </row>
    <row r="1988" spans="1:7" x14ac:dyDescent="0.4">
      <c r="A1988">
        <v>88</v>
      </c>
      <c r="B1988" t="s">
        <v>712</v>
      </c>
      <c r="C1988" s="9">
        <v>3.03</v>
      </c>
      <c r="D1988" s="9">
        <v>0.14000000000000001</v>
      </c>
      <c r="E1988" s="19">
        <v>4.84</v>
      </c>
      <c r="F1988" s="4">
        <v>187190</v>
      </c>
      <c r="G1988" s="5">
        <v>43187</v>
      </c>
    </row>
    <row r="1989" spans="1:7" x14ac:dyDescent="0.4">
      <c r="A1989">
        <v>89</v>
      </c>
      <c r="B1989" t="s">
        <v>891</v>
      </c>
      <c r="C1989" s="9">
        <v>6.56</v>
      </c>
      <c r="D1989" s="9">
        <v>0.3</v>
      </c>
      <c r="E1989" s="19">
        <v>4.79</v>
      </c>
      <c r="F1989" s="4">
        <v>826332</v>
      </c>
      <c r="G1989" s="5">
        <v>43187</v>
      </c>
    </row>
    <row r="1990" spans="1:7" x14ac:dyDescent="0.4">
      <c r="A1990">
        <v>90</v>
      </c>
      <c r="B1990" t="s">
        <v>892</v>
      </c>
      <c r="C1990" s="9">
        <v>10.95</v>
      </c>
      <c r="D1990" s="9">
        <v>0.5</v>
      </c>
      <c r="E1990" s="19">
        <v>4.78</v>
      </c>
      <c r="F1990" s="4">
        <v>477608</v>
      </c>
      <c r="G1990" s="5">
        <v>43187</v>
      </c>
    </row>
    <row r="1991" spans="1:7" x14ac:dyDescent="0.4">
      <c r="A1991">
        <v>91</v>
      </c>
      <c r="B1991" t="s">
        <v>893</v>
      </c>
      <c r="C1991" s="9">
        <v>3.51</v>
      </c>
      <c r="D1991" s="9">
        <v>0.16</v>
      </c>
      <c r="E1991" s="19">
        <v>4.78</v>
      </c>
      <c r="F1991" s="4">
        <v>8068</v>
      </c>
      <c r="G1991" s="5">
        <v>43187</v>
      </c>
    </row>
    <row r="1992" spans="1:7" x14ac:dyDescent="0.4">
      <c r="A1992">
        <v>92</v>
      </c>
      <c r="B1992" t="s">
        <v>220</v>
      </c>
      <c r="C1992" s="9">
        <v>6.59</v>
      </c>
      <c r="D1992" s="9">
        <v>0.3</v>
      </c>
      <c r="E1992" s="19">
        <v>4.7699999999999996</v>
      </c>
      <c r="F1992" s="4">
        <v>172544</v>
      </c>
      <c r="G1992" s="5">
        <v>43187</v>
      </c>
    </row>
    <row r="1993" spans="1:7" x14ac:dyDescent="0.4">
      <c r="A1993">
        <v>93</v>
      </c>
      <c r="B1993" t="s">
        <v>680</v>
      </c>
      <c r="C1993" s="9">
        <v>2.2000000000000002</v>
      </c>
      <c r="D1993" s="9">
        <v>0.1</v>
      </c>
      <c r="E1993" s="19">
        <v>4.76</v>
      </c>
      <c r="F1993" s="4">
        <v>298683</v>
      </c>
      <c r="G1993" s="5">
        <v>43187</v>
      </c>
    </row>
    <row r="1994" spans="1:7" x14ac:dyDescent="0.4">
      <c r="A1994">
        <v>94</v>
      </c>
      <c r="B1994" t="s">
        <v>422</v>
      </c>
      <c r="C1994" s="9">
        <v>22.1</v>
      </c>
      <c r="D1994" s="9">
        <v>1</v>
      </c>
      <c r="E1994" s="19">
        <v>4.74</v>
      </c>
      <c r="F1994" s="4">
        <v>964930</v>
      </c>
      <c r="G1994" s="5">
        <v>43187</v>
      </c>
    </row>
    <row r="1995" spans="1:7" x14ac:dyDescent="0.4">
      <c r="A1995">
        <v>95</v>
      </c>
      <c r="B1995" t="s">
        <v>894</v>
      </c>
      <c r="C1995" s="9">
        <v>7.08</v>
      </c>
      <c r="D1995" s="9">
        <v>0.32</v>
      </c>
      <c r="E1995" s="19">
        <v>4.7300000000000004</v>
      </c>
      <c r="F1995" s="4">
        <v>426320</v>
      </c>
      <c r="G1995" s="5">
        <v>43187</v>
      </c>
    </row>
    <row r="1996" spans="1:7" x14ac:dyDescent="0.4">
      <c r="A1996">
        <v>96</v>
      </c>
      <c r="B1996" t="s">
        <v>895</v>
      </c>
      <c r="C1996" s="9">
        <v>9.76</v>
      </c>
      <c r="D1996" s="9">
        <v>0.44</v>
      </c>
      <c r="E1996" s="19">
        <v>4.72</v>
      </c>
      <c r="F1996" s="4">
        <v>352245</v>
      </c>
      <c r="G1996" s="5">
        <v>43187</v>
      </c>
    </row>
    <row r="1997" spans="1:7" x14ac:dyDescent="0.4">
      <c r="A1997">
        <v>97</v>
      </c>
      <c r="B1997" t="s">
        <v>896</v>
      </c>
      <c r="C1997" s="9">
        <v>6.45</v>
      </c>
      <c r="D1997" s="9">
        <v>0.28999999999999998</v>
      </c>
      <c r="E1997" s="19">
        <v>4.71</v>
      </c>
      <c r="F1997" s="4">
        <v>1019622</v>
      </c>
      <c r="G1997" s="5">
        <v>43187</v>
      </c>
    </row>
    <row r="1998" spans="1:7" x14ac:dyDescent="0.4">
      <c r="A1998">
        <v>98</v>
      </c>
      <c r="B1998" t="s">
        <v>897</v>
      </c>
      <c r="C1998" s="9">
        <v>57.45</v>
      </c>
      <c r="D1998" s="9">
        <v>2.58</v>
      </c>
      <c r="E1998" s="19">
        <v>4.7</v>
      </c>
      <c r="F1998" s="4">
        <v>440985</v>
      </c>
      <c r="G1998" s="5">
        <v>43187</v>
      </c>
    </row>
    <row r="1999" spans="1:7" x14ac:dyDescent="0.4">
      <c r="A1999">
        <v>99</v>
      </c>
      <c r="B1999" t="s">
        <v>106</v>
      </c>
      <c r="C1999" s="10">
        <v>73.28</v>
      </c>
      <c r="D1999" s="10">
        <v>3.29</v>
      </c>
      <c r="E1999" s="16">
        <v>4.7</v>
      </c>
      <c r="F1999">
        <v>2305464</v>
      </c>
      <c r="G1999" s="5">
        <v>43187</v>
      </c>
    </row>
    <row r="2000" spans="1:7" x14ac:dyDescent="0.4">
      <c r="A2000">
        <v>100</v>
      </c>
      <c r="B2000" t="s">
        <v>898</v>
      </c>
      <c r="C2000" s="10">
        <v>3.35</v>
      </c>
      <c r="D2000" s="10">
        <v>0.15</v>
      </c>
      <c r="E2000" s="16">
        <v>4.6900000000000004</v>
      </c>
      <c r="F2000">
        <v>21938</v>
      </c>
      <c r="G2000" s="5">
        <v>43187</v>
      </c>
    </row>
    <row r="2001" spans="1:7" x14ac:dyDescent="0.4">
      <c r="A2001">
        <v>1</v>
      </c>
      <c r="B2001" t="s">
        <v>842</v>
      </c>
      <c r="C2001" s="9">
        <v>92.24</v>
      </c>
      <c r="D2001" s="9">
        <v>16.93</v>
      </c>
      <c r="E2001" s="19">
        <v>22.48</v>
      </c>
      <c r="F2001" s="4">
        <v>6110337</v>
      </c>
      <c r="G2001" s="5">
        <v>43187</v>
      </c>
    </row>
    <row r="2002" spans="1:7" x14ac:dyDescent="0.4">
      <c r="A2002">
        <v>2</v>
      </c>
      <c r="B2002" t="s">
        <v>19</v>
      </c>
      <c r="C2002" s="10">
        <v>6.8</v>
      </c>
      <c r="D2002" s="10">
        <v>1.22</v>
      </c>
      <c r="E2002" s="16">
        <v>21.93</v>
      </c>
      <c r="F2002">
        <v>323766</v>
      </c>
      <c r="G2002" s="5">
        <v>43188</v>
      </c>
    </row>
    <row r="2003" spans="1:7" x14ac:dyDescent="0.4">
      <c r="A2003">
        <v>3</v>
      </c>
      <c r="B2003" t="s">
        <v>899</v>
      </c>
      <c r="C2003" s="10">
        <v>19.760000000000002</v>
      </c>
      <c r="D2003" s="10">
        <v>3.44</v>
      </c>
      <c r="E2003" s="16">
        <v>21.08</v>
      </c>
      <c r="F2003">
        <v>2081693</v>
      </c>
      <c r="G2003" s="5">
        <v>43188</v>
      </c>
    </row>
    <row r="2004" spans="1:7" x14ac:dyDescent="0.4">
      <c r="A2004">
        <v>4</v>
      </c>
      <c r="B2004" t="s">
        <v>326</v>
      </c>
      <c r="C2004" s="10">
        <v>4.76</v>
      </c>
      <c r="D2004" s="10">
        <v>0.8</v>
      </c>
      <c r="E2004" s="16">
        <v>20.2</v>
      </c>
      <c r="F2004">
        <v>3597603</v>
      </c>
      <c r="G2004" s="5">
        <v>43188</v>
      </c>
    </row>
    <row r="2005" spans="1:7" x14ac:dyDescent="0.4">
      <c r="A2005">
        <v>5</v>
      </c>
      <c r="B2005" t="s">
        <v>900</v>
      </c>
      <c r="C2005" s="10">
        <v>23.56</v>
      </c>
      <c r="D2005" s="10">
        <v>3.81</v>
      </c>
      <c r="E2005" s="16">
        <v>19.29</v>
      </c>
      <c r="F2005">
        <v>1518371</v>
      </c>
      <c r="G2005" s="5">
        <v>43188</v>
      </c>
    </row>
    <row r="2006" spans="1:7" x14ac:dyDescent="0.4">
      <c r="A2006">
        <v>6</v>
      </c>
      <c r="B2006" t="s">
        <v>298</v>
      </c>
      <c r="C2006" s="10">
        <v>2.92</v>
      </c>
      <c r="D2006" s="10">
        <v>0.44</v>
      </c>
      <c r="E2006" s="16">
        <v>17.739999999999998</v>
      </c>
      <c r="F2006">
        <v>1225729</v>
      </c>
      <c r="G2006" s="5">
        <v>43188</v>
      </c>
    </row>
    <row r="2007" spans="1:7" x14ac:dyDescent="0.4">
      <c r="A2007">
        <v>7</v>
      </c>
      <c r="B2007" t="s">
        <v>901</v>
      </c>
      <c r="C2007" s="10">
        <v>38.4</v>
      </c>
      <c r="D2007" s="10">
        <v>5.2</v>
      </c>
      <c r="E2007" s="16">
        <v>15.66</v>
      </c>
      <c r="F2007">
        <v>1281312</v>
      </c>
      <c r="G2007" s="5">
        <v>43188</v>
      </c>
    </row>
    <row r="2008" spans="1:7" x14ac:dyDescent="0.4">
      <c r="A2008">
        <v>8</v>
      </c>
      <c r="B2008" t="s">
        <v>478</v>
      </c>
      <c r="C2008" s="10">
        <v>6.37</v>
      </c>
      <c r="D2008" s="10">
        <v>0.85</v>
      </c>
      <c r="E2008" s="16">
        <v>15.4</v>
      </c>
      <c r="F2008">
        <v>150133</v>
      </c>
      <c r="G2008" s="5">
        <v>43188</v>
      </c>
    </row>
    <row r="2009" spans="1:7" x14ac:dyDescent="0.4">
      <c r="A2009">
        <v>9</v>
      </c>
      <c r="B2009" t="s">
        <v>144</v>
      </c>
      <c r="C2009" s="10">
        <v>16.52</v>
      </c>
      <c r="D2009" s="10">
        <v>2.2000000000000002</v>
      </c>
      <c r="E2009" s="16">
        <v>15.36</v>
      </c>
      <c r="F2009">
        <v>3701</v>
      </c>
      <c r="G2009" s="5">
        <v>43188</v>
      </c>
    </row>
    <row r="2010" spans="1:7" x14ac:dyDescent="0.4">
      <c r="A2010">
        <v>10</v>
      </c>
      <c r="B2010" t="s">
        <v>902</v>
      </c>
      <c r="C2010" s="10">
        <v>103.7</v>
      </c>
      <c r="D2010" s="10">
        <v>13.58</v>
      </c>
      <c r="E2010" s="16">
        <v>15.07</v>
      </c>
      <c r="F2010">
        <v>2518608</v>
      </c>
      <c r="G2010" s="5">
        <v>43188</v>
      </c>
    </row>
    <row r="2011" spans="1:7" x14ac:dyDescent="0.4">
      <c r="A2011">
        <v>11</v>
      </c>
      <c r="B2011" t="s">
        <v>903</v>
      </c>
      <c r="C2011" s="10">
        <v>16.489999999999998</v>
      </c>
      <c r="D2011" s="10">
        <v>2.13</v>
      </c>
      <c r="E2011" s="16">
        <v>14.83</v>
      </c>
      <c r="F2011">
        <v>6053144</v>
      </c>
      <c r="G2011" s="5">
        <v>43188</v>
      </c>
    </row>
    <row r="2012" spans="1:7" x14ac:dyDescent="0.4">
      <c r="A2012">
        <v>12</v>
      </c>
      <c r="B2012" t="s">
        <v>904</v>
      </c>
      <c r="C2012" s="10">
        <v>6.3</v>
      </c>
      <c r="D2012" s="10">
        <v>0.8</v>
      </c>
      <c r="E2012" s="16">
        <v>14.55</v>
      </c>
      <c r="F2012">
        <v>43192</v>
      </c>
      <c r="G2012" s="5">
        <v>43188</v>
      </c>
    </row>
    <row r="2013" spans="1:7" x14ac:dyDescent="0.4">
      <c r="A2013">
        <v>13</v>
      </c>
      <c r="B2013" t="s">
        <v>905</v>
      </c>
      <c r="C2013" s="10">
        <v>38.47</v>
      </c>
      <c r="D2013" s="10">
        <v>4.82</v>
      </c>
      <c r="E2013" s="16">
        <v>14.32</v>
      </c>
      <c r="F2013">
        <v>669712</v>
      </c>
      <c r="G2013" s="5">
        <v>43188</v>
      </c>
    </row>
    <row r="2014" spans="1:7" x14ac:dyDescent="0.4">
      <c r="A2014">
        <v>14</v>
      </c>
      <c r="B2014" t="s">
        <v>707</v>
      </c>
      <c r="C2014" s="10">
        <v>5.13</v>
      </c>
      <c r="D2014" s="10">
        <v>0.63</v>
      </c>
      <c r="E2014" s="16">
        <v>14</v>
      </c>
      <c r="F2014">
        <v>154102</v>
      </c>
      <c r="G2014" s="5">
        <v>43188</v>
      </c>
    </row>
    <row r="2015" spans="1:7" x14ac:dyDescent="0.4">
      <c r="A2015">
        <v>15</v>
      </c>
      <c r="B2015" t="s">
        <v>80</v>
      </c>
      <c r="C2015" s="10">
        <v>6.85</v>
      </c>
      <c r="D2015" s="10">
        <v>0.84</v>
      </c>
      <c r="E2015" s="16">
        <v>13.98</v>
      </c>
      <c r="F2015">
        <v>2341963</v>
      </c>
      <c r="G2015" s="5">
        <v>43188</v>
      </c>
    </row>
    <row r="2016" spans="1:7" x14ac:dyDescent="0.4">
      <c r="A2016">
        <v>16</v>
      </c>
      <c r="B2016" t="s">
        <v>906</v>
      </c>
      <c r="C2016" s="10">
        <v>42.6</v>
      </c>
      <c r="D2016" s="10">
        <v>5.2</v>
      </c>
      <c r="E2016" s="16">
        <v>13.9</v>
      </c>
      <c r="F2016">
        <v>1229507</v>
      </c>
      <c r="G2016" s="5">
        <v>43188</v>
      </c>
    </row>
    <row r="2017" spans="1:7" x14ac:dyDescent="0.4">
      <c r="A2017">
        <v>17</v>
      </c>
      <c r="B2017" t="s">
        <v>907</v>
      </c>
      <c r="C2017" s="10">
        <v>4.0199999999999996</v>
      </c>
      <c r="D2017" s="10">
        <v>0.46</v>
      </c>
      <c r="E2017" s="16">
        <v>12.92</v>
      </c>
      <c r="F2017">
        <v>357024</v>
      </c>
      <c r="G2017" s="5">
        <v>43188</v>
      </c>
    </row>
    <row r="2018" spans="1:7" x14ac:dyDescent="0.4">
      <c r="A2018">
        <v>18</v>
      </c>
      <c r="B2018" t="s">
        <v>328</v>
      </c>
      <c r="C2018" s="10">
        <v>9.92</v>
      </c>
      <c r="D2018" s="10">
        <v>1.1200000000000001</v>
      </c>
      <c r="E2018" s="16">
        <v>12.73</v>
      </c>
      <c r="F2018">
        <v>64965</v>
      </c>
      <c r="G2018" s="5">
        <v>43188</v>
      </c>
    </row>
    <row r="2019" spans="1:7" x14ac:dyDescent="0.4">
      <c r="A2019">
        <v>19</v>
      </c>
      <c r="B2019" t="s">
        <v>22</v>
      </c>
      <c r="C2019" s="10">
        <v>27.38</v>
      </c>
      <c r="D2019" s="10">
        <v>3.03</v>
      </c>
      <c r="E2019" s="16">
        <v>12.44</v>
      </c>
      <c r="F2019">
        <v>169633</v>
      </c>
      <c r="G2019" s="5">
        <v>43188</v>
      </c>
    </row>
    <row r="2020" spans="1:7" x14ac:dyDescent="0.4">
      <c r="A2020">
        <v>20</v>
      </c>
      <c r="B2020" t="s">
        <v>908</v>
      </c>
      <c r="C2020" s="10">
        <v>43</v>
      </c>
      <c r="D2020" s="10">
        <v>4.75</v>
      </c>
      <c r="E2020" s="16">
        <v>12.42</v>
      </c>
      <c r="F2020">
        <v>654039</v>
      </c>
      <c r="G2020" s="5">
        <v>43188</v>
      </c>
    </row>
    <row r="2021" spans="1:7" x14ac:dyDescent="0.4">
      <c r="A2021">
        <v>21</v>
      </c>
      <c r="B2021" t="s">
        <v>909</v>
      </c>
      <c r="C2021" s="10">
        <v>59.58</v>
      </c>
      <c r="D2021" s="10">
        <v>6.55</v>
      </c>
      <c r="E2021" s="16">
        <v>12.35</v>
      </c>
      <c r="F2021">
        <v>3389812</v>
      </c>
      <c r="G2021" s="5">
        <v>43188</v>
      </c>
    </row>
    <row r="2022" spans="1:7" x14ac:dyDescent="0.4">
      <c r="A2022">
        <v>22</v>
      </c>
      <c r="B2022" t="s">
        <v>74</v>
      </c>
      <c r="C2022" s="10">
        <v>23.13</v>
      </c>
      <c r="D2022" s="10">
        <v>2.5299999999999998</v>
      </c>
      <c r="E2022" s="16">
        <v>12.28</v>
      </c>
      <c r="F2022">
        <v>18343</v>
      </c>
      <c r="G2022" s="5">
        <v>43188</v>
      </c>
    </row>
    <row r="2023" spans="1:7" x14ac:dyDescent="0.4">
      <c r="A2023">
        <v>23</v>
      </c>
      <c r="B2023" t="s">
        <v>522</v>
      </c>
      <c r="C2023" s="10">
        <v>5.15</v>
      </c>
      <c r="D2023" s="10">
        <v>0.55000000000000004</v>
      </c>
      <c r="E2023" s="16">
        <v>11.96</v>
      </c>
      <c r="F2023">
        <v>5645324</v>
      </c>
      <c r="G2023" s="5">
        <v>43188</v>
      </c>
    </row>
    <row r="2024" spans="1:7" x14ac:dyDescent="0.4">
      <c r="A2024">
        <v>24</v>
      </c>
      <c r="B2024" t="s">
        <v>131</v>
      </c>
      <c r="C2024" s="10">
        <v>2.54</v>
      </c>
      <c r="D2024" s="10">
        <v>0.27</v>
      </c>
      <c r="E2024" s="16">
        <v>11.79</v>
      </c>
      <c r="F2024">
        <v>11452</v>
      </c>
      <c r="G2024" s="5">
        <v>43188</v>
      </c>
    </row>
    <row r="2025" spans="1:7" x14ac:dyDescent="0.4">
      <c r="A2025">
        <v>25</v>
      </c>
      <c r="B2025" t="s">
        <v>910</v>
      </c>
      <c r="C2025" s="10">
        <v>11.2</v>
      </c>
      <c r="D2025" s="10">
        <v>1.18</v>
      </c>
      <c r="E2025" s="16">
        <v>11.78</v>
      </c>
      <c r="F2025">
        <v>591055</v>
      </c>
      <c r="G2025" s="5">
        <v>43188</v>
      </c>
    </row>
    <row r="2026" spans="1:7" x14ac:dyDescent="0.4">
      <c r="A2026">
        <v>26</v>
      </c>
      <c r="B2026" t="s">
        <v>189</v>
      </c>
      <c r="C2026" s="10">
        <v>2.4500000000000002</v>
      </c>
      <c r="D2026" s="10">
        <v>0.25</v>
      </c>
      <c r="E2026" s="16">
        <v>11.36</v>
      </c>
      <c r="F2026">
        <v>39104</v>
      </c>
      <c r="G2026" s="5">
        <v>43188</v>
      </c>
    </row>
    <row r="2027" spans="1:7" x14ac:dyDescent="0.4">
      <c r="A2027">
        <v>27</v>
      </c>
      <c r="B2027" t="s">
        <v>188</v>
      </c>
      <c r="C2027" s="10">
        <v>4.45</v>
      </c>
      <c r="D2027" s="10">
        <v>0.45</v>
      </c>
      <c r="E2027" s="16">
        <v>11.25</v>
      </c>
      <c r="F2027">
        <v>801393</v>
      </c>
      <c r="G2027" s="5">
        <v>43188</v>
      </c>
    </row>
    <row r="2028" spans="1:7" x14ac:dyDescent="0.4">
      <c r="A2028">
        <v>28</v>
      </c>
      <c r="B2028" t="s">
        <v>911</v>
      </c>
      <c r="C2028" s="10">
        <v>14.13</v>
      </c>
      <c r="D2028" s="10">
        <v>1.4</v>
      </c>
      <c r="E2028" s="16">
        <v>11</v>
      </c>
      <c r="F2028">
        <v>3483097</v>
      </c>
      <c r="G2028" s="5">
        <v>43188</v>
      </c>
    </row>
    <row r="2029" spans="1:7" x14ac:dyDescent="0.4">
      <c r="A2029">
        <v>29</v>
      </c>
      <c r="B2029" t="s">
        <v>28</v>
      </c>
      <c r="C2029" s="10">
        <v>10.15</v>
      </c>
      <c r="D2029" s="10">
        <v>1</v>
      </c>
      <c r="E2029" s="16">
        <v>10.93</v>
      </c>
      <c r="F2029">
        <v>218608</v>
      </c>
      <c r="G2029" s="5">
        <v>43188</v>
      </c>
    </row>
    <row r="2030" spans="1:7" x14ac:dyDescent="0.4">
      <c r="A2030">
        <v>30</v>
      </c>
      <c r="B2030" t="s">
        <v>912</v>
      </c>
      <c r="C2030" s="10">
        <v>6.26</v>
      </c>
      <c r="D2030" s="10">
        <v>0.62</v>
      </c>
      <c r="E2030" s="16">
        <v>10.92</v>
      </c>
      <c r="F2030">
        <v>31744</v>
      </c>
      <c r="G2030" s="5">
        <v>43188</v>
      </c>
    </row>
    <row r="2031" spans="1:7" x14ac:dyDescent="0.4">
      <c r="A2031">
        <v>31</v>
      </c>
      <c r="B2031" t="s">
        <v>199</v>
      </c>
      <c r="C2031" s="10">
        <v>3.16</v>
      </c>
      <c r="D2031" s="10">
        <v>0.31</v>
      </c>
      <c r="E2031" s="16">
        <v>10.88</v>
      </c>
      <c r="F2031">
        <v>345886</v>
      </c>
      <c r="G2031" s="5">
        <v>43188</v>
      </c>
    </row>
    <row r="2032" spans="1:7" x14ac:dyDescent="0.4">
      <c r="A2032">
        <v>32</v>
      </c>
      <c r="B2032" t="s">
        <v>168</v>
      </c>
      <c r="C2032" s="10">
        <v>2.69</v>
      </c>
      <c r="D2032" s="10">
        <v>0.26</v>
      </c>
      <c r="E2032" s="16">
        <v>10.7</v>
      </c>
      <c r="F2032">
        <v>1139013</v>
      </c>
      <c r="G2032" s="5">
        <v>43188</v>
      </c>
    </row>
    <row r="2033" spans="1:7" x14ac:dyDescent="0.4">
      <c r="A2033">
        <v>33</v>
      </c>
      <c r="B2033" t="s">
        <v>296</v>
      </c>
      <c r="C2033" s="10">
        <v>6.23</v>
      </c>
      <c r="D2033" s="10">
        <v>0.6</v>
      </c>
      <c r="E2033" s="16">
        <v>10.66</v>
      </c>
      <c r="F2033">
        <v>227726</v>
      </c>
      <c r="G2033" s="5">
        <v>43188</v>
      </c>
    </row>
    <row r="2034" spans="1:7" x14ac:dyDescent="0.4">
      <c r="A2034">
        <v>34</v>
      </c>
      <c r="B2034" t="s">
        <v>37</v>
      </c>
      <c r="C2034" s="10">
        <v>2.84</v>
      </c>
      <c r="D2034" s="10">
        <v>0.27</v>
      </c>
      <c r="E2034" s="16">
        <v>10.51</v>
      </c>
      <c r="F2034">
        <v>1131829</v>
      </c>
      <c r="G2034" s="5">
        <v>43188</v>
      </c>
    </row>
    <row r="2035" spans="1:7" x14ac:dyDescent="0.4">
      <c r="A2035">
        <v>35</v>
      </c>
      <c r="B2035" t="s">
        <v>913</v>
      </c>
      <c r="C2035" s="10">
        <v>2.29</v>
      </c>
      <c r="D2035" s="10">
        <v>0.21</v>
      </c>
      <c r="E2035" s="16">
        <v>10.1</v>
      </c>
      <c r="F2035">
        <v>126353</v>
      </c>
      <c r="G2035" s="5">
        <v>43188</v>
      </c>
    </row>
    <row r="2036" spans="1:7" x14ac:dyDescent="0.4">
      <c r="A2036">
        <v>36</v>
      </c>
      <c r="B2036" t="s">
        <v>914</v>
      </c>
      <c r="C2036" s="10">
        <v>6.61</v>
      </c>
      <c r="D2036" s="10">
        <v>0.6</v>
      </c>
      <c r="E2036" s="16">
        <v>9.98</v>
      </c>
      <c r="F2036">
        <v>386069</v>
      </c>
      <c r="G2036" s="5">
        <v>43188</v>
      </c>
    </row>
    <row r="2037" spans="1:7" x14ac:dyDescent="0.4">
      <c r="A2037">
        <v>37</v>
      </c>
      <c r="B2037" t="s">
        <v>915</v>
      </c>
      <c r="C2037" s="10">
        <v>7.21</v>
      </c>
      <c r="D2037" s="10">
        <v>0.65</v>
      </c>
      <c r="E2037" s="16">
        <v>9.91</v>
      </c>
      <c r="F2037">
        <v>1347059</v>
      </c>
      <c r="G2037" s="5">
        <v>43188</v>
      </c>
    </row>
    <row r="2038" spans="1:7" x14ac:dyDescent="0.4">
      <c r="A2038">
        <v>38</v>
      </c>
      <c r="B2038" t="s">
        <v>865</v>
      </c>
      <c r="C2038" s="10">
        <v>28.55</v>
      </c>
      <c r="D2038" s="10">
        <v>2.5499999999999998</v>
      </c>
      <c r="E2038" s="16">
        <v>9.81</v>
      </c>
      <c r="F2038">
        <v>306403</v>
      </c>
      <c r="G2038" s="5">
        <v>43188</v>
      </c>
    </row>
    <row r="2039" spans="1:7" x14ac:dyDescent="0.4">
      <c r="A2039">
        <v>39</v>
      </c>
      <c r="B2039" t="s">
        <v>360</v>
      </c>
      <c r="C2039" s="10">
        <v>4.9400000000000004</v>
      </c>
      <c r="D2039" s="10">
        <v>0.44</v>
      </c>
      <c r="E2039" s="16">
        <v>9.7799999999999994</v>
      </c>
      <c r="F2039">
        <v>183031</v>
      </c>
      <c r="G2039" s="5">
        <v>43188</v>
      </c>
    </row>
    <row r="2040" spans="1:7" x14ac:dyDescent="0.4">
      <c r="A2040">
        <v>40</v>
      </c>
      <c r="B2040" t="s">
        <v>916</v>
      </c>
      <c r="C2040" s="10">
        <v>4.29</v>
      </c>
      <c r="D2040" s="10">
        <v>0.38</v>
      </c>
      <c r="E2040" s="16">
        <v>9.7200000000000006</v>
      </c>
      <c r="F2040">
        <v>236724</v>
      </c>
      <c r="G2040" s="5">
        <v>43188</v>
      </c>
    </row>
    <row r="2041" spans="1:7" x14ac:dyDescent="0.4">
      <c r="A2041">
        <v>41</v>
      </c>
      <c r="B2041" t="s">
        <v>917</v>
      </c>
      <c r="C2041" s="10">
        <v>13</v>
      </c>
      <c r="D2041" s="10">
        <v>1.1499999999999999</v>
      </c>
      <c r="E2041" s="16">
        <v>9.6999999999999993</v>
      </c>
      <c r="F2041">
        <v>377346</v>
      </c>
      <c r="G2041" s="5">
        <v>43188</v>
      </c>
    </row>
    <row r="2042" spans="1:7" x14ac:dyDescent="0.4">
      <c r="A2042">
        <v>42</v>
      </c>
      <c r="B2042" t="s">
        <v>498</v>
      </c>
      <c r="C2042" s="10">
        <v>4.17</v>
      </c>
      <c r="D2042" s="10">
        <v>0.36</v>
      </c>
      <c r="E2042" s="16">
        <v>9.4499999999999993</v>
      </c>
      <c r="F2042">
        <v>261821</v>
      </c>
      <c r="G2042" s="5">
        <v>43188</v>
      </c>
    </row>
    <row r="2043" spans="1:7" x14ac:dyDescent="0.4">
      <c r="A2043">
        <v>43</v>
      </c>
      <c r="B2043" t="s">
        <v>84</v>
      </c>
      <c r="C2043" s="10">
        <v>20.37</v>
      </c>
      <c r="D2043" s="10">
        <v>1.75</v>
      </c>
      <c r="E2043" s="16">
        <v>9.4</v>
      </c>
      <c r="F2043">
        <v>239612</v>
      </c>
      <c r="G2043" s="5">
        <v>43188</v>
      </c>
    </row>
    <row r="2044" spans="1:7" x14ac:dyDescent="0.4">
      <c r="A2044">
        <v>44</v>
      </c>
      <c r="B2044" t="s">
        <v>918</v>
      </c>
      <c r="C2044" s="10">
        <v>15.15</v>
      </c>
      <c r="D2044" s="10">
        <v>1.3</v>
      </c>
      <c r="E2044" s="16">
        <v>9.39</v>
      </c>
      <c r="F2044">
        <v>2282</v>
      </c>
      <c r="G2044" s="5">
        <v>43188</v>
      </c>
    </row>
    <row r="2045" spans="1:7" x14ac:dyDescent="0.4">
      <c r="A2045">
        <v>45</v>
      </c>
      <c r="B2045" t="s">
        <v>919</v>
      </c>
      <c r="C2045" s="10">
        <v>5.93</v>
      </c>
      <c r="D2045" s="10">
        <v>0.5</v>
      </c>
      <c r="E2045" s="16">
        <v>9.2100000000000009</v>
      </c>
      <c r="F2045">
        <v>203147</v>
      </c>
      <c r="G2045" s="5">
        <v>43188</v>
      </c>
    </row>
    <row r="2046" spans="1:7" x14ac:dyDescent="0.4">
      <c r="A2046">
        <v>46</v>
      </c>
      <c r="B2046" t="s">
        <v>366</v>
      </c>
      <c r="C2046" s="10">
        <v>5.35</v>
      </c>
      <c r="D2046" s="10">
        <v>0.45</v>
      </c>
      <c r="E2046" s="16">
        <v>9.18</v>
      </c>
      <c r="F2046">
        <v>792748</v>
      </c>
      <c r="G2046" s="5">
        <v>43188</v>
      </c>
    </row>
    <row r="2047" spans="1:7" x14ac:dyDescent="0.4">
      <c r="A2047">
        <v>47</v>
      </c>
      <c r="B2047" t="s">
        <v>581</v>
      </c>
      <c r="C2047" s="10">
        <v>4.34</v>
      </c>
      <c r="D2047" s="10">
        <v>0.36</v>
      </c>
      <c r="E2047" s="16">
        <v>9.0500000000000007</v>
      </c>
      <c r="F2047">
        <v>114987</v>
      </c>
      <c r="G2047" s="5">
        <v>43188</v>
      </c>
    </row>
    <row r="2048" spans="1:7" x14ac:dyDescent="0.4">
      <c r="A2048">
        <v>48</v>
      </c>
      <c r="B2048" t="s">
        <v>920</v>
      </c>
      <c r="C2048" s="10">
        <v>4</v>
      </c>
      <c r="D2048" s="10">
        <v>0.33</v>
      </c>
      <c r="E2048" s="16">
        <v>8.99</v>
      </c>
      <c r="F2048">
        <v>38530</v>
      </c>
      <c r="G2048" s="5">
        <v>43188</v>
      </c>
    </row>
    <row r="2049" spans="1:7" x14ac:dyDescent="0.4">
      <c r="A2049">
        <v>49</v>
      </c>
      <c r="B2049" t="s">
        <v>921</v>
      </c>
      <c r="C2049" s="10">
        <v>29.8</v>
      </c>
      <c r="D2049" s="10">
        <v>2.4500000000000002</v>
      </c>
      <c r="E2049" s="16">
        <v>8.9600000000000009</v>
      </c>
      <c r="F2049">
        <v>98465</v>
      </c>
      <c r="G2049" s="5">
        <v>43188</v>
      </c>
    </row>
    <row r="2050" spans="1:7" x14ac:dyDescent="0.4">
      <c r="A2050">
        <v>50</v>
      </c>
      <c r="B2050" t="s">
        <v>922</v>
      </c>
      <c r="C2050" s="10">
        <v>51.24</v>
      </c>
      <c r="D2050" s="10">
        <v>4.21</v>
      </c>
      <c r="E2050" s="16">
        <v>8.9499999999999993</v>
      </c>
      <c r="F2050">
        <v>367775</v>
      </c>
      <c r="G2050" s="5">
        <v>43188</v>
      </c>
    </row>
    <row r="2051" spans="1:7" x14ac:dyDescent="0.4">
      <c r="A2051">
        <v>51</v>
      </c>
      <c r="B2051" t="s">
        <v>923</v>
      </c>
      <c r="C2051" s="10">
        <v>6.1</v>
      </c>
      <c r="D2051" s="10">
        <v>0.5</v>
      </c>
      <c r="E2051" s="16">
        <v>8.93</v>
      </c>
      <c r="F2051">
        <v>932701</v>
      </c>
      <c r="G2051" s="5">
        <v>43188</v>
      </c>
    </row>
    <row r="2052" spans="1:7" x14ac:dyDescent="0.4">
      <c r="A2052">
        <v>52</v>
      </c>
      <c r="B2052" t="s">
        <v>924</v>
      </c>
      <c r="C2052" s="10">
        <v>9.75</v>
      </c>
      <c r="D2052" s="10">
        <v>0.79</v>
      </c>
      <c r="E2052" s="16">
        <v>8.82</v>
      </c>
      <c r="F2052">
        <v>94162</v>
      </c>
      <c r="G2052" s="5">
        <v>43188</v>
      </c>
    </row>
    <row r="2053" spans="1:7" x14ac:dyDescent="0.4">
      <c r="A2053">
        <v>53</v>
      </c>
      <c r="B2053" t="s">
        <v>172</v>
      </c>
      <c r="C2053" s="10">
        <v>19.27</v>
      </c>
      <c r="D2053" s="10">
        <v>1.55</v>
      </c>
      <c r="E2053" s="16">
        <v>8.75</v>
      </c>
      <c r="F2053">
        <v>21669</v>
      </c>
      <c r="G2053" s="5">
        <v>43188</v>
      </c>
    </row>
    <row r="2054" spans="1:7" x14ac:dyDescent="0.4">
      <c r="A2054">
        <v>54</v>
      </c>
      <c r="B2054" t="s">
        <v>925</v>
      </c>
      <c r="C2054" s="10">
        <v>7.09</v>
      </c>
      <c r="D2054" s="10">
        <v>0.56999999999999995</v>
      </c>
      <c r="E2054" s="16">
        <v>8.74</v>
      </c>
      <c r="F2054">
        <v>111720</v>
      </c>
      <c r="G2054" s="5">
        <v>43188</v>
      </c>
    </row>
    <row r="2055" spans="1:7" x14ac:dyDescent="0.4">
      <c r="A2055">
        <v>55</v>
      </c>
      <c r="B2055" t="s">
        <v>926</v>
      </c>
      <c r="C2055" s="10">
        <v>20.149999999999999</v>
      </c>
      <c r="D2055" s="10">
        <v>1.6</v>
      </c>
      <c r="E2055" s="16">
        <v>8.6300000000000008</v>
      </c>
      <c r="F2055">
        <v>1729370</v>
      </c>
      <c r="G2055" s="5">
        <v>43188</v>
      </c>
    </row>
    <row r="2056" spans="1:7" x14ac:dyDescent="0.4">
      <c r="A2056">
        <v>56</v>
      </c>
      <c r="B2056" t="s">
        <v>927</v>
      </c>
      <c r="C2056" s="10">
        <v>5.42</v>
      </c>
      <c r="D2056" s="10">
        <v>0.42</v>
      </c>
      <c r="E2056" s="16">
        <v>8.4</v>
      </c>
      <c r="F2056">
        <v>339481</v>
      </c>
      <c r="G2056" s="5">
        <v>43188</v>
      </c>
    </row>
    <row r="2057" spans="1:7" x14ac:dyDescent="0.4">
      <c r="A2057">
        <v>57</v>
      </c>
      <c r="B2057" t="s">
        <v>339</v>
      </c>
      <c r="C2057" s="10">
        <v>19.78</v>
      </c>
      <c r="D2057" s="10">
        <v>1.52</v>
      </c>
      <c r="E2057" s="16">
        <v>8.32</v>
      </c>
      <c r="F2057">
        <v>32764</v>
      </c>
      <c r="G2057" s="5">
        <v>43188</v>
      </c>
    </row>
    <row r="2058" spans="1:7" x14ac:dyDescent="0.4">
      <c r="A2058">
        <v>58</v>
      </c>
      <c r="B2058" t="s">
        <v>928</v>
      </c>
      <c r="C2058" s="10">
        <v>9.0299999999999994</v>
      </c>
      <c r="D2058" s="10">
        <v>0.69</v>
      </c>
      <c r="E2058" s="16">
        <v>8.27</v>
      </c>
      <c r="F2058">
        <v>113887</v>
      </c>
      <c r="G2058" s="5">
        <v>43188</v>
      </c>
    </row>
    <row r="2059" spans="1:7" x14ac:dyDescent="0.4">
      <c r="A2059">
        <v>59</v>
      </c>
      <c r="B2059" t="s">
        <v>564</v>
      </c>
      <c r="C2059" s="10">
        <v>23.84</v>
      </c>
      <c r="D2059" s="10">
        <v>1.82</v>
      </c>
      <c r="E2059" s="16">
        <v>8.27</v>
      </c>
      <c r="F2059">
        <v>1185731</v>
      </c>
      <c r="G2059" s="5">
        <v>43188</v>
      </c>
    </row>
    <row r="2060" spans="1:7" x14ac:dyDescent="0.4">
      <c r="A2060">
        <v>60</v>
      </c>
      <c r="B2060" t="s">
        <v>211</v>
      </c>
      <c r="C2060" s="10">
        <v>7.89</v>
      </c>
      <c r="D2060" s="10">
        <v>0.6</v>
      </c>
      <c r="E2060" s="16">
        <v>8.23</v>
      </c>
      <c r="F2060">
        <v>17469</v>
      </c>
      <c r="G2060" s="5">
        <v>43188</v>
      </c>
    </row>
    <row r="2061" spans="1:7" x14ac:dyDescent="0.4">
      <c r="A2061">
        <v>61</v>
      </c>
      <c r="B2061" t="s">
        <v>929</v>
      </c>
      <c r="C2061" s="10">
        <v>7.95</v>
      </c>
      <c r="D2061" s="10">
        <v>0.6</v>
      </c>
      <c r="E2061" s="16">
        <v>8.16</v>
      </c>
      <c r="F2061">
        <v>5283</v>
      </c>
      <c r="G2061" s="5">
        <v>43188</v>
      </c>
    </row>
    <row r="2062" spans="1:7" x14ac:dyDescent="0.4">
      <c r="A2062">
        <v>62</v>
      </c>
      <c r="B2062" t="s">
        <v>930</v>
      </c>
      <c r="C2062" s="10">
        <v>18.75</v>
      </c>
      <c r="D2062" s="10">
        <v>1.4</v>
      </c>
      <c r="E2062" s="16">
        <v>8.07</v>
      </c>
      <c r="F2062">
        <v>378431</v>
      </c>
      <c r="G2062" s="5">
        <v>43188</v>
      </c>
    </row>
    <row r="2063" spans="1:7" x14ac:dyDescent="0.4">
      <c r="A2063">
        <v>63</v>
      </c>
      <c r="B2063" t="s">
        <v>424</v>
      </c>
      <c r="C2063" s="10">
        <v>2.7</v>
      </c>
      <c r="D2063" s="10">
        <v>0.2</v>
      </c>
      <c r="E2063" s="16">
        <v>8</v>
      </c>
      <c r="F2063">
        <v>522330</v>
      </c>
      <c r="G2063" s="5">
        <v>43188</v>
      </c>
    </row>
    <row r="2064" spans="1:7" x14ac:dyDescent="0.4">
      <c r="A2064">
        <v>64</v>
      </c>
      <c r="B2064" t="s">
        <v>35</v>
      </c>
      <c r="C2064" s="10">
        <v>5.82</v>
      </c>
      <c r="D2064" s="10">
        <v>0.43</v>
      </c>
      <c r="E2064" s="16">
        <v>7.98</v>
      </c>
      <c r="F2064">
        <v>137557</v>
      </c>
      <c r="G2064" s="5">
        <v>43188</v>
      </c>
    </row>
    <row r="2065" spans="1:7" x14ac:dyDescent="0.4">
      <c r="A2065">
        <v>65</v>
      </c>
      <c r="B2065" t="s">
        <v>931</v>
      </c>
      <c r="C2065" s="10">
        <v>28.99</v>
      </c>
      <c r="D2065" s="10">
        <v>2.13</v>
      </c>
      <c r="E2065" s="16">
        <v>7.93</v>
      </c>
      <c r="F2065">
        <v>517595</v>
      </c>
      <c r="G2065" s="5">
        <v>43188</v>
      </c>
    </row>
    <row r="2066" spans="1:7" x14ac:dyDescent="0.4">
      <c r="A2066">
        <v>66</v>
      </c>
      <c r="B2066" t="s">
        <v>932</v>
      </c>
      <c r="C2066" s="10">
        <v>3.82</v>
      </c>
      <c r="D2066" s="10">
        <v>0.28000000000000003</v>
      </c>
      <c r="E2066" s="16">
        <v>7.91</v>
      </c>
      <c r="F2066">
        <v>782963</v>
      </c>
      <c r="G2066" s="5">
        <v>43188</v>
      </c>
    </row>
    <row r="2067" spans="1:7" x14ac:dyDescent="0.4">
      <c r="A2067">
        <v>67</v>
      </c>
      <c r="B2067" t="s">
        <v>384</v>
      </c>
      <c r="C2067" s="10">
        <v>12.99</v>
      </c>
      <c r="D2067" s="10">
        <v>0.95</v>
      </c>
      <c r="E2067" s="16">
        <v>7.89</v>
      </c>
      <c r="F2067">
        <v>1718827</v>
      </c>
      <c r="G2067" s="5">
        <v>43188</v>
      </c>
    </row>
    <row r="2068" spans="1:7" x14ac:dyDescent="0.4">
      <c r="A2068">
        <v>68</v>
      </c>
      <c r="B2068" t="s">
        <v>192</v>
      </c>
      <c r="C2068" s="10">
        <v>2.8</v>
      </c>
      <c r="D2068" s="10">
        <v>0.2</v>
      </c>
      <c r="E2068" s="16">
        <v>7.78</v>
      </c>
      <c r="F2068">
        <v>8874</v>
      </c>
      <c r="G2068" s="5">
        <v>43188</v>
      </c>
    </row>
    <row r="2069" spans="1:7" x14ac:dyDescent="0.4">
      <c r="A2069">
        <v>69</v>
      </c>
      <c r="B2069" t="s">
        <v>622</v>
      </c>
      <c r="C2069" s="10">
        <v>32.06</v>
      </c>
      <c r="D2069" s="10">
        <v>2.29</v>
      </c>
      <c r="E2069" s="16">
        <v>7.69</v>
      </c>
      <c r="F2069">
        <v>351797</v>
      </c>
      <c r="G2069" s="5">
        <v>43188</v>
      </c>
    </row>
    <row r="2070" spans="1:7" x14ac:dyDescent="0.4">
      <c r="A2070">
        <v>70</v>
      </c>
      <c r="B2070" t="s">
        <v>933</v>
      </c>
      <c r="C2070" s="10">
        <v>40.08</v>
      </c>
      <c r="D2070" s="10">
        <v>2.83</v>
      </c>
      <c r="E2070" s="16">
        <v>7.58</v>
      </c>
      <c r="F2070">
        <v>16791</v>
      </c>
      <c r="G2070" s="5">
        <v>43188</v>
      </c>
    </row>
    <row r="2071" spans="1:7" x14ac:dyDescent="0.4">
      <c r="A2071">
        <v>71</v>
      </c>
      <c r="B2071" t="s">
        <v>576</v>
      </c>
      <c r="C2071" s="10">
        <v>17.37</v>
      </c>
      <c r="D2071" s="10">
        <v>1.22</v>
      </c>
      <c r="E2071" s="16">
        <v>7.55</v>
      </c>
      <c r="F2071">
        <v>367898</v>
      </c>
      <c r="G2071" s="5">
        <v>43188</v>
      </c>
    </row>
    <row r="2072" spans="1:7" x14ac:dyDescent="0.4">
      <c r="A2072">
        <v>72</v>
      </c>
      <c r="B2072" t="s">
        <v>934</v>
      </c>
      <c r="C2072" s="10">
        <v>78.8</v>
      </c>
      <c r="D2072" s="10">
        <v>5.53</v>
      </c>
      <c r="E2072" s="16">
        <v>7.55</v>
      </c>
      <c r="F2072">
        <v>689802</v>
      </c>
      <c r="G2072" s="5">
        <v>43188</v>
      </c>
    </row>
    <row r="2073" spans="1:7" x14ac:dyDescent="0.4">
      <c r="A2073">
        <v>73</v>
      </c>
      <c r="B2073" t="s">
        <v>618</v>
      </c>
      <c r="C2073" s="10">
        <v>57.95</v>
      </c>
      <c r="D2073" s="10">
        <v>4.0599999999999996</v>
      </c>
      <c r="E2073" s="16">
        <v>7.53</v>
      </c>
      <c r="F2073">
        <v>150569</v>
      </c>
      <c r="G2073" s="5">
        <v>43188</v>
      </c>
    </row>
    <row r="2074" spans="1:7" x14ac:dyDescent="0.4">
      <c r="A2074">
        <v>74</v>
      </c>
      <c r="B2074" t="s">
        <v>935</v>
      </c>
      <c r="C2074" s="10">
        <v>3</v>
      </c>
      <c r="D2074" s="10">
        <v>0.21</v>
      </c>
      <c r="E2074" s="16">
        <v>7.53</v>
      </c>
      <c r="F2074">
        <v>892101</v>
      </c>
      <c r="G2074" s="5">
        <v>43188</v>
      </c>
    </row>
    <row r="2075" spans="1:7" x14ac:dyDescent="0.4">
      <c r="A2075">
        <v>75</v>
      </c>
      <c r="B2075" t="s">
        <v>936</v>
      </c>
      <c r="C2075" s="10">
        <v>34.97</v>
      </c>
      <c r="D2075" s="10">
        <v>2.42</v>
      </c>
      <c r="E2075" s="16">
        <v>7.43</v>
      </c>
      <c r="F2075">
        <v>1781076</v>
      </c>
      <c r="G2075" s="5">
        <v>43188</v>
      </c>
    </row>
    <row r="2076" spans="1:7" x14ac:dyDescent="0.4">
      <c r="A2076">
        <v>76</v>
      </c>
      <c r="B2076" t="s">
        <v>937</v>
      </c>
      <c r="C2076" s="10">
        <v>9.56</v>
      </c>
      <c r="D2076" s="10">
        <v>0.66</v>
      </c>
      <c r="E2076" s="16">
        <v>7.42</v>
      </c>
      <c r="F2076">
        <v>598339</v>
      </c>
      <c r="G2076" s="5">
        <v>43188</v>
      </c>
    </row>
    <row r="2077" spans="1:7" x14ac:dyDescent="0.4">
      <c r="A2077">
        <v>77</v>
      </c>
      <c r="B2077" t="s">
        <v>938</v>
      </c>
      <c r="C2077" s="10">
        <v>4.3499999999999996</v>
      </c>
      <c r="D2077" s="10">
        <v>0.3</v>
      </c>
      <c r="E2077" s="16">
        <v>7.41</v>
      </c>
      <c r="F2077">
        <v>79697</v>
      </c>
      <c r="G2077" s="5">
        <v>43188</v>
      </c>
    </row>
    <row r="2078" spans="1:7" x14ac:dyDescent="0.4">
      <c r="A2078">
        <v>78</v>
      </c>
      <c r="B2078" t="s">
        <v>939</v>
      </c>
      <c r="C2078" s="10">
        <v>15.4</v>
      </c>
      <c r="D2078" s="10">
        <v>1.05</v>
      </c>
      <c r="E2078" s="16">
        <v>7.32</v>
      </c>
      <c r="F2078">
        <v>1862227</v>
      </c>
      <c r="G2078" s="5">
        <v>43188</v>
      </c>
    </row>
    <row r="2079" spans="1:7" x14ac:dyDescent="0.4">
      <c r="A2079">
        <v>79</v>
      </c>
      <c r="B2079" t="s">
        <v>639</v>
      </c>
      <c r="C2079" s="10">
        <v>3.23</v>
      </c>
      <c r="D2079" s="10">
        <v>0.22</v>
      </c>
      <c r="E2079" s="16">
        <v>7.31</v>
      </c>
      <c r="F2079">
        <v>180758</v>
      </c>
      <c r="G2079" s="5">
        <v>43188</v>
      </c>
    </row>
    <row r="2080" spans="1:7" x14ac:dyDescent="0.4">
      <c r="A2080">
        <v>80</v>
      </c>
      <c r="B2080" t="s">
        <v>748</v>
      </c>
      <c r="C2080" s="10">
        <v>47</v>
      </c>
      <c r="D2080" s="10">
        <v>3.2</v>
      </c>
      <c r="E2080" s="16">
        <v>7.31</v>
      </c>
      <c r="F2080">
        <v>161874</v>
      </c>
      <c r="G2080" s="5">
        <v>43188</v>
      </c>
    </row>
    <row r="2081" spans="1:7" x14ac:dyDescent="0.4">
      <c r="A2081">
        <v>81</v>
      </c>
      <c r="B2081" t="s">
        <v>940</v>
      </c>
      <c r="C2081" s="10">
        <v>7.21</v>
      </c>
      <c r="D2081" s="10">
        <v>0.49</v>
      </c>
      <c r="E2081" s="16">
        <v>7.29</v>
      </c>
      <c r="F2081">
        <v>1561159</v>
      </c>
      <c r="G2081" s="5">
        <v>43188</v>
      </c>
    </row>
    <row r="2082" spans="1:7" x14ac:dyDescent="0.4">
      <c r="A2082">
        <v>82</v>
      </c>
      <c r="B2082" t="s">
        <v>265</v>
      </c>
      <c r="C2082" s="10">
        <v>11.23</v>
      </c>
      <c r="D2082" s="10">
        <v>0.76</v>
      </c>
      <c r="E2082" s="16">
        <v>7.26</v>
      </c>
      <c r="F2082">
        <v>684714</v>
      </c>
      <c r="G2082" s="5">
        <v>43188</v>
      </c>
    </row>
    <row r="2083" spans="1:7" x14ac:dyDescent="0.4">
      <c r="A2083">
        <v>83</v>
      </c>
      <c r="B2083" t="s">
        <v>941</v>
      </c>
      <c r="C2083" s="10">
        <v>5.52</v>
      </c>
      <c r="D2083" s="10">
        <v>0.37</v>
      </c>
      <c r="E2083" s="16">
        <v>7.22</v>
      </c>
      <c r="F2083">
        <v>4272</v>
      </c>
      <c r="G2083" s="5">
        <v>43188</v>
      </c>
    </row>
    <row r="2084" spans="1:7" x14ac:dyDescent="0.4">
      <c r="A2084">
        <v>84</v>
      </c>
      <c r="B2084" t="s">
        <v>942</v>
      </c>
      <c r="C2084" s="10">
        <v>2.5499999999999998</v>
      </c>
      <c r="D2084" s="10">
        <v>0.17</v>
      </c>
      <c r="E2084" s="16">
        <v>7.14</v>
      </c>
      <c r="F2084">
        <v>7055</v>
      </c>
      <c r="G2084" s="5">
        <v>43188</v>
      </c>
    </row>
    <row r="2085" spans="1:7" x14ac:dyDescent="0.4">
      <c r="A2085">
        <v>85</v>
      </c>
      <c r="B2085" t="s">
        <v>444</v>
      </c>
      <c r="C2085" s="10">
        <v>13.37</v>
      </c>
      <c r="D2085" s="10">
        <v>0.89</v>
      </c>
      <c r="E2085" s="16">
        <v>7.13</v>
      </c>
      <c r="F2085">
        <v>3732203</v>
      </c>
      <c r="G2085" s="5">
        <v>43188</v>
      </c>
    </row>
    <row r="2086" spans="1:7" x14ac:dyDescent="0.4">
      <c r="A2086">
        <v>86</v>
      </c>
      <c r="B2086" t="s">
        <v>943</v>
      </c>
      <c r="C2086" s="10">
        <v>29.71</v>
      </c>
      <c r="D2086" s="10">
        <v>1.97</v>
      </c>
      <c r="E2086" s="16">
        <v>7.1</v>
      </c>
      <c r="F2086">
        <v>122100</v>
      </c>
      <c r="G2086" s="5">
        <v>43188</v>
      </c>
    </row>
    <row r="2087" spans="1:7" x14ac:dyDescent="0.4">
      <c r="A2087">
        <v>87</v>
      </c>
      <c r="B2087" t="s">
        <v>402</v>
      </c>
      <c r="C2087" s="10">
        <v>10.19</v>
      </c>
      <c r="D2087" s="10">
        <v>0.67</v>
      </c>
      <c r="E2087" s="16">
        <v>7.04</v>
      </c>
      <c r="F2087">
        <v>241098</v>
      </c>
      <c r="G2087" s="5">
        <v>43188</v>
      </c>
    </row>
    <row r="2088" spans="1:7" x14ac:dyDescent="0.4">
      <c r="A2088">
        <v>88</v>
      </c>
      <c r="B2088" t="s">
        <v>944</v>
      </c>
      <c r="C2088" s="10">
        <v>25.16</v>
      </c>
      <c r="D2088" s="10">
        <v>1.65</v>
      </c>
      <c r="E2088" s="16">
        <v>7.02</v>
      </c>
      <c r="F2088">
        <v>1225994</v>
      </c>
      <c r="G2088" s="5">
        <v>43188</v>
      </c>
    </row>
    <row r="2089" spans="1:7" x14ac:dyDescent="0.4">
      <c r="A2089">
        <v>89</v>
      </c>
      <c r="B2089" t="s">
        <v>109</v>
      </c>
      <c r="C2089" s="10">
        <v>26.05</v>
      </c>
      <c r="D2089" s="10">
        <v>1.7</v>
      </c>
      <c r="E2089" s="16">
        <v>6.98</v>
      </c>
      <c r="F2089">
        <v>252445</v>
      </c>
      <c r="G2089" s="5">
        <v>43188</v>
      </c>
    </row>
    <row r="2090" spans="1:7" x14ac:dyDescent="0.4">
      <c r="A2090">
        <v>90</v>
      </c>
      <c r="B2090" t="s">
        <v>634</v>
      </c>
      <c r="C2090" s="10">
        <v>25.82</v>
      </c>
      <c r="D2090" s="10">
        <v>1.68</v>
      </c>
      <c r="E2090" s="16">
        <v>6.96</v>
      </c>
      <c r="F2090">
        <v>4604387</v>
      </c>
      <c r="G2090" s="5">
        <v>43188</v>
      </c>
    </row>
    <row r="2091" spans="1:7" x14ac:dyDescent="0.4">
      <c r="A2091">
        <v>91</v>
      </c>
      <c r="B2091" t="s">
        <v>620</v>
      </c>
      <c r="C2091" s="10">
        <v>2.63</v>
      </c>
      <c r="D2091" s="10">
        <v>0.17</v>
      </c>
      <c r="E2091" s="16">
        <v>6.91</v>
      </c>
      <c r="F2091">
        <v>5673995</v>
      </c>
      <c r="G2091" s="5">
        <v>43188</v>
      </c>
    </row>
    <row r="2092" spans="1:7" x14ac:dyDescent="0.4">
      <c r="A2092">
        <v>92</v>
      </c>
      <c r="B2092" t="s">
        <v>455</v>
      </c>
      <c r="C2092" s="10">
        <v>116.79</v>
      </c>
      <c r="D2092" s="10">
        <v>7.51</v>
      </c>
      <c r="E2092" s="16">
        <v>6.87</v>
      </c>
      <c r="F2092">
        <v>284550</v>
      </c>
      <c r="G2092" s="5">
        <v>43188</v>
      </c>
    </row>
    <row r="2093" spans="1:7" x14ac:dyDescent="0.4">
      <c r="A2093">
        <v>93</v>
      </c>
      <c r="B2093" t="s">
        <v>46</v>
      </c>
      <c r="C2093" s="10">
        <v>83.11</v>
      </c>
      <c r="D2093" s="10">
        <v>5.31</v>
      </c>
      <c r="E2093" s="16">
        <v>6.83</v>
      </c>
      <c r="F2093">
        <v>26159</v>
      </c>
      <c r="G2093" s="5">
        <v>43188</v>
      </c>
    </row>
    <row r="2094" spans="1:7" x14ac:dyDescent="0.4">
      <c r="A2094">
        <v>94</v>
      </c>
      <c r="B2094" t="s">
        <v>58</v>
      </c>
      <c r="C2094" s="10">
        <v>15.7</v>
      </c>
      <c r="D2094" s="10">
        <v>1</v>
      </c>
      <c r="E2094" s="16">
        <v>6.8</v>
      </c>
      <c r="F2094">
        <v>13120</v>
      </c>
      <c r="G2094" s="5">
        <v>43188</v>
      </c>
    </row>
    <row r="2095" spans="1:7" x14ac:dyDescent="0.4">
      <c r="A2095">
        <v>95</v>
      </c>
      <c r="B2095" t="s">
        <v>945</v>
      </c>
      <c r="C2095" s="10">
        <v>13.53</v>
      </c>
      <c r="D2095" s="10">
        <v>0.86</v>
      </c>
      <c r="E2095" s="16">
        <v>6.79</v>
      </c>
      <c r="F2095">
        <v>89090</v>
      </c>
      <c r="G2095" s="5">
        <v>43188</v>
      </c>
    </row>
    <row r="2096" spans="1:7" x14ac:dyDescent="0.4">
      <c r="A2096">
        <v>96</v>
      </c>
      <c r="B2096" t="s">
        <v>946</v>
      </c>
      <c r="C2096" s="10">
        <v>7.1</v>
      </c>
      <c r="D2096" s="10">
        <v>0.45</v>
      </c>
      <c r="E2096" s="16">
        <v>6.77</v>
      </c>
      <c r="F2096">
        <v>667586</v>
      </c>
      <c r="G2096" s="5">
        <v>43188</v>
      </c>
    </row>
    <row r="2097" spans="1:7" x14ac:dyDescent="0.4">
      <c r="A2097">
        <v>97</v>
      </c>
      <c r="B2097" t="s">
        <v>29</v>
      </c>
      <c r="C2097" s="10">
        <v>15.17</v>
      </c>
      <c r="D2097" s="10">
        <v>0.96</v>
      </c>
      <c r="E2097" s="16">
        <v>6.76</v>
      </c>
      <c r="F2097">
        <v>430023</v>
      </c>
      <c r="G2097" s="5">
        <v>43188</v>
      </c>
    </row>
    <row r="2098" spans="1:7" x14ac:dyDescent="0.4">
      <c r="A2098">
        <v>98</v>
      </c>
      <c r="B2098" t="s">
        <v>947</v>
      </c>
      <c r="C2098" s="10">
        <v>7.44</v>
      </c>
      <c r="D2098" s="10">
        <v>0.47</v>
      </c>
      <c r="E2098" s="16">
        <v>6.74</v>
      </c>
      <c r="F2098">
        <v>133915</v>
      </c>
      <c r="G2098" s="5">
        <v>43188</v>
      </c>
    </row>
    <row r="2099" spans="1:7" x14ac:dyDescent="0.4">
      <c r="A2099">
        <v>99</v>
      </c>
      <c r="B2099" t="s">
        <v>747</v>
      </c>
      <c r="C2099" s="10">
        <v>58.63</v>
      </c>
      <c r="D2099" s="10">
        <v>3.7</v>
      </c>
      <c r="E2099" s="16">
        <v>6.74</v>
      </c>
      <c r="F2099">
        <v>24857</v>
      </c>
      <c r="G2099" s="5">
        <v>43188</v>
      </c>
    </row>
    <row r="2100" spans="1:7" x14ac:dyDescent="0.4">
      <c r="A2100">
        <v>100</v>
      </c>
      <c r="B2100" t="s">
        <v>948</v>
      </c>
      <c r="C2100" s="10">
        <v>12.4</v>
      </c>
      <c r="D2100" s="10">
        <v>0.78</v>
      </c>
      <c r="E2100" s="16">
        <v>6.71</v>
      </c>
      <c r="F2100">
        <v>99768</v>
      </c>
      <c r="G2100" s="5">
        <v>43188</v>
      </c>
    </row>
    <row r="2101" spans="1:7" x14ac:dyDescent="0.4">
      <c r="A2101">
        <v>1</v>
      </c>
      <c r="B2101" t="s">
        <v>166</v>
      </c>
      <c r="C2101" s="10">
        <v>4.74</v>
      </c>
      <c r="D2101" s="10">
        <v>0.96</v>
      </c>
      <c r="E2101" s="16">
        <v>25.4</v>
      </c>
      <c r="F2101">
        <v>1325073</v>
      </c>
      <c r="G2101" s="5">
        <v>43188</v>
      </c>
    </row>
    <row r="2102" spans="1:7" hidden="1" x14ac:dyDescent="0.4"/>
    <row r="2103" spans="1:7" hidden="1" x14ac:dyDescent="0.4"/>
    <row r="2104" spans="1:7" hidden="1" x14ac:dyDescent="0.4"/>
    <row r="2105" spans="1:7" hidden="1" x14ac:dyDescent="0.4"/>
    <row r="2106" spans="1:7" hidden="1" x14ac:dyDescent="0.4"/>
    <row r="2107" spans="1:7" hidden="1" x14ac:dyDescent="0.4"/>
    <row r="2108" spans="1:7" hidden="1" x14ac:dyDescent="0.4"/>
    <row r="2109" spans="1:7" hidden="1" x14ac:dyDescent="0.4"/>
    <row r="2110" spans="1:7" hidden="1" x14ac:dyDescent="0.4"/>
    <row r="2111" spans="1:7" hidden="1" x14ac:dyDescent="0.4"/>
    <row r="2112" spans="1:7" hidden="1" x14ac:dyDescent="0.4"/>
    <row r="2113" hidden="1" x14ac:dyDescent="0.4"/>
    <row r="2114" hidden="1" x14ac:dyDescent="0.4"/>
    <row r="2115" hidden="1" x14ac:dyDescent="0.4"/>
    <row r="2116" hidden="1" x14ac:dyDescent="0.4"/>
    <row r="2117" hidden="1" x14ac:dyDescent="0.4"/>
    <row r="2118" hidden="1" x14ac:dyDescent="0.4"/>
    <row r="2119" hidden="1" x14ac:dyDescent="0.4"/>
    <row r="2120" hidden="1" x14ac:dyDescent="0.4"/>
    <row r="2121" hidden="1" x14ac:dyDescent="0.4"/>
    <row r="2122" hidden="1" x14ac:dyDescent="0.4"/>
    <row r="2123" hidden="1" x14ac:dyDescent="0.4"/>
    <row r="2124" hidden="1" x14ac:dyDescent="0.4"/>
    <row r="2125" hidden="1" x14ac:dyDescent="0.4"/>
    <row r="2126" hidden="1" x14ac:dyDescent="0.4"/>
    <row r="2127" hidden="1" x14ac:dyDescent="0.4"/>
    <row r="2128" hidden="1" x14ac:dyDescent="0.4"/>
    <row r="2129" hidden="1" x14ac:dyDescent="0.4"/>
    <row r="2130" hidden="1" x14ac:dyDescent="0.4"/>
    <row r="2131" hidden="1" x14ac:dyDescent="0.4"/>
    <row r="2132" hidden="1" x14ac:dyDescent="0.4"/>
    <row r="2133" hidden="1" x14ac:dyDescent="0.4"/>
    <row r="2134" hidden="1" x14ac:dyDescent="0.4"/>
    <row r="2135" hidden="1" x14ac:dyDescent="0.4"/>
    <row r="2136" hidden="1" x14ac:dyDescent="0.4"/>
    <row r="2137" hidden="1" x14ac:dyDescent="0.4"/>
    <row r="2138" hidden="1" x14ac:dyDescent="0.4"/>
    <row r="2139" hidden="1" x14ac:dyDescent="0.4"/>
    <row r="2140" hidden="1" x14ac:dyDescent="0.4"/>
    <row r="2141" hidden="1" x14ac:dyDescent="0.4"/>
    <row r="2142" hidden="1" x14ac:dyDescent="0.4"/>
    <row r="2143" hidden="1" x14ac:dyDescent="0.4"/>
    <row r="2144" hidden="1" x14ac:dyDescent="0.4"/>
    <row r="2145" hidden="1" x14ac:dyDescent="0.4"/>
    <row r="2146" hidden="1" x14ac:dyDescent="0.4"/>
    <row r="2147" hidden="1" x14ac:dyDescent="0.4"/>
    <row r="2148" hidden="1" x14ac:dyDescent="0.4"/>
    <row r="2149" hidden="1" x14ac:dyDescent="0.4"/>
    <row r="2150" hidden="1" x14ac:dyDescent="0.4"/>
    <row r="2151" hidden="1" x14ac:dyDescent="0.4"/>
    <row r="2152" hidden="1" x14ac:dyDescent="0.4"/>
    <row r="2153" hidden="1" x14ac:dyDescent="0.4"/>
    <row r="2154" hidden="1" x14ac:dyDescent="0.4"/>
    <row r="2155" hidden="1" x14ac:dyDescent="0.4"/>
    <row r="2156" hidden="1" x14ac:dyDescent="0.4"/>
    <row r="2157" hidden="1" x14ac:dyDescent="0.4"/>
    <row r="2158" hidden="1" x14ac:dyDescent="0.4"/>
    <row r="2159" hidden="1" x14ac:dyDescent="0.4"/>
    <row r="2160" hidden="1" x14ac:dyDescent="0.4"/>
    <row r="2161" hidden="1" x14ac:dyDescent="0.4"/>
    <row r="2162" hidden="1" x14ac:dyDescent="0.4"/>
    <row r="2163" hidden="1" x14ac:dyDescent="0.4"/>
    <row r="2164" hidden="1" x14ac:dyDescent="0.4"/>
    <row r="2165" hidden="1" x14ac:dyDescent="0.4"/>
    <row r="2166" hidden="1" x14ac:dyDescent="0.4"/>
    <row r="2167" hidden="1" x14ac:dyDescent="0.4"/>
    <row r="2168" hidden="1" x14ac:dyDescent="0.4"/>
    <row r="2169" hidden="1" x14ac:dyDescent="0.4"/>
    <row r="2170" hidden="1" x14ac:dyDescent="0.4"/>
    <row r="2171" hidden="1" x14ac:dyDescent="0.4"/>
    <row r="2172" hidden="1" x14ac:dyDescent="0.4"/>
    <row r="2173" hidden="1" x14ac:dyDescent="0.4"/>
    <row r="2174" hidden="1" x14ac:dyDescent="0.4"/>
    <row r="2175" hidden="1" x14ac:dyDescent="0.4"/>
    <row r="2176" hidden="1" x14ac:dyDescent="0.4"/>
    <row r="2177" hidden="1" x14ac:dyDescent="0.4"/>
    <row r="2178" hidden="1" x14ac:dyDescent="0.4"/>
    <row r="2179" hidden="1" x14ac:dyDescent="0.4"/>
    <row r="2180" hidden="1" x14ac:dyDescent="0.4"/>
    <row r="2181" hidden="1" x14ac:dyDescent="0.4"/>
    <row r="2182" hidden="1" x14ac:dyDescent="0.4"/>
    <row r="2183" hidden="1" x14ac:dyDescent="0.4"/>
    <row r="2184" hidden="1" x14ac:dyDescent="0.4"/>
    <row r="2185" hidden="1" x14ac:dyDescent="0.4"/>
    <row r="2186" hidden="1" x14ac:dyDescent="0.4"/>
    <row r="2187" hidden="1" x14ac:dyDescent="0.4"/>
    <row r="2188" hidden="1" x14ac:dyDescent="0.4"/>
    <row r="2189" hidden="1" x14ac:dyDescent="0.4"/>
    <row r="2190" hidden="1" x14ac:dyDescent="0.4"/>
    <row r="2191" hidden="1" x14ac:dyDescent="0.4"/>
    <row r="2192" hidden="1" x14ac:dyDescent="0.4"/>
    <row r="2193" spans="1:7" hidden="1" x14ac:dyDescent="0.4"/>
    <row r="2194" spans="1:7" hidden="1" x14ac:dyDescent="0.4"/>
    <row r="2195" spans="1:7" hidden="1" x14ac:dyDescent="0.4"/>
    <row r="2196" spans="1:7" hidden="1" x14ac:dyDescent="0.4"/>
    <row r="2197" spans="1:7" hidden="1" x14ac:dyDescent="0.4"/>
    <row r="2198" spans="1:7" hidden="1" x14ac:dyDescent="0.4"/>
    <row r="2199" spans="1:7" hidden="1" x14ac:dyDescent="0.4"/>
    <row r="2200" spans="1:7" hidden="1" x14ac:dyDescent="0.4"/>
    <row r="2201" spans="1:7" hidden="1" x14ac:dyDescent="0.4"/>
    <row r="2202" spans="1:7" x14ac:dyDescent="0.4">
      <c r="A2202">
        <v>1</v>
      </c>
      <c r="B2202" t="s">
        <v>66</v>
      </c>
      <c r="C2202" s="10">
        <v>7.79</v>
      </c>
      <c r="D2202" s="10">
        <v>2.4700000000000002</v>
      </c>
      <c r="E2202" s="16">
        <v>46.43</v>
      </c>
      <c r="F2202">
        <v>7170626</v>
      </c>
      <c r="G2202" s="5">
        <v>43194</v>
      </c>
    </row>
    <row r="2203" spans="1:7" x14ac:dyDescent="0.4">
      <c r="A2203">
        <v>2</v>
      </c>
      <c r="B2203" t="s">
        <v>210</v>
      </c>
      <c r="C2203" s="10">
        <v>3.31</v>
      </c>
      <c r="D2203" s="10">
        <v>0.66</v>
      </c>
      <c r="E2203" s="16">
        <v>24.91</v>
      </c>
      <c r="F2203">
        <v>2932434</v>
      </c>
      <c r="G2203" s="5">
        <v>43194</v>
      </c>
    </row>
    <row r="2204" spans="1:7" x14ac:dyDescent="0.4">
      <c r="A2204">
        <v>3</v>
      </c>
      <c r="B2204" t="s">
        <v>38</v>
      </c>
      <c r="C2204" s="10">
        <v>11.61</v>
      </c>
      <c r="D2204" s="10">
        <v>1.72</v>
      </c>
      <c r="E2204" s="16">
        <v>17.39</v>
      </c>
      <c r="F2204">
        <v>3637850</v>
      </c>
      <c r="G2204" s="5">
        <v>43194</v>
      </c>
    </row>
    <row r="2205" spans="1:7" x14ac:dyDescent="0.4">
      <c r="A2205">
        <v>4</v>
      </c>
      <c r="B2205" t="s">
        <v>457</v>
      </c>
      <c r="C2205" s="10">
        <v>2.67</v>
      </c>
      <c r="D2205" s="10">
        <v>0.38</v>
      </c>
      <c r="E2205" s="16">
        <v>16.59</v>
      </c>
      <c r="F2205">
        <v>778086</v>
      </c>
      <c r="G2205" s="5">
        <v>43194</v>
      </c>
    </row>
    <row r="2206" spans="1:7" x14ac:dyDescent="0.4">
      <c r="A2206">
        <v>5</v>
      </c>
      <c r="B2206" t="s">
        <v>1359</v>
      </c>
      <c r="C2206" s="10">
        <v>2.63</v>
      </c>
      <c r="D2206" s="10">
        <v>0.37</v>
      </c>
      <c r="E2206" s="16">
        <v>16.37</v>
      </c>
      <c r="F2206">
        <v>1897111</v>
      </c>
      <c r="G2206" s="5">
        <v>43194</v>
      </c>
    </row>
    <row r="2207" spans="1:7" x14ac:dyDescent="0.4">
      <c r="A2207">
        <v>6</v>
      </c>
      <c r="B2207" t="s">
        <v>830</v>
      </c>
      <c r="C2207" s="10">
        <v>2.98</v>
      </c>
      <c r="D2207" s="10">
        <v>0.41</v>
      </c>
      <c r="E2207" s="16">
        <v>15.95</v>
      </c>
      <c r="F2207">
        <v>7139840</v>
      </c>
      <c r="G2207" s="5">
        <v>43194</v>
      </c>
    </row>
    <row r="2208" spans="1:7" x14ac:dyDescent="0.4">
      <c r="A2208">
        <v>7</v>
      </c>
      <c r="B2208" t="s">
        <v>1131</v>
      </c>
      <c r="C2208" s="10">
        <v>11.15</v>
      </c>
      <c r="D2208" s="10">
        <v>1.5</v>
      </c>
      <c r="E2208" s="16">
        <v>15.54</v>
      </c>
      <c r="F2208">
        <v>1877319</v>
      </c>
      <c r="G2208" s="5">
        <v>43194</v>
      </c>
    </row>
    <row r="2209" spans="1:7" x14ac:dyDescent="0.4">
      <c r="A2209">
        <v>8</v>
      </c>
      <c r="B2209" t="s">
        <v>166</v>
      </c>
      <c r="C2209" s="10">
        <v>4.74</v>
      </c>
      <c r="D2209" s="10">
        <v>0.63</v>
      </c>
      <c r="E2209" s="16">
        <v>15.33</v>
      </c>
      <c r="F2209">
        <v>1028994</v>
      </c>
      <c r="G2209" s="5">
        <v>43194</v>
      </c>
    </row>
    <row r="2210" spans="1:7" x14ac:dyDescent="0.4">
      <c r="A2210">
        <v>9</v>
      </c>
      <c r="B2210" t="s">
        <v>786</v>
      </c>
      <c r="C2210" s="10">
        <v>69.66</v>
      </c>
      <c r="D2210" s="10">
        <v>8.9600000000000009</v>
      </c>
      <c r="E2210" s="16">
        <v>14.75</v>
      </c>
      <c r="F2210">
        <v>78676</v>
      </c>
      <c r="G2210" s="5">
        <v>43194</v>
      </c>
    </row>
    <row r="2211" spans="1:7" x14ac:dyDescent="0.4">
      <c r="A2211">
        <v>10</v>
      </c>
      <c r="B2211" t="s">
        <v>1012</v>
      </c>
      <c r="C2211" s="10">
        <v>2.85</v>
      </c>
      <c r="D2211" s="10">
        <v>0.35</v>
      </c>
      <c r="E2211" s="16">
        <v>14</v>
      </c>
      <c r="F2211">
        <v>388232</v>
      </c>
      <c r="G2211" s="5">
        <v>43194</v>
      </c>
    </row>
    <row r="2212" spans="1:7" x14ac:dyDescent="0.4">
      <c r="A2212">
        <v>11</v>
      </c>
      <c r="B2212" t="s">
        <v>1056</v>
      </c>
      <c r="C2212" s="10">
        <v>5</v>
      </c>
      <c r="D2212" s="10">
        <v>0.6</v>
      </c>
      <c r="E2212" s="16">
        <v>13.64</v>
      </c>
      <c r="F2212">
        <v>27015</v>
      </c>
      <c r="G2212" s="5">
        <v>43194</v>
      </c>
    </row>
    <row r="2213" spans="1:7" x14ac:dyDescent="0.4">
      <c r="A2213">
        <v>12</v>
      </c>
      <c r="B2213" t="s">
        <v>1137</v>
      </c>
      <c r="C2213" s="10">
        <v>4.32</v>
      </c>
      <c r="D2213" s="10">
        <v>0.5</v>
      </c>
      <c r="E2213" s="16">
        <v>13.09</v>
      </c>
      <c r="F2213">
        <v>579541</v>
      </c>
      <c r="G2213" s="5">
        <v>43194</v>
      </c>
    </row>
    <row r="2214" spans="1:7" x14ac:dyDescent="0.4">
      <c r="A2214">
        <v>13</v>
      </c>
      <c r="B2214" t="s">
        <v>301</v>
      </c>
      <c r="C2214" s="10">
        <v>5</v>
      </c>
      <c r="D2214" s="10">
        <v>0.56999999999999995</v>
      </c>
      <c r="E2214" s="16">
        <v>12.87</v>
      </c>
      <c r="F2214">
        <v>15026</v>
      </c>
      <c r="G2214" s="5">
        <v>43194</v>
      </c>
    </row>
    <row r="2215" spans="1:7" x14ac:dyDescent="0.4">
      <c r="A2215">
        <v>14</v>
      </c>
      <c r="B2215" t="s">
        <v>571</v>
      </c>
      <c r="C2215" s="10">
        <v>44.21</v>
      </c>
      <c r="D2215" s="10">
        <v>4.9400000000000004</v>
      </c>
      <c r="E2215" s="16">
        <v>12.58</v>
      </c>
      <c r="F2215">
        <v>1264611</v>
      </c>
      <c r="G2215" s="5">
        <v>43194</v>
      </c>
    </row>
    <row r="2216" spans="1:7" x14ac:dyDescent="0.4">
      <c r="A2216">
        <v>15</v>
      </c>
      <c r="B2216" t="s">
        <v>1067</v>
      </c>
      <c r="C2216" s="10">
        <v>25.4</v>
      </c>
      <c r="D2216" s="10">
        <v>2.76</v>
      </c>
      <c r="E2216" s="16">
        <v>12.19</v>
      </c>
      <c r="F2216">
        <v>178729</v>
      </c>
      <c r="G2216" s="5">
        <v>43194</v>
      </c>
    </row>
    <row r="2217" spans="1:7" x14ac:dyDescent="0.4">
      <c r="A2217">
        <v>16</v>
      </c>
      <c r="B2217" t="s">
        <v>374</v>
      </c>
      <c r="C2217" s="10">
        <v>4.5999999999999996</v>
      </c>
      <c r="D2217" s="10">
        <v>0.49</v>
      </c>
      <c r="E2217" s="16">
        <v>11.92</v>
      </c>
      <c r="F2217">
        <v>27959</v>
      </c>
      <c r="G2217" s="5">
        <v>43194</v>
      </c>
    </row>
    <row r="2218" spans="1:7" x14ac:dyDescent="0.4">
      <c r="A2218">
        <v>17</v>
      </c>
      <c r="B2218" t="s">
        <v>155</v>
      </c>
      <c r="C2218" s="10">
        <v>22.9</v>
      </c>
      <c r="D2218" s="10">
        <v>2.38</v>
      </c>
      <c r="E2218" s="16">
        <v>11.6</v>
      </c>
      <c r="F2218">
        <v>314419</v>
      </c>
      <c r="G2218" s="5">
        <v>43194</v>
      </c>
    </row>
    <row r="2219" spans="1:7" x14ac:dyDescent="0.4">
      <c r="A2219">
        <v>18</v>
      </c>
      <c r="B2219" t="s">
        <v>140</v>
      </c>
      <c r="C2219" s="10">
        <v>7.35</v>
      </c>
      <c r="D2219" s="10">
        <v>0.75</v>
      </c>
      <c r="E2219" s="16">
        <v>11.36</v>
      </c>
      <c r="F2219">
        <v>251229</v>
      </c>
      <c r="G2219" s="5">
        <v>43194</v>
      </c>
    </row>
    <row r="2220" spans="1:7" x14ac:dyDescent="0.4">
      <c r="A2220">
        <v>19</v>
      </c>
      <c r="B2220" t="s">
        <v>224</v>
      </c>
      <c r="C2220" s="10">
        <v>2.57</v>
      </c>
      <c r="D2220" s="10">
        <v>0.26</v>
      </c>
      <c r="E2220" s="16">
        <v>11.26</v>
      </c>
      <c r="F2220">
        <v>1898145</v>
      </c>
      <c r="G2220" s="5">
        <v>43194</v>
      </c>
    </row>
    <row r="2221" spans="1:7" x14ac:dyDescent="0.4">
      <c r="A2221">
        <v>20</v>
      </c>
      <c r="B2221" t="s">
        <v>1360</v>
      </c>
      <c r="C2221" s="10">
        <v>8.0500000000000007</v>
      </c>
      <c r="D2221" s="10">
        <v>0.81</v>
      </c>
      <c r="E2221" s="16">
        <v>11.11</v>
      </c>
      <c r="F2221">
        <v>18291</v>
      </c>
      <c r="G2221" s="5">
        <v>43194</v>
      </c>
    </row>
    <row r="2222" spans="1:7" x14ac:dyDescent="0.4">
      <c r="A2222">
        <v>21</v>
      </c>
      <c r="B2222" t="s">
        <v>706</v>
      </c>
      <c r="C2222" s="10">
        <v>9</v>
      </c>
      <c r="D2222" s="10">
        <v>0.9</v>
      </c>
      <c r="E2222" s="16">
        <v>11.11</v>
      </c>
      <c r="F2222">
        <v>238937</v>
      </c>
      <c r="G2222" s="5">
        <v>43194</v>
      </c>
    </row>
    <row r="2223" spans="1:7" x14ac:dyDescent="0.4">
      <c r="A2223">
        <v>22</v>
      </c>
      <c r="B2223" t="s">
        <v>635</v>
      </c>
      <c r="C2223" s="10">
        <v>13.49</v>
      </c>
      <c r="D2223" s="10">
        <v>1.34</v>
      </c>
      <c r="E2223" s="16">
        <v>11.03</v>
      </c>
      <c r="F2223">
        <v>1455077</v>
      </c>
      <c r="G2223" s="5">
        <v>43194</v>
      </c>
    </row>
    <row r="2224" spans="1:7" x14ac:dyDescent="0.4">
      <c r="A2224">
        <v>23</v>
      </c>
      <c r="B2224" t="s">
        <v>407</v>
      </c>
      <c r="C2224" s="10">
        <v>25.8</v>
      </c>
      <c r="D2224" s="10">
        <v>2.54</v>
      </c>
      <c r="E2224" s="16">
        <v>10.92</v>
      </c>
      <c r="F2224">
        <v>98168</v>
      </c>
      <c r="G2224" s="5">
        <v>43194</v>
      </c>
    </row>
    <row r="2225" spans="1:7" x14ac:dyDescent="0.4">
      <c r="A2225">
        <v>24</v>
      </c>
      <c r="B2225" t="s">
        <v>331</v>
      </c>
      <c r="C2225" s="10">
        <v>32.39</v>
      </c>
      <c r="D2225" s="10">
        <v>3.17</v>
      </c>
      <c r="E2225" s="16">
        <v>10.85</v>
      </c>
      <c r="F2225">
        <v>349683</v>
      </c>
      <c r="G2225" s="5">
        <v>43194</v>
      </c>
    </row>
    <row r="2226" spans="1:7" x14ac:dyDescent="0.4">
      <c r="A2226">
        <v>25</v>
      </c>
      <c r="B2226" t="s">
        <v>188</v>
      </c>
      <c r="C2226" s="10">
        <v>4.7</v>
      </c>
      <c r="D2226" s="10">
        <v>0.45</v>
      </c>
      <c r="E2226" s="16">
        <v>10.59</v>
      </c>
      <c r="F2226">
        <v>461530</v>
      </c>
      <c r="G2226" s="5">
        <v>43194</v>
      </c>
    </row>
    <row r="2227" spans="1:7" x14ac:dyDescent="0.4">
      <c r="A2227">
        <v>26</v>
      </c>
      <c r="B2227" t="s">
        <v>1361</v>
      </c>
      <c r="C2227" s="10">
        <v>17.02</v>
      </c>
      <c r="D2227" s="10">
        <v>1.61</v>
      </c>
      <c r="E2227" s="16">
        <v>10.45</v>
      </c>
      <c r="F2227">
        <v>4228</v>
      </c>
      <c r="G2227" s="5">
        <v>43194</v>
      </c>
    </row>
    <row r="2228" spans="1:7" x14ac:dyDescent="0.4">
      <c r="A2228">
        <v>27</v>
      </c>
      <c r="B2228" t="s">
        <v>1362</v>
      </c>
      <c r="C2228" s="10">
        <v>13.95</v>
      </c>
      <c r="D2228" s="10">
        <v>1.31</v>
      </c>
      <c r="E2228" s="16">
        <v>10.36</v>
      </c>
      <c r="F2228">
        <v>2743091</v>
      </c>
      <c r="G2228" s="5">
        <v>43194</v>
      </c>
    </row>
    <row r="2229" spans="1:7" x14ac:dyDescent="0.4">
      <c r="A2229">
        <v>28</v>
      </c>
      <c r="B2229" t="s">
        <v>152</v>
      </c>
      <c r="C2229" s="10">
        <v>19.8</v>
      </c>
      <c r="D2229" s="10">
        <v>1.84</v>
      </c>
      <c r="E2229" s="16">
        <v>10.24</v>
      </c>
      <c r="F2229">
        <v>122864</v>
      </c>
      <c r="G2229" s="5">
        <v>43194</v>
      </c>
    </row>
    <row r="2230" spans="1:7" x14ac:dyDescent="0.4">
      <c r="A2230">
        <v>29</v>
      </c>
      <c r="B2230" t="s">
        <v>124</v>
      </c>
      <c r="C2230" s="10">
        <v>2.81</v>
      </c>
      <c r="D2230" s="10">
        <v>0.26</v>
      </c>
      <c r="E2230" s="16">
        <v>10.199999999999999</v>
      </c>
      <c r="F2230">
        <v>12640</v>
      </c>
      <c r="G2230" s="5">
        <v>43194</v>
      </c>
    </row>
    <row r="2231" spans="1:7" x14ac:dyDescent="0.4">
      <c r="A2231">
        <v>30</v>
      </c>
      <c r="B2231" t="s">
        <v>763</v>
      </c>
      <c r="C2231" s="10">
        <v>77.209999999999994</v>
      </c>
      <c r="D2231" s="10">
        <v>7.09</v>
      </c>
      <c r="E2231" s="16">
        <v>10.11</v>
      </c>
      <c r="F2231">
        <v>2805467</v>
      </c>
      <c r="G2231" s="5">
        <v>43194</v>
      </c>
    </row>
    <row r="2232" spans="1:7" x14ac:dyDescent="0.4">
      <c r="A2232">
        <v>31</v>
      </c>
      <c r="B2232" t="s">
        <v>1363</v>
      </c>
      <c r="C2232" s="10">
        <v>122.53</v>
      </c>
      <c r="D2232" s="10">
        <v>11.23</v>
      </c>
      <c r="E2232" s="16">
        <v>10.09</v>
      </c>
      <c r="F2232">
        <v>533298</v>
      </c>
      <c r="G2232" s="5">
        <v>43194</v>
      </c>
    </row>
    <row r="2233" spans="1:7" x14ac:dyDescent="0.4">
      <c r="A2233">
        <v>32</v>
      </c>
      <c r="B2233" t="s">
        <v>1364</v>
      </c>
      <c r="C2233" s="10">
        <v>62.82</v>
      </c>
      <c r="D2233" s="10">
        <v>5.73</v>
      </c>
      <c r="E2233" s="16">
        <v>10.039999999999999</v>
      </c>
      <c r="F2233">
        <v>17103173</v>
      </c>
      <c r="G2233" s="5">
        <v>43194</v>
      </c>
    </row>
    <row r="2234" spans="1:7" x14ac:dyDescent="0.4">
      <c r="A2234">
        <v>33</v>
      </c>
      <c r="B2234" t="s">
        <v>205</v>
      </c>
      <c r="C2234" s="10">
        <v>2.21</v>
      </c>
      <c r="D2234" s="10">
        <v>0.2</v>
      </c>
      <c r="E2234" s="16">
        <v>9.9499999999999993</v>
      </c>
      <c r="F2234">
        <v>153792</v>
      </c>
      <c r="G2234" s="5">
        <v>43194</v>
      </c>
    </row>
    <row r="2235" spans="1:7" x14ac:dyDescent="0.4">
      <c r="A2235">
        <v>34</v>
      </c>
      <c r="B2235" t="s">
        <v>490</v>
      </c>
      <c r="C2235" s="10">
        <v>35.65</v>
      </c>
      <c r="D2235" s="10">
        <v>3.2</v>
      </c>
      <c r="E2235" s="16">
        <v>9.86</v>
      </c>
      <c r="F2235">
        <v>2976781</v>
      </c>
      <c r="G2235" s="5">
        <v>43194</v>
      </c>
    </row>
    <row r="2236" spans="1:7" x14ac:dyDescent="0.4">
      <c r="A2236">
        <v>35</v>
      </c>
      <c r="B2236" t="s">
        <v>1365</v>
      </c>
      <c r="C2236" s="10">
        <v>97.8</v>
      </c>
      <c r="D2236" s="10">
        <v>8.74</v>
      </c>
      <c r="E2236" s="16">
        <v>9.81</v>
      </c>
      <c r="F2236">
        <v>316379</v>
      </c>
      <c r="G2236" s="5">
        <v>43194</v>
      </c>
    </row>
    <row r="2237" spans="1:7" x14ac:dyDescent="0.4">
      <c r="A2237">
        <v>36</v>
      </c>
      <c r="B2237" t="s">
        <v>1366</v>
      </c>
      <c r="C2237" s="10">
        <v>14.5</v>
      </c>
      <c r="D2237" s="10">
        <v>1.29</v>
      </c>
      <c r="E2237" s="16">
        <v>9.77</v>
      </c>
      <c r="F2237">
        <v>217927</v>
      </c>
      <c r="G2237" s="5">
        <v>43194</v>
      </c>
    </row>
    <row r="2238" spans="1:7" x14ac:dyDescent="0.4">
      <c r="A2238">
        <v>37</v>
      </c>
      <c r="B2238" t="s">
        <v>1367</v>
      </c>
      <c r="C2238" s="10">
        <v>50.71</v>
      </c>
      <c r="D2238" s="10">
        <v>4.5</v>
      </c>
      <c r="E2238" s="16">
        <v>9.74</v>
      </c>
      <c r="F2238">
        <v>198925</v>
      </c>
      <c r="G2238" s="5">
        <v>43194</v>
      </c>
    </row>
    <row r="2239" spans="1:7" x14ac:dyDescent="0.4">
      <c r="A2239">
        <v>38</v>
      </c>
      <c r="B2239" t="s">
        <v>215</v>
      </c>
      <c r="C2239" s="10">
        <v>23.79</v>
      </c>
      <c r="D2239" s="10">
        <v>2.11</v>
      </c>
      <c r="E2239" s="16">
        <v>9.73</v>
      </c>
      <c r="F2239">
        <v>72208</v>
      </c>
      <c r="G2239" s="5">
        <v>43194</v>
      </c>
    </row>
    <row r="2240" spans="1:7" x14ac:dyDescent="0.4">
      <c r="A2240">
        <v>39</v>
      </c>
      <c r="B2240" t="s">
        <v>1368</v>
      </c>
      <c r="C2240" s="10">
        <v>4.03</v>
      </c>
      <c r="D2240" s="10">
        <v>0.35</v>
      </c>
      <c r="E2240" s="16">
        <v>9.51</v>
      </c>
      <c r="F2240">
        <v>574925</v>
      </c>
      <c r="G2240" s="5">
        <v>43194</v>
      </c>
    </row>
    <row r="2241" spans="1:7" x14ac:dyDescent="0.4">
      <c r="A2241">
        <v>40</v>
      </c>
      <c r="B2241" t="s">
        <v>1369</v>
      </c>
      <c r="C2241" s="10">
        <v>23.64</v>
      </c>
      <c r="D2241" s="10">
        <v>2.04</v>
      </c>
      <c r="E2241" s="16">
        <v>9.4600000000000009</v>
      </c>
      <c r="F2241">
        <v>13376</v>
      </c>
      <c r="G2241" s="5">
        <v>43194</v>
      </c>
    </row>
    <row r="2242" spans="1:7" x14ac:dyDescent="0.4">
      <c r="A2242">
        <v>41</v>
      </c>
      <c r="B2242" t="s">
        <v>1370</v>
      </c>
      <c r="C2242" s="10">
        <v>17.64</v>
      </c>
      <c r="D2242" s="10">
        <v>1.52</v>
      </c>
      <c r="E2242" s="16">
        <v>9.43</v>
      </c>
      <c r="F2242">
        <v>1656444</v>
      </c>
      <c r="G2242" s="5">
        <v>43194</v>
      </c>
    </row>
    <row r="2243" spans="1:7" x14ac:dyDescent="0.4">
      <c r="A2243">
        <v>42</v>
      </c>
      <c r="B2243" t="s">
        <v>1371</v>
      </c>
      <c r="C2243" s="10">
        <v>2.35</v>
      </c>
      <c r="D2243" s="10">
        <v>0.2</v>
      </c>
      <c r="E2243" s="16">
        <v>9.3000000000000007</v>
      </c>
      <c r="F2243">
        <v>137469</v>
      </c>
      <c r="G2243" s="5">
        <v>43194</v>
      </c>
    </row>
    <row r="2244" spans="1:7" x14ac:dyDescent="0.4">
      <c r="A2244">
        <v>43</v>
      </c>
      <c r="B2244" t="s">
        <v>1026</v>
      </c>
      <c r="C2244" s="10">
        <v>2.35</v>
      </c>
      <c r="D2244" s="10">
        <v>0.2</v>
      </c>
      <c r="E2244" s="16">
        <v>9.3000000000000007</v>
      </c>
      <c r="F2244">
        <v>450944</v>
      </c>
      <c r="G2244" s="5">
        <v>43194</v>
      </c>
    </row>
    <row r="2245" spans="1:7" x14ac:dyDescent="0.4">
      <c r="A2245">
        <v>44</v>
      </c>
      <c r="B2245" t="s">
        <v>1179</v>
      </c>
      <c r="C2245" s="10">
        <v>10.51</v>
      </c>
      <c r="D2245" s="10">
        <v>0.89</v>
      </c>
      <c r="E2245" s="16">
        <v>9.25</v>
      </c>
      <c r="F2245">
        <v>653916</v>
      </c>
      <c r="G2245" s="5">
        <v>43194</v>
      </c>
    </row>
    <row r="2246" spans="1:7" x14ac:dyDescent="0.4">
      <c r="A2246">
        <v>45</v>
      </c>
      <c r="B2246" t="s">
        <v>255</v>
      </c>
      <c r="C2246" s="10">
        <v>7.49</v>
      </c>
      <c r="D2246" s="10">
        <v>0.63</v>
      </c>
      <c r="E2246" s="16">
        <v>9.18</v>
      </c>
      <c r="F2246">
        <v>3380</v>
      </c>
      <c r="G2246" s="5">
        <v>43194</v>
      </c>
    </row>
    <row r="2247" spans="1:7" x14ac:dyDescent="0.4">
      <c r="A2247">
        <v>46</v>
      </c>
      <c r="B2247" t="s">
        <v>682</v>
      </c>
      <c r="C2247" s="10">
        <v>6.85</v>
      </c>
      <c r="D2247" s="10">
        <v>0.56999999999999995</v>
      </c>
      <c r="E2247" s="16">
        <v>9.08</v>
      </c>
      <c r="F2247">
        <v>536654</v>
      </c>
      <c r="G2247" s="5">
        <v>43194</v>
      </c>
    </row>
    <row r="2248" spans="1:7" x14ac:dyDescent="0.4">
      <c r="A2248">
        <v>47</v>
      </c>
      <c r="B2248" t="s">
        <v>649</v>
      </c>
      <c r="C2248" s="10">
        <v>3.5</v>
      </c>
      <c r="D2248" s="10">
        <v>0.28999999999999998</v>
      </c>
      <c r="E2248" s="16">
        <v>9.0299999999999994</v>
      </c>
      <c r="F2248">
        <v>487505</v>
      </c>
      <c r="G2248" s="5">
        <v>43194</v>
      </c>
    </row>
    <row r="2249" spans="1:7" x14ac:dyDescent="0.4">
      <c r="A2249">
        <v>48</v>
      </c>
      <c r="B2249" t="s">
        <v>213</v>
      </c>
      <c r="C2249" s="10">
        <v>4.92</v>
      </c>
      <c r="D2249" s="10">
        <v>0.4</v>
      </c>
      <c r="E2249" s="16">
        <v>8.84</v>
      </c>
      <c r="F2249">
        <v>81068</v>
      </c>
      <c r="G2249" s="5">
        <v>43194</v>
      </c>
    </row>
    <row r="2250" spans="1:7" x14ac:dyDescent="0.4">
      <c r="A2250">
        <v>49</v>
      </c>
      <c r="B2250" t="s">
        <v>170</v>
      </c>
      <c r="C2250" s="10">
        <v>16.18</v>
      </c>
      <c r="D2250" s="10">
        <v>1.3</v>
      </c>
      <c r="E2250" s="16">
        <v>8.74</v>
      </c>
      <c r="F2250">
        <v>227360</v>
      </c>
      <c r="G2250" s="5">
        <v>43194</v>
      </c>
    </row>
    <row r="2251" spans="1:7" x14ac:dyDescent="0.4">
      <c r="A2251">
        <v>50</v>
      </c>
      <c r="B2251" t="s">
        <v>949</v>
      </c>
      <c r="C2251" s="10">
        <v>11.85</v>
      </c>
      <c r="D2251" s="10">
        <v>0.95</v>
      </c>
      <c r="E2251" s="16">
        <v>8.7200000000000006</v>
      </c>
      <c r="F2251">
        <v>1048322</v>
      </c>
      <c r="G2251" s="5">
        <v>43194</v>
      </c>
    </row>
    <row r="2252" spans="1:7" x14ac:dyDescent="0.4">
      <c r="A2252">
        <v>51</v>
      </c>
      <c r="B2252" t="s">
        <v>1112</v>
      </c>
      <c r="C2252" s="10">
        <v>7.88</v>
      </c>
      <c r="D2252" s="10">
        <v>0.63</v>
      </c>
      <c r="E2252" s="16">
        <v>8.69</v>
      </c>
      <c r="F2252">
        <v>4824300</v>
      </c>
      <c r="G2252" s="5">
        <v>43194</v>
      </c>
    </row>
    <row r="2253" spans="1:7" x14ac:dyDescent="0.4">
      <c r="A2253">
        <v>52</v>
      </c>
      <c r="B2253" t="s">
        <v>622</v>
      </c>
      <c r="C2253" s="10">
        <v>34.53</v>
      </c>
      <c r="D2253" s="10">
        <v>2.76</v>
      </c>
      <c r="E2253" s="16">
        <v>8.69</v>
      </c>
      <c r="F2253">
        <v>511935</v>
      </c>
      <c r="G2253" s="5">
        <v>43194</v>
      </c>
    </row>
    <row r="2254" spans="1:7" x14ac:dyDescent="0.4">
      <c r="A2254">
        <v>53</v>
      </c>
      <c r="B2254" t="s">
        <v>198</v>
      </c>
      <c r="C2254" s="10">
        <v>71.430000000000007</v>
      </c>
      <c r="D2254" s="10">
        <v>5.68</v>
      </c>
      <c r="E2254" s="16">
        <v>8.64</v>
      </c>
      <c r="F2254">
        <v>570751</v>
      </c>
      <c r="G2254" s="5">
        <v>43194</v>
      </c>
    </row>
    <row r="2255" spans="1:7" x14ac:dyDescent="0.4">
      <c r="A2255">
        <v>54</v>
      </c>
      <c r="B2255" t="s">
        <v>770</v>
      </c>
      <c r="C2255" s="10">
        <v>30.82</v>
      </c>
      <c r="D2255" s="10">
        <v>2.44</v>
      </c>
      <c r="E2255" s="16">
        <v>8.6</v>
      </c>
      <c r="F2255">
        <v>273170</v>
      </c>
      <c r="G2255" s="5">
        <v>43194</v>
      </c>
    </row>
    <row r="2256" spans="1:7" x14ac:dyDescent="0.4">
      <c r="A2256">
        <v>55</v>
      </c>
      <c r="B2256" t="s">
        <v>1372</v>
      </c>
      <c r="C2256" s="10">
        <v>19.73</v>
      </c>
      <c r="D2256" s="10">
        <v>1.56</v>
      </c>
      <c r="E2256" s="16">
        <v>8.59</v>
      </c>
      <c r="F2256">
        <v>612516</v>
      </c>
      <c r="G2256" s="5">
        <v>43194</v>
      </c>
    </row>
    <row r="2257" spans="1:7" x14ac:dyDescent="0.4">
      <c r="A2257">
        <v>56</v>
      </c>
      <c r="B2257" t="s">
        <v>756</v>
      </c>
      <c r="C2257" s="10">
        <v>33.93</v>
      </c>
      <c r="D2257" s="10">
        <v>2.67</v>
      </c>
      <c r="E2257" s="16">
        <v>8.56</v>
      </c>
      <c r="F2257">
        <v>28177</v>
      </c>
      <c r="G2257" s="5">
        <v>43194</v>
      </c>
    </row>
    <row r="2258" spans="1:7" x14ac:dyDescent="0.4">
      <c r="A2258">
        <v>57</v>
      </c>
      <c r="B2258" t="s">
        <v>1373</v>
      </c>
      <c r="C2258" s="10">
        <v>6.08</v>
      </c>
      <c r="D2258" s="10">
        <v>0.48</v>
      </c>
      <c r="E2258" s="16">
        <v>8.5</v>
      </c>
      <c r="F2258">
        <v>4381</v>
      </c>
      <c r="G2258" s="5">
        <v>43194</v>
      </c>
    </row>
    <row r="2259" spans="1:7" x14ac:dyDescent="0.4">
      <c r="A2259">
        <v>58</v>
      </c>
      <c r="B2259" t="s">
        <v>1374</v>
      </c>
      <c r="C2259" s="10">
        <v>3.72</v>
      </c>
      <c r="D2259" s="10">
        <v>0.28999999999999998</v>
      </c>
      <c r="E2259" s="16">
        <v>8.4499999999999993</v>
      </c>
      <c r="F2259">
        <v>1580740</v>
      </c>
      <c r="G2259" s="5">
        <v>43194</v>
      </c>
    </row>
    <row r="2260" spans="1:7" x14ac:dyDescent="0.4">
      <c r="A2260">
        <v>59</v>
      </c>
      <c r="B2260" t="s">
        <v>554</v>
      </c>
      <c r="C2260" s="10">
        <v>2.27</v>
      </c>
      <c r="D2260" s="10">
        <v>0.18</v>
      </c>
      <c r="E2260" s="16">
        <v>8.33</v>
      </c>
      <c r="F2260">
        <v>664423</v>
      </c>
      <c r="G2260" s="5">
        <v>43194</v>
      </c>
    </row>
    <row r="2261" spans="1:7" x14ac:dyDescent="0.4">
      <c r="A2261">
        <v>60</v>
      </c>
      <c r="B2261" t="s">
        <v>348</v>
      </c>
      <c r="C2261" s="10">
        <v>22.93</v>
      </c>
      <c r="D2261" s="10">
        <v>1.76</v>
      </c>
      <c r="E2261" s="16">
        <v>8.31</v>
      </c>
      <c r="F2261">
        <v>44748</v>
      </c>
      <c r="G2261" s="5">
        <v>43194</v>
      </c>
    </row>
    <row r="2262" spans="1:7" x14ac:dyDescent="0.4">
      <c r="A2262">
        <v>61</v>
      </c>
      <c r="B2262" t="s">
        <v>463</v>
      </c>
      <c r="C2262" s="10">
        <v>26.8</v>
      </c>
      <c r="D2262" s="10">
        <v>2.0499999999999998</v>
      </c>
      <c r="E2262" s="16">
        <v>8.2799999999999994</v>
      </c>
      <c r="F2262">
        <v>1188250</v>
      </c>
      <c r="G2262" s="5">
        <v>43194</v>
      </c>
    </row>
    <row r="2263" spans="1:7" x14ac:dyDescent="0.4">
      <c r="A2263">
        <v>62</v>
      </c>
      <c r="B2263" t="s">
        <v>856</v>
      </c>
      <c r="C2263" s="10">
        <v>4.59</v>
      </c>
      <c r="D2263" s="10">
        <v>0.35</v>
      </c>
      <c r="E2263" s="16">
        <v>8.25</v>
      </c>
      <c r="F2263">
        <v>748740</v>
      </c>
      <c r="G2263" s="5">
        <v>43194</v>
      </c>
    </row>
    <row r="2264" spans="1:7" x14ac:dyDescent="0.4">
      <c r="A2264">
        <v>63</v>
      </c>
      <c r="B2264" t="s">
        <v>547</v>
      </c>
      <c r="C2264" s="10">
        <v>56.31</v>
      </c>
      <c r="D2264" s="10">
        <v>4.28</v>
      </c>
      <c r="E2264" s="16">
        <v>8.23</v>
      </c>
      <c r="F2264">
        <v>1726438</v>
      </c>
      <c r="G2264" s="5">
        <v>43194</v>
      </c>
    </row>
    <row r="2265" spans="1:7" x14ac:dyDescent="0.4">
      <c r="A2265">
        <v>64</v>
      </c>
      <c r="B2265" t="s">
        <v>600</v>
      </c>
      <c r="C2265" s="10">
        <v>15.15</v>
      </c>
      <c r="D2265" s="10">
        <v>1.1499999999999999</v>
      </c>
      <c r="E2265" s="16">
        <v>8.2100000000000009</v>
      </c>
      <c r="F2265">
        <v>673132</v>
      </c>
      <c r="G2265" s="5">
        <v>43194</v>
      </c>
    </row>
    <row r="2266" spans="1:7" x14ac:dyDescent="0.4">
      <c r="A2266">
        <v>65</v>
      </c>
      <c r="B2266" t="s">
        <v>314</v>
      </c>
      <c r="C2266" s="10">
        <v>9.24</v>
      </c>
      <c r="D2266" s="10">
        <v>0.7</v>
      </c>
      <c r="E2266" s="16">
        <v>8.1999999999999993</v>
      </c>
      <c r="F2266">
        <v>233525</v>
      </c>
      <c r="G2266" s="5">
        <v>43194</v>
      </c>
    </row>
    <row r="2267" spans="1:7" x14ac:dyDescent="0.4">
      <c r="A2267">
        <v>66</v>
      </c>
      <c r="B2267" t="s">
        <v>1037</v>
      </c>
      <c r="C2267" s="10">
        <v>3.3</v>
      </c>
      <c r="D2267" s="10">
        <v>0.25</v>
      </c>
      <c r="E2267" s="16">
        <v>8.1999999999999993</v>
      </c>
      <c r="F2267">
        <v>3116327</v>
      </c>
      <c r="G2267" s="5">
        <v>43194</v>
      </c>
    </row>
    <row r="2268" spans="1:7" x14ac:dyDescent="0.4">
      <c r="A2268">
        <v>67</v>
      </c>
      <c r="B2268" t="s">
        <v>421</v>
      </c>
      <c r="C2268" s="10">
        <v>4.3</v>
      </c>
      <c r="D2268" s="10">
        <v>0.33</v>
      </c>
      <c r="E2268" s="16">
        <v>8.18</v>
      </c>
      <c r="F2268">
        <v>246082</v>
      </c>
      <c r="G2268" s="5">
        <v>43194</v>
      </c>
    </row>
    <row r="2269" spans="1:7" x14ac:dyDescent="0.4">
      <c r="A2269">
        <v>68</v>
      </c>
      <c r="B2269" t="s">
        <v>562</v>
      </c>
      <c r="C2269" s="10">
        <v>17.16</v>
      </c>
      <c r="D2269" s="10">
        <v>1.27</v>
      </c>
      <c r="E2269" s="16">
        <v>7.99</v>
      </c>
      <c r="F2269">
        <v>699398</v>
      </c>
      <c r="G2269" s="5">
        <v>43194</v>
      </c>
    </row>
    <row r="2270" spans="1:7" x14ac:dyDescent="0.4">
      <c r="A2270">
        <v>69</v>
      </c>
      <c r="B2270" t="s">
        <v>317</v>
      </c>
      <c r="C2270" s="10">
        <v>21</v>
      </c>
      <c r="D2270" s="10">
        <v>1.55</v>
      </c>
      <c r="E2270" s="16">
        <v>7.97</v>
      </c>
      <c r="F2270">
        <v>49149</v>
      </c>
      <c r="G2270" s="5">
        <v>43194</v>
      </c>
    </row>
    <row r="2271" spans="1:7" x14ac:dyDescent="0.4">
      <c r="A2271">
        <v>70</v>
      </c>
      <c r="B2271" t="s">
        <v>119</v>
      </c>
      <c r="C2271" s="10">
        <v>25.34</v>
      </c>
      <c r="D2271" s="10">
        <v>1.87</v>
      </c>
      <c r="E2271" s="16">
        <v>7.97</v>
      </c>
      <c r="F2271">
        <v>34480</v>
      </c>
      <c r="G2271" s="5">
        <v>43194</v>
      </c>
    </row>
    <row r="2272" spans="1:7" x14ac:dyDescent="0.4">
      <c r="A2272">
        <v>71</v>
      </c>
      <c r="B2272" t="s">
        <v>1375</v>
      </c>
      <c r="C2272" s="10">
        <v>173.1</v>
      </c>
      <c r="D2272" s="10">
        <v>12.65</v>
      </c>
      <c r="E2272" s="16">
        <v>7.88</v>
      </c>
      <c r="F2272">
        <v>862436</v>
      </c>
      <c r="G2272" s="5">
        <v>43194</v>
      </c>
    </row>
    <row r="2273" spans="1:7" x14ac:dyDescent="0.4">
      <c r="A2273">
        <v>72</v>
      </c>
      <c r="B2273" t="s">
        <v>935</v>
      </c>
      <c r="C2273" s="10">
        <v>3.29</v>
      </c>
      <c r="D2273" s="10">
        <v>0.24</v>
      </c>
      <c r="E2273" s="16">
        <v>7.87</v>
      </c>
      <c r="F2273">
        <v>3081400</v>
      </c>
      <c r="G2273" s="5">
        <v>43194</v>
      </c>
    </row>
    <row r="2274" spans="1:7" x14ac:dyDescent="0.4">
      <c r="A2274">
        <v>73</v>
      </c>
      <c r="B2274" t="s">
        <v>824</v>
      </c>
      <c r="C2274" s="10">
        <v>2.4700000000000002</v>
      </c>
      <c r="D2274" s="10">
        <v>0.18</v>
      </c>
      <c r="E2274" s="16">
        <v>7.86</v>
      </c>
      <c r="F2274">
        <v>22112</v>
      </c>
      <c r="G2274" s="5">
        <v>43194</v>
      </c>
    </row>
    <row r="2275" spans="1:7" x14ac:dyDescent="0.4">
      <c r="A2275">
        <v>74</v>
      </c>
      <c r="B2275" t="s">
        <v>1376</v>
      </c>
      <c r="C2275" s="10">
        <v>7.55</v>
      </c>
      <c r="D2275" s="10">
        <v>0.55000000000000004</v>
      </c>
      <c r="E2275" s="16">
        <v>7.86</v>
      </c>
      <c r="F2275">
        <v>280594</v>
      </c>
      <c r="G2275" s="5">
        <v>43194</v>
      </c>
    </row>
    <row r="2276" spans="1:7" x14ac:dyDescent="0.4">
      <c r="A2276">
        <v>75</v>
      </c>
      <c r="B2276" t="s">
        <v>1377</v>
      </c>
      <c r="C2276" s="10">
        <v>3.16</v>
      </c>
      <c r="D2276" s="10">
        <v>0.23</v>
      </c>
      <c r="E2276" s="16">
        <v>7.85</v>
      </c>
      <c r="F2276">
        <v>2421978</v>
      </c>
      <c r="G2276" s="5">
        <v>43194</v>
      </c>
    </row>
    <row r="2277" spans="1:7" x14ac:dyDescent="0.4">
      <c r="A2277">
        <v>76</v>
      </c>
      <c r="B2277" t="s">
        <v>522</v>
      </c>
      <c r="C2277" s="10">
        <v>5.5</v>
      </c>
      <c r="D2277" s="10">
        <v>0.4</v>
      </c>
      <c r="E2277" s="16">
        <v>7.84</v>
      </c>
      <c r="F2277">
        <v>4240504</v>
      </c>
      <c r="G2277" s="5">
        <v>43194</v>
      </c>
    </row>
    <row r="2278" spans="1:7" x14ac:dyDescent="0.4">
      <c r="A2278">
        <v>77</v>
      </c>
      <c r="B2278" t="s">
        <v>932</v>
      </c>
      <c r="C2278" s="10">
        <v>4.1500000000000004</v>
      </c>
      <c r="D2278" s="10">
        <v>0.3</v>
      </c>
      <c r="E2278" s="16">
        <v>7.79</v>
      </c>
      <c r="F2278">
        <v>726780</v>
      </c>
      <c r="G2278" s="5">
        <v>43194</v>
      </c>
    </row>
    <row r="2279" spans="1:7" x14ac:dyDescent="0.4">
      <c r="A2279">
        <v>78</v>
      </c>
      <c r="B2279" t="s">
        <v>1378</v>
      </c>
      <c r="C2279" s="10">
        <v>16.350000000000001</v>
      </c>
      <c r="D2279" s="10">
        <v>1.17</v>
      </c>
      <c r="E2279" s="16">
        <v>7.71</v>
      </c>
      <c r="F2279">
        <v>484577</v>
      </c>
      <c r="G2279" s="5">
        <v>43194</v>
      </c>
    </row>
    <row r="2280" spans="1:7" x14ac:dyDescent="0.4">
      <c r="A2280">
        <v>79</v>
      </c>
      <c r="B2280" t="s">
        <v>1247</v>
      </c>
      <c r="C2280" s="10">
        <v>7.7</v>
      </c>
      <c r="D2280" s="10">
        <v>0.55000000000000004</v>
      </c>
      <c r="E2280" s="16">
        <v>7.69</v>
      </c>
      <c r="F2280">
        <v>198776</v>
      </c>
      <c r="G2280" s="5">
        <v>43194</v>
      </c>
    </row>
    <row r="2281" spans="1:7" x14ac:dyDescent="0.4">
      <c r="A2281">
        <v>80</v>
      </c>
      <c r="B2281" t="s">
        <v>1379</v>
      </c>
      <c r="C2281" s="10">
        <v>23.3</v>
      </c>
      <c r="D2281" s="10">
        <v>1.66</v>
      </c>
      <c r="E2281" s="16">
        <v>7.67</v>
      </c>
      <c r="F2281">
        <v>2088519</v>
      </c>
      <c r="G2281" s="5">
        <v>43194</v>
      </c>
    </row>
    <row r="2282" spans="1:7" x14ac:dyDescent="0.4">
      <c r="A2282">
        <v>81</v>
      </c>
      <c r="B2282" t="s">
        <v>466</v>
      </c>
      <c r="C2282" s="10">
        <v>7.8</v>
      </c>
      <c r="D2282" s="10">
        <v>0.55000000000000004</v>
      </c>
      <c r="E2282" s="16">
        <v>7.59</v>
      </c>
      <c r="F2282">
        <v>143864</v>
      </c>
      <c r="G2282" s="5">
        <v>43194</v>
      </c>
    </row>
    <row r="2283" spans="1:7" x14ac:dyDescent="0.4">
      <c r="A2283">
        <v>82</v>
      </c>
      <c r="B2283" t="s">
        <v>580</v>
      </c>
      <c r="C2283" s="10">
        <v>4.8499999999999996</v>
      </c>
      <c r="D2283" s="10">
        <v>0.34</v>
      </c>
      <c r="E2283" s="16">
        <v>7.54</v>
      </c>
      <c r="F2283">
        <v>4867</v>
      </c>
      <c r="G2283" s="5">
        <v>43194</v>
      </c>
    </row>
    <row r="2284" spans="1:7" x14ac:dyDescent="0.4">
      <c r="A2284">
        <v>83</v>
      </c>
      <c r="B2284" t="s">
        <v>1380</v>
      </c>
      <c r="C2284" s="10">
        <v>2.15</v>
      </c>
      <c r="D2284" s="10">
        <v>0.15</v>
      </c>
      <c r="E2284" s="16">
        <v>7.5</v>
      </c>
      <c r="F2284">
        <v>72635</v>
      </c>
      <c r="G2284" s="5">
        <v>43194</v>
      </c>
    </row>
    <row r="2285" spans="1:7" x14ac:dyDescent="0.4">
      <c r="A2285">
        <v>84</v>
      </c>
      <c r="B2285" t="s">
        <v>1381</v>
      </c>
      <c r="C2285" s="10">
        <v>10.039999999999999</v>
      </c>
      <c r="D2285" s="10">
        <v>0.7</v>
      </c>
      <c r="E2285" s="16">
        <v>7.49</v>
      </c>
      <c r="F2285">
        <v>2080</v>
      </c>
      <c r="G2285" s="5">
        <v>43194</v>
      </c>
    </row>
    <row r="2286" spans="1:7" x14ac:dyDescent="0.4">
      <c r="A2286">
        <v>85</v>
      </c>
      <c r="B2286" t="s">
        <v>1058</v>
      </c>
      <c r="C2286" s="10">
        <v>22.4</v>
      </c>
      <c r="D2286" s="10">
        <v>1.56</v>
      </c>
      <c r="E2286" s="16">
        <v>7.49</v>
      </c>
      <c r="F2286">
        <v>177627</v>
      </c>
      <c r="G2286" s="5">
        <v>43194</v>
      </c>
    </row>
    <row r="2287" spans="1:7" x14ac:dyDescent="0.4">
      <c r="A2287">
        <v>86</v>
      </c>
      <c r="B2287" t="s">
        <v>1382</v>
      </c>
      <c r="C2287" s="10">
        <v>3.16</v>
      </c>
      <c r="D2287" s="10">
        <v>0.22</v>
      </c>
      <c r="E2287" s="16">
        <v>7.48</v>
      </c>
      <c r="F2287">
        <v>135839</v>
      </c>
      <c r="G2287" s="5">
        <v>43194</v>
      </c>
    </row>
    <row r="2288" spans="1:7" x14ac:dyDescent="0.4">
      <c r="A2288">
        <v>87</v>
      </c>
      <c r="B2288" t="s">
        <v>208</v>
      </c>
      <c r="C2288" s="10">
        <v>2.89</v>
      </c>
      <c r="D2288" s="10">
        <v>0.2</v>
      </c>
      <c r="E2288" s="16">
        <v>7.43</v>
      </c>
      <c r="F2288">
        <v>1345681</v>
      </c>
      <c r="G2288" s="5">
        <v>43194</v>
      </c>
    </row>
    <row r="2289" spans="1:7" x14ac:dyDescent="0.4">
      <c r="A2289">
        <v>88</v>
      </c>
      <c r="B2289" t="s">
        <v>103</v>
      </c>
      <c r="C2289" s="10">
        <v>8.1199999999999992</v>
      </c>
      <c r="D2289" s="10">
        <v>0.56000000000000005</v>
      </c>
      <c r="E2289" s="16">
        <v>7.41</v>
      </c>
      <c r="F2289">
        <v>157029</v>
      </c>
      <c r="G2289" s="5">
        <v>43194</v>
      </c>
    </row>
    <row r="2290" spans="1:7" x14ac:dyDescent="0.4">
      <c r="A2290">
        <v>89</v>
      </c>
      <c r="B2290" t="s">
        <v>434</v>
      </c>
      <c r="C2290" s="10">
        <v>3.65</v>
      </c>
      <c r="D2290" s="10">
        <v>0.25</v>
      </c>
      <c r="E2290" s="16">
        <v>7.35</v>
      </c>
      <c r="F2290">
        <v>1073948</v>
      </c>
      <c r="G2290" s="5">
        <v>43194</v>
      </c>
    </row>
    <row r="2291" spans="1:7" x14ac:dyDescent="0.4">
      <c r="A2291">
        <v>90</v>
      </c>
      <c r="B2291" t="s">
        <v>1383</v>
      </c>
      <c r="C2291" s="10">
        <v>4.53</v>
      </c>
      <c r="D2291" s="10">
        <v>0.31</v>
      </c>
      <c r="E2291" s="16">
        <v>7.35</v>
      </c>
      <c r="F2291">
        <v>784277</v>
      </c>
      <c r="G2291" s="5">
        <v>43194</v>
      </c>
    </row>
    <row r="2292" spans="1:7" x14ac:dyDescent="0.4">
      <c r="A2292">
        <v>91</v>
      </c>
      <c r="B2292" t="s">
        <v>1286</v>
      </c>
      <c r="C2292" s="10">
        <v>18.3</v>
      </c>
      <c r="D2292" s="10">
        <v>1.25</v>
      </c>
      <c r="E2292" s="16">
        <v>7.33</v>
      </c>
      <c r="F2292">
        <v>32871</v>
      </c>
      <c r="G2292" s="5">
        <v>43194</v>
      </c>
    </row>
    <row r="2293" spans="1:7" x14ac:dyDescent="0.4">
      <c r="A2293">
        <v>92</v>
      </c>
      <c r="B2293" t="s">
        <v>402</v>
      </c>
      <c r="C2293" s="10">
        <v>10.63</v>
      </c>
      <c r="D2293" s="10">
        <v>0.72</v>
      </c>
      <c r="E2293" s="16">
        <v>7.27</v>
      </c>
      <c r="F2293">
        <v>290032</v>
      </c>
      <c r="G2293" s="5">
        <v>43194</v>
      </c>
    </row>
    <row r="2294" spans="1:7" x14ac:dyDescent="0.4">
      <c r="A2294">
        <v>93</v>
      </c>
      <c r="B2294" t="s">
        <v>1384</v>
      </c>
      <c r="C2294" s="10">
        <v>286.94</v>
      </c>
      <c r="D2294" s="10">
        <v>19.41</v>
      </c>
      <c r="E2294" s="16">
        <v>7.26</v>
      </c>
      <c r="F2294">
        <v>19810959</v>
      </c>
      <c r="G2294" s="5">
        <v>43194</v>
      </c>
    </row>
    <row r="2295" spans="1:7" x14ac:dyDescent="0.4">
      <c r="A2295">
        <v>94</v>
      </c>
      <c r="B2295" t="s">
        <v>269</v>
      </c>
      <c r="C2295" s="10">
        <v>9.82</v>
      </c>
      <c r="D2295" s="10">
        <v>0.66</v>
      </c>
      <c r="E2295" s="16">
        <v>7.21</v>
      </c>
      <c r="F2295">
        <v>5317603</v>
      </c>
      <c r="G2295" s="5">
        <v>43194</v>
      </c>
    </row>
    <row r="2296" spans="1:7" x14ac:dyDescent="0.4">
      <c r="A2296">
        <v>95</v>
      </c>
      <c r="B2296" t="s">
        <v>844</v>
      </c>
      <c r="C2296" s="10">
        <v>17.66</v>
      </c>
      <c r="D2296" s="10">
        <v>1.17</v>
      </c>
      <c r="E2296" s="16">
        <v>7.1</v>
      </c>
      <c r="F2296">
        <v>220499</v>
      </c>
      <c r="G2296" s="5">
        <v>43194</v>
      </c>
    </row>
    <row r="2297" spans="1:7" x14ac:dyDescent="0.4">
      <c r="A2297">
        <v>96</v>
      </c>
      <c r="B2297" t="s">
        <v>211</v>
      </c>
      <c r="C2297" s="10">
        <v>7.84</v>
      </c>
      <c r="D2297" s="10">
        <v>0.52</v>
      </c>
      <c r="E2297" s="16">
        <v>7.05</v>
      </c>
      <c r="F2297">
        <v>14559</v>
      </c>
      <c r="G2297" s="5">
        <v>43194</v>
      </c>
    </row>
    <row r="2298" spans="1:7" x14ac:dyDescent="0.4">
      <c r="A2298">
        <v>97</v>
      </c>
      <c r="B2298" t="s">
        <v>591</v>
      </c>
      <c r="C2298" s="10">
        <v>54.55</v>
      </c>
      <c r="D2298" s="10">
        <v>3.59</v>
      </c>
      <c r="E2298" s="16">
        <v>7.04</v>
      </c>
      <c r="F2298">
        <v>402710</v>
      </c>
      <c r="G2298" s="5">
        <v>43194</v>
      </c>
    </row>
    <row r="2299" spans="1:7" x14ac:dyDescent="0.4">
      <c r="A2299">
        <v>98</v>
      </c>
      <c r="B2299" t="s">
        <v>920</v>
      </c>
      <c r="C2299" s="10">
        <v>3.82</v>
      </c>
      <c r="D2299" s="10">
        <v>0.25</v>
      </c>
      <c r="E2299" s="16">
        <v>7</v>
      </c>
      <c r="F2299">
        <v>4759</v>
      </c>
      <c r="G2299" s="5">
        <v>43194</v>
      </c>
    </row>
    <row r="2300" spans="1:7" x14ac:dyDescent="0.4">
      <c r="A2300">
        <v>99</v>
      </c>
      <c r="B2300" t="s">
        <v>1385</v>
      </c>
      <c r="C2300" s="10">
        <v>2.15</v>
      </c>
      <c r="D2300" s="10">
        <v>0.14000000000000001</v>
      </c>
      <c r="E2300" s="16">
        <v>6.97</v>
      </c>
      <c r="F2300">
        <v>2372941</v>
      </c>
      <c r="G2300" s="5">
        <v>43194</v>
      </c>
    </row>
    <row r="2301" spans="1:7" x14ac:dyDescent="0.4">
      <c r="A2301">
        <v>100</v>
      </c>
      <c r="B2301" t="s">
        <v>1096</v>
      </c>
      <c r="C2301" s="10">
        <v>2.98</v>
      </c>
      <c r="D2301" s="10">
        <v>0.19</v>
      </c>
      <c r="E2301" s="16">
        <v>6.95</v>
      </c>
      <c r="F2301">
        <v>146442</v>
      </c>
      <c r="G2301" s="5">
        <v>43194</v>
      </c>
    </row>
    <row r="2302" spans="1:7" x14ac:dyDescent="0.4">
      <c r="A2302">
        <v>1</v>
      </c>
      <c r="B2302" t="s">
        <v>78</v>
      </c>
      <c r="C2302" s="10">
        <v>5.93</v>
      </c>
      <c r="D2302" s="10">
        <v>1.73</v>
      </c>
      <c r="E2302" s="16">
        <v>41.19</v>
      </c>
      <c r="F2302">
        <v>22712952</v>
      </c>
      <c r="G2302" s="5">
        <v>43159</v>
      </c>
    </row>
    <row r="2303" spans="1:7" x14ac:dyDescent="0.4">
      <c r="A2303">
        <v>2</v>
      </c>
      <c r="B2303" t="s">
        <v>1233</v>
      </c>
      <c r="C2303" s="10">
        <v>34.83</v>
      </c>
      <c r="D2303" s="10">
        <v>7.58</v>
      </c>
      <c r="E2303" s="16">
        <v>27.82</v>
      </c>
      <c r="F2303">
        <v>7787481</v>
      </c>
      <c r="G2303" s="5">
        <v>43159</v>
      </c>
    </row>
    <row r="2304" spans="1:7" x14ac:dyDescent="0.4">
      <c r="A2304">
        <v>3</v>
      </c>
      <c r="B2304" t="s">
        <v>1386</v>
      </c>
      <c r="C2304" s="10">
        <v>7.49</v>
      </c>
      <c r="D2304" s="10">
        <v>1.48</v>
      </c>
      <c r="E2304" s="16">
        <v>24.63</v>
      </c>
      <c r="F2304">
        <v>23191692</v>
      </c>
      <c r="G2304" s="5">
        <v>43159</v>
      </c>
    </row>
    <row r="2305" spans="1:7" x14ac:dyDescent="0.4">
      <c r="A2305">
        <v>4</v>
      </c>
      <c r="B2305" t="s">
        <v>1387</v>
      </c>
      <c r="C2305" s="10">
        <v>10.58</v>
      </c>
      <c r="D2305" s="10">
        <v>2.06</v>
      </c>
      <c r="E2305" s="16">
        <v>24.18</v>
      </c>
      <c r="F2305">
        <v>14122260</v>
      </c>
      <c r="G2305" s="5">
        <v>43159</v>
      </c>
    </row>
    <row r="2306" spans="1:7" x14ac:dyDescent="0.4">
      <c r="A2306">
        <v>5</v>
      </c>
      <c r="B2306" t="s">
        <v>421</v>
      </c>
      <c r="C2306" s="10">
        <v>4.1500000000000004</v>
      </c>
      <c r="D2306" s="10">
        <v>0.8</v>
      </c>
      <c r="E2306" s="16">
        <v>23.88</v>
      </c>
      <c r="F2306">
        <v>413507</v>
      </c>
      <c r="G2306" s="5">
        <v>43159</v>
      </c>
    </row>
    <row r="2307" spans="1:7" x14ac:dyDescent="0.4">
      <c r="A2307">
        <v>6</v>
      </c>
      <c r="B2307" t="s">
        <v>908</v>
      </c>
      <c r="C2307" s="10">
        <v>30.75</v>
      </c>
      <c r="D2307" s="10">
        <v>5.45</v>
      </c>
      <c r="E2307" s="16">
        <v>21.54</v>
      </c>
      <c r="F2307">
        <v>336981</v>
      </c>
      <c r="G2307" s="5">
        <v>43159</v>
      </c>
    </row>
    <row r="2308" spans="1:7" x14ac:dyDescent="0.4">
      <c r="A2308">
        <v>7</v>
      </c>
      <c r="B2308" t="s">
        <v>1388</v>
      </c>
      <c r="C2308" s="10">
        <v>25.31</v>
      </c>
      <c r="D2308" s="10">
        <v>4.28</v>
      </c>
      <c r="E2308" s="16">
        <v>20.350000000000001</v>
      </c>
      <c r="F2308">
        <v>15345586</v>
      </c>
      <c r="G2308" s="5">
        <v>43159</v>
      </c>
    </row>
    <row r="2309" spans="1:7" x14ac:dyDescent="0.4">
      <c r="A2309">
        <v>8</v>
      </c>
      <c r="B2309" t="s">
        <v>437</v>
      </c>
      <c r="C2309" s="10">
        <v>9.17</v>
      </c>
      <c r="D2309" s="10">
        <v>1.55</v>
      </c>
      <c r="E2309" s="16">
        <v>20.34</v>
      </c>
      <c r="F2309">
        <v>9614171</v>
      </c>
      <c r="G2309" s="5">
        <v>43159</v>
      </c>
    </row>
    <row r="2310" spans="1:7" x14ac:dyDescent="0.4">
      <c r="A2310">
        <v>9</v>
      </c>
      <c r="B2310" t="s">
        <v>1140</v>
      </c>
      <c r="C2310" s="10">
        <v>4.6100000000000003</v>
      </c>
      <c r="D2310" s="10">
        <v>0.77</v>
      </c>
      <c r="E2310" s="16">
        <v>20.05</v>
      </c>
      <c r="F2310">
        <v>3009314</v>
      </c>
      <c r="G2310" s="5">
        <v>43159</v>
      </c>
    </row>
    <row r="2311" spans="1:7" x14ac:dyDescent="0.4">
      <c r="A2311">
        <v>10</v>
      </c>
      <c r="B2311" t="s">
        <v>248</v>
      </c>
      <c r="C2311" s="10">
        <v>3.32</v>
      </c>
      <c r="D2311" s="10">
        <v>0.53</v>
      </c>
      <c r="E2311" s="16">
        <v>19</v>
      </c>
      <c r="F2311">
        <v>4826976</v>
      </c>
      <c r="G2311" s="5">
        <v>43159</v>
      </c>
    </row>
    <row r="2312" spans="1:7" x14ac:dyDescent="0.4">
      <c r="A2312">
        <v>11</v>
      </c>
      <c r="B2312" t="s">
        <v>522</v>
      </c>
      <c r="C2312" s="10">
        <v>9.9499999999999993</v>
      </c>
      <c r="D2312" s="10">
        <v>1.5</v>
      </c>
      <c r="E2312" s="16">
        <v>17.75</v>
      </c>
      <c r="F2312">
        <v>6775113</v>
      </c>
      <c r="G2312" s="5">
        <v>43159</v>
      </c>
    </row>
    <row r="2313" spans="1:7" x14ac:dyDescent="0.4">
      <c r="A2313">
        <v>12</v>
      </c>
      <c r="B2313" t="s">
        <v>1389</v>
      </c>
      <c r="C2313" s="10">
        <v>41.9</v>
      </c>
      <c r="D2313" s="10">
        <v>6.1</v>
      </c>
      <c r="E2313" s="16">
        <v>17.04</v>
      </c>
      <c r="F2313">
        <v>3425795</v>
      </c>
      <c r="G2313" s="5">
        <v>43159</v>
      </c>
    </row>
    <row r="2314" spans="1:7" x14ac:dyDescent="0.4">
      <c r="A2314">
        <v>13</v>
      </c>
      <c r="B2314" t="s">
        <v>1390</v>
      </c>
      <c r="C2314" s="10">
        <v>10.039999999999999</v>
      </c>
      <c r="D2314" s="10">
        <v>1.37</v>
      </c>
      <c r="E2314" s="16">
        <v>15.8</v>
      </c>
      <c r="F2314">
        <v>6543808</v>
      </c>
      <c r="G2314" s="5">
        <v>43159</v>
      </c>
    </row>
    <row r="2315" spans="1:7" x14ac:dyDescent="0.4">
      <c r="A2315">
        <v>14</v>
      </c>
      <c r="B2315" t="s">
        <v>1372</v>
      </c>
      <c r="C2315" s="10">
        <v>21.26</v>
      </c>
      <c r="D2315" s="10">
        <v>2.68</v>
      </c>
      <c r="E2315" s="16">
        <v>14.42</v>
      </c>
      <c r="F2315">
        <v>1317535</v>
      </c>
      <c r="G2315" s="5">
        <v>43159</v>
      </c>
    </row>
    <row r="2316" spans="1:7" x14ac:dyDescent="0.4">
      <c r="A2316">
        <v>15</v>
      </c>
      <c r="B2316" t="s">
        <v>568</v>
      </c>
      <c r="C2316" s="10">
        <v>2.2799999999999998</v>
      </c>
      <c r="D2316" s="10">
        <v>0.28000000000000003</v>
      </c>
      <c r="E2316" s="16">
        <v>14</v>
      </c>
      <c r="F2316">
        <v>5106642</v>
      </c>
      <c r="G2316" s="5">
        <v>43159</v>
      </c>
    </row>
    <row r="2317" spans="1:7" x14ac:dyDescent="0.4">
      <c r="A2317">
        <v>16</v>
      </c>
      <c r="B2317" t="s">
        <v>1391</v>
      </c>
      <c r="C2317" s="10">
        <v>67.98</v>
      </c>
      <c r="D2317" s="10">
        <v>8.2899999999999991</v>
      </c>
      <c r="E2317" s="16">
        <v>13.89</v>
      </c>
      <c r="F2317">
        <v>293967</v>
      </c>
      <c r="G2317" s="5">
        <v>43159</v>
      </c>
    </row>
    <row r="2318" spans="1:7" x14ac:dyDescent="0.4">
      <c r="A2318">
        <v>17</v>
      </c>
      <c r="B2318" t="s">
        <v>1392</v>
      </c>
      <c r="C2318" s="10">
        <v>47.17</v>
      </c>
      <c r="D2318" s="10">
        <v>5.59</v>
      </c>
      <c r="E2318" s="16">
        <v>13.44</v>
      </c>
      <c r="F2318">
        <v>1645447</v>
      </c>
      <c r="G2318" s="5">
        <v>43159</v>
      </c>
    </row>
    <row r="2319" spans="1:7" x14ac:dyDescent="0.4">
      <c r="A2319">
        <v>18</v>
      </c>
      <c r="B2319" t="s">
        <v>328</v>
      </c>
      <c r="C2319" s="10">
        <v>7.25</v>
      </c>
      <c r="D2319" s="10">
        <v>0.81</v>
      </c>
      <c r="E2319" s="16">
        <v>12.58</v>
      </c>
      <c r="F2319">
        <v>224449</v>
      </c>
      <c r="G2319" s="5">
        <v>43159</v>
      </c>
    </row>
    <row r="2320" spans="1:7" x14ac:dyDescent="0.4">
      <c r="A2320">
        <v>19</v>
      </c>
      <c r="B2320" t="s">
        <v>431</v>
      </c>
      <c r="C2320" s="10">
        <v>11.66</v>
      </c>
      <c r="D2320" s="10">
        <v>1.28</v>
      </c>
      <c r="E2320" s="16">
        <v>12.33</v>
      </c>
      <c r="F2320">
        <v>6772</v>
      </c>
      <c r="G2320" s="5">
        <v>43159</v>
      </c>
    </row>
    <row r="2321" spans="1:7" x14ac:dyDescent="0.4">
      <c r="A2321">
        <v>20</v>
      </c>
      <c r="B2321" t="s">
        <v>1393</v>
      </c>
      <c r="C2321" s="10">
        <v>69.7</v>
      </c>
      <c r="D2321" s="10">
        <v>7.63</v>
      </c>
      <c r="E2321" s="16">
        <v>12.29</v>
      </c>
      <c r="F2321">
        <v>5248064</v>
      </c>
      <c r="G2321" s="5">
        <v>43159</v>
      </c>
    </row>
    <row r="2322" spans="1:7" x14ac:dyDescent="0.4">
      <c r="A2322">
        <v>21</v>
      </c>
      <c r="B2322" t="s">
        <v>1248</v>
      </c>
      <c r="C2322" s="10">
        <v>15.94</v>
      </c>
      <c r="D2322" s="10">
        <v>1.68</v>
      </c>
      <c r="E2322" s="16">
        <v>11.78</v>
      </c>
      <c r="F2322">
        <v>102605</v>
      </c>
      <c r="G2322" s="5">
        <v>43159</v>
      </c>
    </row>
    <row r="2323" spans="1:7" x14ac:dyDescent="0.4">
      <c r="A2323">
        <v>22</v>
      </c>
      <c r="B2323" t="s">
        <v>1394</v>
      </c>
      <c r="C2323" s="10">
        <v>15</v>
      </c>
      <c r="D2323" s="10">
        <v>1.45</v>
      </c>
      <c r="E2323" s="16">
        <v>10.7</v>
      </c>
      <c r="F2323">
        <v>4971184</v>
      </c>
      <c r="G2323" s="5">
        <v>43159</v>
      </c>
    </row>
    <row r="2324" spans="1:7" x14ac:dyDescent="0.4">
      <c r="A2324">
        <v>23</v>
      </c>
      <c r="B2324" t="s">
        <v>1395</v>
      </c>
      <c r="C2324" s="10">
        <v>24.15</v>
      </c>
      <c r="D2324" s="10">
        <v>2.2999999999999998</v>
      </c>
      <c r="E2324" s="16">
        <v>10.53</v>
      </c>
      <c r="F2324">
        <v>2278330</v>
      </c>
      <c r="G2324" s="5">
        <v>43159</v>
      </c>
    </row>
    <row r="2325" spans="1:7" x14ac:dyDescent="0.4">
      <c r="A2325">
        <v>24</v>
      </c>
      <c r="B2325" t="s">
        <v>1396</v>
      </c>
      <c r="C2325" s="10">
        <v>38.299999999999997</v>
      </c>
      <c r="D2325" s="10">
        <v>3.55</v>
      </c>
      <c r="E2325" s="16">
        <v>10.220000000000001</v>
      </c>
      <c r="F2325">
        <v>1694248</v>
      </c>
      <c r="G2325" s="5">
        <v>43159</v>
      </c>
    </row>
    <row r="2326" spans="1:7" x14ac:dyDescent="0.4">
      <c r="A2326">
        <v>25</v>
      </c>
      <c r="B2326" t="s">
        <v>519</v>
      </c>
      <c r="C2326" s="10">
        <v>6.8</v>
      </c>
      <c r="D2326" s="10">
        <v>0.63</v>
      </c>
      <c r="E2326" s="16">
        <v>10.210000000000001</v>
      </c>
      <c r="F2326">
        <v>136647</v>
      </c>
      <c r="G2326" s="5">
        <v>43159</v>
      </c>
    </row>
    <row r="2327" spans="1:7" x14ac:dyDescent="0.4">
      <c r="A2327">
        <v>26</v>
      </c>
      <c r="B2327" t="s">
        <v>1341</v>
      </c>
      <c r="C2327" s="10">
        <v>3.83</v>
      </c>
      <c r="D2327" s="10">
        <v>0.33</v>
      </c>
      <c r="E2327" s="16">
        <v>9.43</v>
      </c>
      <c r="F2327">
        <v>1648210</v>
      </c>
      <c r="G2327" s="5">
        <v>43159</v>
      </c>
    </row>
    <row r="2328" spans="1:7" x14ac:dyDescent="0.4">
      <c r="A2328">
        <v>27</v>
      </c>
      <c r="B2328" t="s">
        <v>1397</v>
      </c>
      <c r="C2328" s="10">
        <v>11.4</v>
      </c>
      <c r="D2328" s="10">
        <v>0.96</v>
      </c>
      <c r="E2328" s="16">
        <v>9.23</v>
      </c>
      <c r="F2328">
        <v>10932</v>
      </c>
      <c r="G2328" s="5">
        <v>43159</v>
      </c>
    </row>
    <row r="2329" spans="1:7" x14ac:dyDescent="0.4">
      <c r="A2329">
        <v>28</v>
      </c>
      <c r="B2329" t="s">
        <v>1398</v>
      </c>
      <c r="C2329" s="10">
        <v>21.39</v>
      </c>
      <c r="D2329" s="10">
        <v>1.78</v>
      </c>
      <c r="E2329" s="16">
        <v>9.08</v>
      </c>
      <c r="F2329">
        <v>721894</v>
      </c>
      <c r="G2329" s="5">
        <v>43159</v>
      </c>
    </row>
    <row r="2330" spans="1:7" x14ac:dyDescent="0.4">
      <c r="A2330">
        <v>29</v>
      </c>
      <c r="B2330" t="s">
        <v>423</v>
      </c>
      <c r="C2330" s="10">
        <v>29.75</v>
      </c>
      <c r="D2330" s="10">
        <v>2.4500000000000002</v>
      </c>
      <c r="E2330" s="16">
        <v>8.9700000000000006</v>
      </c>
      <c r="F2330">
        <v>40898</v>
      </c>
      <c r="G2330" s="5">
        <v>43159</v>
      </c>
    </row>
    <row r="2331" spans="1:7" x14ac:dyDescent="0.4">
      <c r="A2331">
        <v>30</v>
      </c>
      <c r="B2331" t="s">
        <v>429</v>
      </c>
      <c r="C2331" s="10">
        <v>8.66</v>
      </c>
      <c r="D2331" s="10">
        <v>0.71</v>
      </c>
      <c r="E2331" s="16">
        <v>8.93</v>
      </c>
      <c r="F2331">
        <v>40806913</v>
      </c>
      <c r="G2331" s="5">
        <v>43159</v>
      </c>
    </row>
    <row r="2332" spans="1:7" x14ac:dyDescent="0.4">
      <c r="A2332">
        <v>31</v>
      </c>
      <c r="B2332" t="s">
        <v>1344</v>
      </c>
      <c r="C2332" s="10">
        <v>8.1199999999999992</v>
      </c>
      <c r="D2332" s="10">
        <v>0.64</v>
      </c>
      <c r="E2332" s="16">
        <v>8.56</v>
      </c>
      <c r="F2332">
        <v>871440</v>
      </c>
      <c r="G2332" s="5">
        <v>43159</v>
      </c>
    </row>
    <row r="2333" spans="1:7" x14ac:dyDescent="0.4">
      <c r="A2333">
        <v>32</v>
      </c>
      <c r="B2333" t="s">
        <v>396</v>
      </c>
      <c r="C2333" s="10">
        <v>3.95</v>
      </c>
      <c r="D2333" s="10">
        <v>0.31</v>
      </c>
      <c r="E2333" s="16">
        <v>8.4600000000000009</v>
      </c>
      <c r="F2333">
        <v>76190</v>
      </c>
      <c r="G2333" s="5">
        <v>43159</v>
      </c>
    </row>
    <row r="2334" spans="1:7" x14ac:dyDescent="0.4">
      <c r="A2334">
        <v>33</v>
      </c>
      <c r="B2334" t="s">
        <v>1399</v>
      </c>
      <c r="C2334" s="10">
        <v>588.9</v>
      </c>
      <c r="D2334" s="10">
        <v>45.7</v>
      </c>
      <c r="E2334" s="16">
        <v>8.41</v>
      </c>
      <c r="F2334">
        <v>27946</v>
      </c>
      <c r="G2334" s="5">
        <v>43159</v>
      </c>
    </row>
    <row r="2335" spans="1:7" x14ac:dyDescent="0.4">
      <c r="A2335">
        <v>34</v>
      </c>
      <c r="B2335" t="s">
        <v>1105</v>
      </c>
      <c r="C2335" s="10">
        <v>7.54</v>
      </c>
      <c r="D2335" s="10">
        <v>0.56000000000000005</v>
      </c>
      <c r="E2335" s="16">
        <v>8.02</v>
      </c>
      <c r="F2335">
        <v>2582152</v>
      </c>
      <c r="G2335" s="5">
        <v>43159</v>
      </c>
    </row>
    <row r="2336" spans="1:7" x14ac:dyDescent="0.4">
      <c r="A2336">
        <v>35</v>
      </c>
      <c r="B2336" t="s">
        <v>1098</v>
      </c>
      <c r="C2336" s="10">
        <v>3.64</v>
      </c>
      <c r="D2336" s="10">
        <v>0.27</v>
      </c>
      <c r="E2336" s="16">
        <v>8.01</v>
      </c>
      <c r="F2336">
        <v>3199275</v>
      </c>
      <c r="G2336" s="5">
        <v>43159</v>
      </c>
    </row>
    <row r="2337" spans="1:7" x14ac:dyDescent="0.4">
      <c r="A2337">
        <v>36</v>
      </c>
      <c r="B2337" t="s">
        <v>374</v>
      </c>
      <c r="C2337" s="10">
        <v>4.24</v>
      </c>
      <c r="D2337" s="10">
        <v>0.31</v>
      </c>
      <c r="E2337" s="16">
        <v>7.89</v>
      </c>
      <c r="F2337">
        <v>17299</v>
      </c>
      <c r="G2337" s="5">
        <v>43159</v>
      </c>
    </row>
    <row r="2338" spans="1:7" x14ac:dyDescent="0.4">
      <c r="A2338">
        <v>37</v>
      </c>
      <c r="B2338" t="s">
        <v>1400</v>
      </c>
      <c r="C2338" s="10">
        <v>3.04</v>
      </c>
      <c r="D2338" s="10">
        <v>0.22</v>
      </c>
      <c r="E2338" s="16">
        <v>7.8</v>
      </c>
      <c r="F2338">
        <v>9331</v>
      </c>
      <c r="G2338" s="5">
        <v>43159</v>
      </c>
    </row>
    <row r="2339" spans="1:7" x14ac:dyDescent="0.4">
      <c r="A2339">
        <v>38</v>
      </c>
      <c r="B2339" t="s">
        <v>1401</v>
      </c>
      <c r="C2339" s="10">
        <v>7.6</v>
      </c>
      <c r="D2339" s="10">
        <v>0.55000000000000004</v>
      </c>
      <c r="E2339" s="16">
        <v>7.8</v>
      </c>
      <c r="F2339">
        <v>29141</v>
      </c>
      <c r="G2339" s="5">
        <v>43159</v>
      </c>
    </row>
    <row r="2340" spans="1:7" x14ac:dyDescent="0.4">
      <c r="A2340">
        <v>39</v>
      </c>
      <c r="B2340" t="s">
        <v>445</v>
      </c>
      <c r="C2340" s="10">
        <v>15.48</v>
      </c>
      <c r="D2340" s="10">
        <v>1.1200000000000001</v>
      </c>
      <c r="E2340" s="16">
        <v>7.8</v>
      </c>
      <c r="F2340">
        <v>1616634</v>
      </c>
      <c r="G2340" s="5">
        <v>43159</v>
      </c>
    </row>
    <row r="2341" spans="1:7" x14ac:dyDescent="0.4">
      <c r="A2341">
        <v>40</v>
      </c>
      <c r="B2341" t="s">
        <v>1368</v>
      </c>
      <c r="C2341" s="10">
        <v>4.84</v>
      </c>
      <c r="D2341" s="10">
        <v>0.34</v>
      </c>
      <c r="E2341" s="16">
        <v>7.56</v>
      </c>
      <c r="F2341">
        <v>4342056</v>
      </c>
      <c r="G2341" s="5">
        <v>43159</v>
      </c>
    </row>
    <row r="2342" spans="1:7" x14ac:dyDescent="0.4">
      <c r="A2342">
        <v>41</v>
      </c>
      <c r="B2342" t="s">
        <v>472</v>
      </c>
      <c r="C2342" s="10">
        <v>86.87</v>
      </c>
      <c r="D2342" s="10">
        <v>6.08</v>
      </c>
      <c r="E2342" s="16">
        <v>7.53</v>
      </c>
      <c r="F2342">
        <v>53858</v>
      </c>
      <c r="G2342" s="5">
        <v>43159</v>
      </c>
    </row>
    <row r="2343" spans="1:7" x14ac:dyDescent="0.4">
      <c r="A2343">
        <v>42</v>
      </c>
      <c r="B2343" t="s">
        <v>1198</v>
      </c>
      <c r="C2343" s="10">
        <v>40.1</v>
      </c>
      <c r="D2343" s="10">
        <v>2.8</v>
      </c>
      <c r="E2343" s="16">
        <v>7.51</v>
      </c>
      <c r="F2343">
        <v>2198054</v>
      </c>
      <c r="G2343" s="5">
        <v>43159</v>
      </c>
    </row>
    <row r="2344" spans="1:7" x14ac:dyDescent="0.4">
      <c r="A2344">
        <v>43</v>
      </c>
      <c r="B2344" t="s">
        <v>220</v>
      </c>
      <c r="C2344" s="10">
        <v>3.87</v>
      </c>
      <c r="D2344" s="10">
        <v>0.27</v>
      </c>
      <c r="E2344" s="16">
        <v>7.5</v>
      </c>
      <c r="F2344">
        <v>156855</v>
      </c>
      <c r="G2344" s="5">
        <v>43159</v>
      </c>
    </row>
    <row r="2345" spans="1:7" x14ac:dyDescent="0.4">
      <c r="A2345">
        <v>44</v>
      </c>
      <c r="B2345" t="s">
        <v>1402</v>
      </c>
      <c r="C2345" s="10">
        <v>55.34</v>
      </c>
      <c r="D2345" s="10">
        <v>3.73</v>
      </c>
      <c r="E2345" s="16">
        <v>7.23</v>
      </c>
      <c r="F2345">
        <v>261634</v>
      </c>
      <c r="G2345" s="5">
        <v>43159</v>
      </c>
    </row>
    <row r="2346" spans="1:7" x14ac:dyDescent="0.4">
      <c r="A2346">
        <v>45</v>
      </c>
      <c r="B2346" t="s">
        <v>1403</v>
      </c>
      <c r="C2346" s="10">
        <v>17.25</v>
      </c>
      <c r="D2346" s="10">
        <v>1.1399999999999999</v>
      </c>
      <c r="E2346" s="16">
        <v>7.08</v>
      </c>
      <c r="F2346">
        <v>872467</v>
      </c>
      <c r="G2346" s="5">
        <v>43159</v>
      </c>
    </row>
    <row r="2347" spans="1:7" x14ac:dyDescent="0.4">
      <c r="A2347">
        <v>46</v>
      </c>
      <c r="B2347" t="s">
        <v>671</v>
      </c>
      <c r="C2347" s="10">
        <v>9.4700000000000006</v>
      </c>
      <c r="D2347" s="10">
        <v>0.62</v>
      </c>
      <c r="E2347" s="16">
        <v>7.01</v>
      </c>
      <c r="F2347">
        <v>1733991</v>
      </c>
      <c r="G2347" s="5">
        <v>43159</v>
      </c>
    </row>
    <row r="2348" spans="1:7" x14ac:dyDescent="0.4">
      <c r="A2348">
        <v>47</v>
      </c>
      <c r="B2348" t="s">
        <v>665</v>
      </c>
      <c r="C2348" s="10">
        <v>13.5</v>
      </c>
      <c r="D2348" s="10">
        <v>0.88</v>
      </c>
      <c r="E2348" s="16">
        <v>6.97</v>
      </c>
      <c r="F2348">
        <v>55896</v>
      </c>
      <c r="G2348" s="5">
        <v>43159</v>
      </c>
    </row>
    <row r="2349" spans="1:7" x14ac:dyDescent="0.4">
      <c r="A2349">
        <v>48</v>
      </c>
      <c r="B2349" t="s">
        <v>845</v>
      </c>
      <c r="C2349" s="10">
        <v>38.31</v>
      </c>
      <c r="D2349" s="10">
        <v>2.4900000000000002</v>
      </c>
      <c r="E2349" s="16">
        <v>6.95</v>
      </c>
      <c r="F2349">
        <v>6516187</v>
      </c>
      <c r="G2349" s="5">
        <v>43159</v>
      </c>
    </row>
    <row r="2350" spans="1:7" x14ac:dyDescent="0.4">
      <c r="A2350">
        <v>49</v>
      </c>
      <c r="B2350" t="s">
        <v>1404</v>
      </c>
      <c r="C2350" s="10">
        <v>82.68</v>
      </c>
      <c r="D2350" s="10">
        <v>5.37</v>
      </c>
      <c r="E2350" s="16">
        <v>6.95</v>
      </c>
      <c r="F2350">
        <v>14861223</v>
      </c>
      <c r="G2350" s="5">
        <v>43159</v>
      </c>
    </row>
    <row r="2351" spans="1:7" x14ac:dyDescent="0.4">
      <c r="A2351">
        <v>50</v>
      </c>
      <c r="B2351" t="s">
        <v>148</v>
      </c>
      <c r="C2351" s="10">
        <v>3.3</v>
      </c>
      <c r="D2351" s="10">
        <v>0.21</v>
      </c>
      <c r="E2351" s="16">
        <v>6.8</v>
      </c>
      <c r="F2351">
        <v>8488</v>
      </c>
      <c r="G2351" s="5">
        <v>43159</v>
      </c>
    </row>
    <row r="2352" spans="1:7" x14ac:dyDescent="0.4">
      <c r="A2352">
        <v>51</v>
      </c>
      <c r="B2352" t="s">
        <v>1405</v>
      </c>
      <c r="C2352" s="10">
        <v>2034.04</v>
      </c>
      <c r="D2352" s="10">
        <v>129.03</v>
      </c>
      <c r="E2352" s="16">
        <v>6.77</v>
      </c>
      <c r="F2352">
        <v>1364104</v>
      </c>
      <c r="G2352" s="5">
        <v>43159</v>
      </c>
    </row>
    <row r="2353" spans="1:7" x14ac:dyDescent="0.4">
      <c r="A2353">
        <v>52</v>
      </c>
      <c r="B2353" t="s">
        <v>318</v>
      </c>
      <c r="C2353" s="10">
        <v>31.19</v>
      </c>
      <c r="D2353" s="10">
        <v>1.96</v>
      </c>
      <c r="E2353" s="16">
        <v>6.71</v>
      </c>
      <c r="F2353">
        <v>5758</v>
      </c>
      <c r="G2353" s="5">
        <v>43159</v>
      </c>
    </row>
    <row r="2354" spans="1:7" x14ac:dyDescent="0.4">
      <c r="A2354">
        <v>53</v>
      </c>
      <c r="B2354" t="s">
        <v>486</v>
      </c>
      <c r="C2354" s="10">
        <v>10.83</v>
      </c>
      <c r="D2354" s="10">
        <v>0.68</v>
      </c>
      <c r="E2354" s="16">
        <v>6.7</v>
      </c>
      <c r="F2354">
        <v>1307035</v>
      </c>
      <c r="G2354" s="5">
        <v>43159</v>
      </c>
    </row>
    <row r="2355" spans="1:7" x14ac:dyDescent="0.4">
      <c r="A2355">
        <v>54</v>
      </c>
      <c r="B2355" t="s">
        <v>1406</v>
      </c>
      <c r="C2355" s="10">
        <v>26.47</v>
      </c>
      <c r="D2355" s="10">
        <v>1.66</v>
      </c>
      <c r="E2355" s="16">
        <v>6.69</v>
      </c>
      <c r="F2355">
        <v>1485379</v>
      </c>
      <c r="G2355" s="5">
        <v>43159</v>
      </c>
    </row>
    <row r="2356" spans="1:7" x14ac:dyDescent="0.4">
      <c r="A2356">
        <v>55</v>
      </c>
      <c r="B2356" t="s">
        <v>1407</v>
      </c>
      <c r="C2356" s="10">
        <v>14.1</v>
      </c>
      <c r="D2356" s="10">
        <v>0.88</v>
      </c>
      <c r="E2356" s="16">
        <v>6.67</v>
      </c>
      <c r="F2356">
        <v>19412</v>
      </c>
      <c r="G2356" s="5">
        <v>43159</v>
      </c>
    </row>
    <row r="2357" spans="1:7" x14ac:dyDescent="0.4">
      <c r="A2357">
        <v>56</v>
      </c>
      <c r="B2357" t="s">
        <v>670</v>
      </c>
      <c r="C2357" s="10">
        <v>12.43</v>
      </c>
      <c r="D2357" s="10">
        <v>0.76</v>
      </c>
      <c r="E2357" s="16">
        <v>6.51</v>
      </c>
      <c r="F2357">
        <v>7976518</v>
      </c>
      <c r="G2357" s="5">
        <v>43159</v>
      </c>
    </row>
    <row r="2358" spans="1:7" x14ac:dyDescent="0.4">
      <c r="A2358">
        <v>57</v>
      </c>
      <c r="B2358" t="s">
        <v>1408</v>
      </c>
      <c r="C2358" s="10">
        <v>7.4</v>
      </c>
      <c r="D2358" s="10">
        <v>0.45</v>
      </c>
      <c r="E2358" s="16">
        <v>6.47</v>
      </c>
      <c r="F2358">
        <v>100608</v>
      </c>
      <c r="G2358" s="5">
        <v>43159</v>
      </c>
    </row>
    <row r="2359" spans="1:7" x14ac:dyDescent="0.4">
      <c r="A2359">
        <v>58</v>
      </c>
      <c r="B2359" t="s">
        <v>42</v>
      </c>
      <c r="C2359" s="10">
        <v>2.81</v>
      </c>
      <c r="D2359" s="10">
        <v>0.17</v>
      </c>
      <c r="E2359" s="16">
        <v>6.44</v>
      </c>
      <c r="F2359">
        <v>2807199</v>
      </c>
      <c r="G2359" s="5">
        <v>43159</v>
      </c>
    </row>
    <row r="2360" spans="1:7" x14ac:dyDescent="0.4">
      <c r="A2360">
        <v>59</v>
      </c>
      <c r="B2360" t="s">
        <v>228</v>
      </c>
      <c r="C2360" s="10">
        <v>22.89</v>
      </c>
      <c r="D2360" s="10">
        <v>1.38</v>
      </c>
      <c r="E2360" s="16">
        <v>6.42</v>
      </c>
      <c r="F2360">
        <v>288678</v>
      </c>
      <c r="G2360" s="5">
        <v>43159</v>
      </c>
    </row>
    <row r="2361" spans="1:7" x14ac:dyDescent="0.4">
      <c r="A2361">
        <v>60</v>
      </c>
      <c r="B2361" t="s">
        <v>1409</v>
      </c>
      <c r="C2361" s="10">
        <v>5.55</v>
      </c>
      <c r="D2361" s="10">
        <v>0.33</v>
      </c>
      <c r="E2361" s="16">
        <v>6.35</v>
      </c>
      <c r="F2361">
        <v>92552</v>
      </c>
      <c r="G2361" s="5">
        <v>43159</v>
      </c>
    </row>
    <row r="2362" spans="1:7" x14ac:dyDescent="0.4">
      <c r="A2362">
        <v>61</v>
      </c>
      <c r="B2362" t="s">
        <v>176</v>
      </c>
      <c r="C2362" s="10">
        <v>16.61</v>
      </c>
      <c r="D2362" s="10">
        <v>0.99</v>
      </c>
      <c r="E2362" s="16">
        <v>6.34</v>
      </c>
      <c r="F2362">
        <v>249096</v>
      </c>
      <c r="G2362" s="5">
        <v>43159</v>
      </c>
    </row>
    <row r="2363" spans="1:7" x14ac:dyDescent="0.4">
      <c r="A2363">
        <v>62</v>
      </c>
      <c r="B2363" t="s">
        <v>319</v>
      </c>
      <c r="C2363" s="10">
        <v>8.75</v>
      </c>
      <c r="D2363" s="10">
        <v>0.52</v>
      </c>
      <c r="E2363" s="16">
        <v>6.32</v>
      </c>
      <c r="F2363">
        <v>3567</v>
      </c>
      <c r="G2363" s="5">
        <v>43159</v>
      </c>
    </row>
    <row r="2364" spans="1:7" x14ac:dyDescent="0.4">
      <c r="A2364">
        <v>63</v>
      </c>
      <c r="B2364" t="s">
        <v>1410</v>
      </c>
      <c r="C2364" s="10">
        <v>270.04000000000002</v>
      </c>
      <c r="D2364" s="10">
        <v>16.04</v>
      </c>
      <c r="E2364" s="16">
        <v>6.31</v>
      </c>
      <c r="F2364">
        <v>427431</v>
      </c>
      <c r="G2364" s="5">
        <v>43159</v>
      </c>
    </row>
    <row r="2365" spans="1:7" x14ac:dyDescent="0.4">
      <c r="A2365">
        <v>64</v>
      </c>
      <c r="B2365" t="s">
        <v>1411</v>
      </c>
      <c r="C2365" s="10">
        <v>92.1</v>
      </c>
      <c r="D2365" s="10">
        <v>5.46</v>
      </c>
      <c r="E2365" s="16">
        <v>6.3</v>
      </c>
      <c r="F2365">
        <v>6374221</v>
      </c>
      <c r="G2365" s="5">
        <v>43159</v>
      </c>
    </row>
    <row r="2366" spans="1:7" x14ac:dyDescent="0.4">
      <c r="A2366">
        <v>65</v>
      </c>
      <c r="B2366" t="s">
        <v>642</v>
      </c>
      <c r="C2366" s="10">
        <v>5.08</v>
      </c>
      <c r="D2366" s="10">
        <v>0.3</v>
      </c>
      <c r="E2366" s="16">
        <v>6.28</v>
      </c>
      <c r="F2366">
        <v>2078538</v>
      </c>
      <c r="G2366" s="5">
        <v>43159</v>
      </c>
    </row>
    <row r="2367" spans="1:7" x14ac:dyDescent="0.4">
      <c r="A2367">
        <v>66</v>
      </c>
      <c r="B2367" t="s">
        <v>1412</v>
      </c>
      <c r="C2367" s="10">
        <v>5.0999999999999996</v>
      </c>
      <c r="D2367" s="10">
        <v>0.3</v>
      </c>
      <c r="E2367" s="16">
        <v>6.25</v>
      </c>
      <c r="F2367">
        <v>64174</v>
      </c>
      <c r="G2367" s="5">
        <v>43159</v>
      </c>
    </row>
    <row r="2368" spans="1:7" x14ac:dyDescent="0.4">
      <c r="A2368">
        <v>67</v>
      </c>
      <c r="B2368" t="s">
        <v>377</v>
      </c>
      <c r="C2368" s="10">
        <v>10.58</v>
      </c>
      <c r="D2368" s="10">
        <v>0.62</v>
      </c>
      <c r="E2368" s="16">
        <v>6.22</v>
      </c>
      <c r="F2368">
        <v>1224016</v>
      </c>
      <c r="G2368" s="5">
        <v>43159</v>
      </c>
    </row>
    <row r="2369" spans="1:7" x14ac:dyDescent="0.4">
      <c r="A2369">
        <v>68</v>
      </c>
      <c r="B2369" t="s">
        <v>1413</v>
      </c>
      <c r="C2369" s="10">
        <v>17.32</v>
      </c>
      <c r="D2369" s="10">
        <v>1</v>
      </c>
      <c r="E2369" s="16">
        <v>6.13</v>
      </c>
      <c r="F2369">
        <v>34182659</v>
      </c>
      <c r="G2369" s="5">
        <v>43159</v>
      </c>
    </row>
    <row r="2370" spans="1:7" x14ac:dyDescent="0.4">
      <c r="A2370">
        <v>69</v>
      </c>
      <c r="B2370" t="s">
        <v>1414</v>
      </c>
      <c r="C2370" s="10">
        <v>7.33</v>
      </c>
      <c r="D2370" s="10">
        <v>0.42</v>
      </c>
      <c r="E2370" s="16">
        <v>6.08</v>
      </c>
      <c r="F2370">
        <v>106644</v>
      </c>
      <c r="G2370" s="5">
        <v>43159</v>
      </c>
    </row>
    <row r="2371" spans="1:7" x14ac:dyDescent="0.4">
      <c r="A2371">
        <v>70</v>
      </c>
      <c r="B2371" t="s">
        <v>1415</v>
      </c>
      <c r="C2371" s="10">
        <v>64.069999999999993</v>
      </c>
      <c r="D2371" s="10">
        <v>3.67</v>
      </c>
      <c r="E2371" s="16">
        <v>6.08</v>
      </c>
      <c r="F2371">
        <v>218415</v>
      </c>
      <c r="G2371" s="5">
        <v>43159</v>
      </c>
    </row>
    <row r="2372" spans="1:7" x14ac:dyDescent="0.4">
      <c r="A2372">
        <v>71</v>
      </c>
      <c r="B2372" t="s">
        <v>925</v>
      </c>
      <c r="C2372" s="10">
        <v>6.5</v>
      </c>
      <c r="D2372" s="10">
        <v>0.37</v>
      </c>
      <c r="E2372" s="16">
        <v>6.04</v>
      </c>
      <c r="F2372">
        <v>139533</v>
      </c>
      <c r="G2372" s="5">
        <v>43159</v>
      </c>
    </row>
    <row r="2373" spans="1:7" x14ac:dyDescent="0.4">
      <c r="A2373">
        <v>72</v>
      </c>
      <c r="B2373" t="s">
        <v>77</v>
      </c>
      <c r="C2373" s="10">
        <v>2.5499999999999998</v>
      </c>
      <c r="D2373" s="10">
        <v>0.15</v>
      </c>
      <c r="E2373" s="16">
        <v>6.03</v>
      </c>
      <c r="F2373">
        <v>2999</v>
      </c>
      <c r="G2373" s="5">
        <v>43159</v>
      </c>
    </row>
    <row r="2374" spans="1:7" x14ac:dyDescent="0.4">
      <c r="A2374">
        <v>73</v>
      </c>
      <c r="B2374" t="s">
        <v>430</v>
      </c>
      <c r="C2374" s="10">
        <v>17.12</v>
      </c>
      <c r="D2374" s="10">
        <v>0.96</v>
      </c>
      <c r="E2374" s="16">
        <v>5.94</v>
      </c>
      <c r="F2374">
        <v>46945572</v>
      </c>
      <c r="G2374" s="5">
        <v>43159</v>
      </c>
    </row>
    <row r="2375" spans="1:7" x14ac:dyDescent="0.4">
      <c r="A2375">
        <v>74</v>
      </c>
      <c r="B2375" t="s">
        <v>542</v>
      </c>
      <c r="C2375" s="10">
        <v>47.08</v>
      </c>
      <c r="D2375" s="10">
        <v>2.59</v>
      </c>
      <c r="E2375" s="16">
        <v>5.82</v>
      </c>
      <c r="F2375">
        <v>690532</v>
      </c>
      <c r="G2375" s="5">
        <v>43159</v>
      </c>
    </row>
    <row r="2376" spans="1:7" x14ac:dyDescent="0.4">
      <c r="A2376">
        <v>75</v>
      </c>
      <c r="B2376" t="s">
        <v>1066</v>
      </c>
      <c r="C2376" s="10">
        <v>7.48</v>
      </c>
      <c r="D2376" s="10">
        <v>0.41</v>
      </c>
      <c r="E2376" s="16">
        <v>5.8</v>
      </c>
      <c r="F2376">
        <v>811912</v>
      </c>
      <c r="G2376" s="5">
        <v>43159</v>
      </c>
    </row>
    <row r="2377" spans="1:7" x14ac:dyDescent="0.4">
      <c r="A2377">
        <v>76</v>
      </c>
      <c r="B2377" t="s">
        <v>1416</v>
      </c>
      <c r="C2377" s="10">
        <v>35.549999999999997</v>
      </c>
      <c r="D2377" s="10">
        <v>1.94</v>
      </c>
      <c r="E2377" s="16">
        <v>5.77</v>
      </c>
      <c r="F2377">
        <v>44686</v>
      </c>
      <c r="G2377" s="5">
        <v>43159</v>
      </c>
    </row>
    <row r="2378" spans="1:7" x14ac:dyDescent="0.4">
      <c r="A2378">
        <v>77</v>
      </c>
      <c r="B2378" t="s">
        <v>1417</v>
      </c>
      <c r="C2378" s="10">
        <v>2.21</v>
      </c>
      <c r="D2378" s="10">
        <v>0.12</v>
      </c>
      <c r="E2378" s="16">
        <v>5.74</v>
      </c>
      <c r="F2378">
        <v>208462</v>
      </c>
      <c r="G2378" s="5">
        <v>43159</v>
      </c>
    </row>
    <row r="2379" spans="1:7" x14ac:dyDescent="0.4">
      <c r="A2379">
        <v>78</v>
      </c>
      <c r="B2379" t="s">
        <v>1281</v>
      </c>
      <c r="C2379" s="10">
        <v>5.55</v>
      </c>
      <c r="D2379" s="10">
        <v>0.3</v>
      </c>
      <c r="E2379" s="16">
        <v>5.71</v>
      </c>
      <c r="F2379">
        <v>1256226</v>
      </c>
      <c r="G2379" s="5">
        <v>43159</v>
      </c>
    </row>
    <row r="2380" spans="1:7" x14ac:dyDescent="0.4">
      <c r="A2380">
        <v>79</v>
      </c>
      <c r="B2380" t="s">
        <v>775</v>
      </c>
      <c r="C2380" s="10">
        <v>52.66</v>
      </c>
      <c r="D2380" s="10">
        <v>2.8</v>
      </c>
      <c r="E2380" s="16">
        <v>5.62</v>
      </c>
      <c r="F2380">
        <v>166507</v>
      </c>
      <c r="G2380" s="5">
        <v>43159</v>
      </c>
    </row>
    <row r="2381" spans="1:7" x14ac:dyDescent="0.4">
      <c r="A2381">
        <v>80</v>
      </c>
      <c r="B2381" t="s">
        <v>1418</v>
      </c>
      <c r="C2381" s="10">
        <v>50.62</v>
      </c>
      <c r="D2381" s="10">
        <v>2.67</v>
      </c>
      <c r="E2381" s="16">
        <v>5.57</v>
      </c>
      <c r="F2381">
        <v>211548</v>
      </c>
      <c r="G2381" s="5">
        <v>43159</v>
      </c>
    </row>
    <row r="2382" spans="1:7" x14ac:dyDescent="0.4">
      <c r="A2382">
        <v>81</v>
      </c>
      <c r="B2382" t="s">
        <v>1419</v>
      </c>
      <c r="C2382" s="10">
        <v>7.26</v>
      </c>
      <c r="D2382" s="10">
        <v>0.38</v>
      </c>
      <c r="E2382" s="16">
        <v>5.52</v>
      </c>
      <c r="F2382">
        <v>271572</v>
      </c>
      <c r="G2382" s="5">
        <v>43159</v>
      </c>
    </row>
    <row r="2383" spans="1:7" x14ac:dyDescent="0.4">
      <c r="A2383">
        <v>82</v>
      </c>
      <c r="B2383" t="s">
        <v>928</v>
      </c>
      <c r="C2383" s="10">
        <v>12.09</v>
      </c>
      <c r="D2383" s="10">
        <v>0.63</v>
      </c>
      <c r="E2383" s="16">
        <v>5.5</v>
      </c>
      <c r="F2383">
        <v>107894</v>
      </c>
      <c r="G2383" s="5">
        <v>43159</v>
      </c>
    </row>
    <row r="2384" spans="1:7" x14ac:dyDescent="0.4">
      <c r="A2384">
        <v>83</v>
      </c>
      <c r="B2384" t="s">
        <v>1062</v>
      </c>
      <c r="C2384" s="10">
        <v>3.85</v>
      </c>
      <c r="D2384" s="10">
        <v>0.2</v>
      </c>
      <c r="E2384" s="16">
        <v>5.48</v>
      </c>
      <c r="F2384">
        <v>155991</v>
      </c>
      <c r="G2384" s="5">
        <v>43159</v>
      </c>
    </row>
    <row r="2385" spans="1:7" x14ac:dyDescent="0.4">
      <c r="A2385">
        <v>84</v>
      </c>
      <c r="B2385" t="s">
        <v>1085</v>
      </c>
      <c r="C2385" s="10">
        <v>2.9</v>
      </c>
      <c r="D2385" s="10">
        <v>0.15</v>
      </c>
      <c r="E2385" s="16">
        <v>5.45</v>
      </c>
      <c r="F2385">
        <v>36463</v>
      </c>
      <c r="G2385" s="5">
        <v>43159</v>
      </c>
    </row>
    <row r="2386" spans="1:7" x14ac:dyDescent="0.4">
      <c r="A2386">
        <v>85</v>
      </c>
      <c r="B2386" t="s">
        <v>1420</v>
      </c>
      <c r="C2386" s="10">
        <v>85.6</v>
      </c>
      <c r="D2386" s="10">
        <v>4.3899999999999997</v>
      </c>
      <c r="E2386" s="16">
        <v>5.41</v>
      </c>
      <c r="F2386">
        <v>712670</v>
      </c>
      <c r="G2386" s="5">
        <v>43159</v>
      </c>
    </row>
    <row r="2387" spans="1:7" x14ac:dyDescent="0.4">
      <c r="A2387">
        <v>86</v>
      </c>
      <c r="B2387" t="s">
        <v>465</v>
      </c>
      <c r="C2387" s="10">
        <v>10.36</v>
      </c>
      <c r="D2387" s="10">
        <v>0.53</v>
      </c>
      <c r="E2387" s="16">
        <v>5.39</v>
      </c>
      <c r="F2387">
        <v>30526</v>
      </c>
      <c r="G2387" s="5">
        <v>43159</v>
      </c>
    </row>
    <row r="2388" spans="1:7" x14ac:dyDescent="0.4">
      <c r="A2388">
        <v>87</v>
      </c>
      <c r="B2388" t="s">
        <v>119</v>
      </c>
      <c r="C2388" s="10">
        <v>14.75</v>
      </c>
      <c r="D2388" s="10">
        <v>0.75</v>
      </c>
      <c r="E2388" s="16">
        <v>5.36</v>
      </c>
      <c r="F2388">
        <v>20960</v>
      </c>
      <c r="G2388" s="5">
        <v>43159</v>
      </c>
    </row>
    <row r="2389" spans="1:7" x14ac:dyDescent="0.4">
      <c r="A2389">
        <v>88</v>
      </c>
      <c r="B2389" t="s">
        <v>580</v>
      </c>
      <c r="C2389" s="10">
        <v>4.78</v>
      </c>
      <c r="D2389" s="10">
        <v>0.24</v>
      </c>
      <c r="E2389" s="16">
        <v>5.29</v>
      </c>
      <c r="F2389">
        <v>12823</v>
      </c>
      <c r="G2389" s="5">
        <v>43159</v>
      </c>
    </row>
    <row r="2390" spans="1:7" x14ac:dyDescent="0.4">
      <c r="A2390">
        <v>89</v>
      </c>
      <c r="B2390" t="s">
        <v>1421</v>
      </c>
      <c r="C2390" s="10">
        <v>25.02</v>
      </c>
      <c r="D2390" s="10">
        <v>1.24</v>
      </c>
      <c r="E2390" s="16">
        <v>5.21</v>
      </c>
      <c r="F2390">
        <v>739892</v>
      </c>
      <c r="G2390" s="5">
        <v>43159</v>
      </c>
    </row>
    <row r="2391" spans="1:7" x14ac:dyDescent="0.4">
      <c r="A2391">
        <v>90</v>
      </c>
      <c r="B2391" t="s">
        <v>160</v>
      </c>
      <c r="C2391" s="10">
        <v>4.26</v>
      </c>
      <c r="D2391" s="10">
        <v>0.21</v>
      </c>
      <c r="E2391" s="16">
        <v>5.19</v>
      </c>
      <c r="F2391">
        <v>308669</v>
      </c>
      <c r="G2391" s="5">
        <v>43159</v>
      </c>
    </row>
    <row r="2392" spans="1:7" x14ac:dyDescent="0.4">
      <c r="A2392">
        <v>91</v>
      </c>
      <c r="B2392" t="s">
        <v>351</v>
      </c>
      <c r="C2392" s="10">
        <v>3.46</v>
      </c>
      <c r="D2392" s="10">
        <v>0.17</v>
      </c>
      <c r="E2392" s="16">
        <v>5.17</v>
      </c>
      <c r="F2392">
        <v>10467690</v>
      </c>
      <c r="G2392" s="5">
        <v>43159</v>
      </c>
    </row>
    <row r="2393" spans="1:7" x14ac:dyDescent="0.4">
      <c r="A2393">
        <v>92</v>
      </c>
      <c r="B2393" t="s">
        <v>1422</v>
      </c>
      <c r="C2393" s="10">
        <v>10.89</v>
      </c>
      <c r="D2393" s="10">
        <v>0.53</v>
      </c>
      <c r="E2393" s="16">
        <v>5.12</v>
      </c>
      <c r="F2393">
        <v>485115</v>
      </c>
      <c r="G2393" s="5">
        <v>43159</v>
      </c>
    </row>
    <row r="2394" spans="1:7" x14ac:dyDescent="0.4">
      <c r="A2394">
        <v>93</v>
      </c>
      <c r="B2394" t="s">
        <v>290</v>
      </c>
      <c r="C2394" s="10">
        <v>3.1</v>
      </c>
      <c r="D2394" s="10">
        <v>0.15</v>
      </c>
      <c r="E2394" s="16">
        <v>5.09</v>
      </c>
      <c r="F2394">
        <v>23054</v>
      </c>
      <c r="G2394" s="5">
        <v>43159</v>
      </c>
    </row>
    <row r="2395" spans="1:7" x14ac:dyDescent="0.4">
      <c r="A2395">
        <v>94</v>
      </c>
      <c r="B2395" t="s">
        <v>819</v>
      </c>
      <c r="C2395" s="10">
        <v>38.35</v>
      </c>
      <c r="D2395" s="10">
        <v>1.85</v>
      </c>
      <c r="E2395" s="16">
        <v>5.07</v>
      </c>
      <c r="F2395">
        <v>1152142</v>
      </c>
      <c r="G2395" s="5">
        <v>43159</v>
      </c>
    </row>
    <row r="2396" spans="1:7" x14ac:dyDescent="0.4">
      <c r="A2396">
        <v>95</v>
      </c>
      <c r="B2396" t="s">
        <v>1423</v>
      </c>
      <c r="C2396" s="10">
        <v>2.71</v>
      </c>
      <c r="D2396" s="10">
        <v>0.13</v>
      </c>
      <c r="E2396" s="16">
        <v>5.04</v>
      </c>
      <c r="F2396">
        <v>252984</v>
      </c>
      <c r="G2396" s="5">
        <v>43159</v>
      </c>
    </row>
    <row r="2397" spans="1:7" x14ac:dyDescent="0.4">
      <c r="A2397">
        <v>96</v>
      </c>
      <c r="B2397" t="s">
        <v>1424</v>
      </c>
      <c r="C2397" s="10">
        <v>18.190000000000001</v>
      </c>
      <c r="D2397" s="10">
        <v>0.87</v>
      </c>
      <c r="E2397" s="16">
        <v>5.0199999999999996</v>
      </c>
      <c r="F2397">
        <v>1642239</v>
      </c>
      <c r="G2397" s="5">
        <v>43159</v>
      </c>
    </row>
    <row r="2398" spans="1:7" x14ac:dyDescent="0.4">
      <c r="A2398">
        <v>97</v>
      </c>
      <c r="B2398" t="s">
        <v>1081</v>
      </c>
      <c r="C2398" s="10">
        <v>4.5</v>
      </c>
      <c r="D2398" s="10">
        <v>0.21</v>
      </c>
      <c r="E2398" s="16">
        <v>4.9000000000000004</v>
      </c>
      <c r="F2398">
        <v>41161</v>
      </c>
      <c r="G2398" s="5">
        <v>43159</v>
      </c>
    </row>
    <row r="2399" spans="1:7" x14ac:dyDescent="0.4">
      <c r="A2399">
        <v>98</v>
      </c>
      <c r="B2399" t="s">
        <v>944</v>
      </c>
      <c r="C2399" s="10">
        <v>25.09</v>
      </c>
      <c r="D2399" s="10">
        <v>1.17</v>
      </c>
      <c r="E2399" s="16">
        <v>4.8899999999999997</v>
      </c>
      <c r="F2399">
        <v>393760</v>
      </c>
      <c r="G2399" s="5">
        <v>43159</v>
      </c>
    </row>
    <row r="2400" spans="1:7" x14ac:dyDescent="0.4">
      <c r="A2400">
        <v>99</v>
      </c>
      <c r="B2400" t="s">
        <v>1095</v>
      </c>
      <c r="C2400" s="10">
        <v>17.93</v>
      </c>
      <c r="D2400" s="10">
        <v>0.82</v>
      </c>
      <c r="E2400" s="16">
        <v>4.79</v>
      </c>
      <c r="F2400">
        <v>419388</v>
      </c>
      <c r="G2400" s="5">
        <v>43159</v>
      </c>
    </row>
    <row r="2401" spans="1:7" x14ac:dyDescent="0.4">
      <c r="A2401">
        <v>100</v>
      </c>
      <c r="B2401" t="s">
        <v>1425</v>
      </c>
      <c r="C2401" s="10">
        <v>38.5</v>
      </c>
      <c r="D2401" s="10">
        <v>1.76</v>
      </c>
      <c r="E2401" s="16">
        <v>4.79</v>
      </c>
      <c r="F2401">
        <v>5407702</v>
      </c>
      <c r="G2401" s="5">
        <v>43159</v>
      </c>
    </row>
    <row r="2402" spans="1:7" x14ac:dyDescent="0.4">
      <c r="A2402">
        <v>1</v>
      </c>
      <c r="B2402" t="s">
        <v>1368</v>
      </c>
      <c r="C2402" s="10">
        <v>4.5</v>
      </c>
      <c r="D2402" s="10">
        <v>0.99</v>
      </c>
      <c r="E2402" s="16">
        <v>28.21</v>
      </c>
      <c r="F2402">
        <v>7855278</v>
      </c>
      <c r="G2402" s="5">
        <v>43158</v>
      </c>
    </row>
    <row r="2403" spans="1:7" x14ac:dyDescent="0.4">
      <c r="A2403">
        <v>2</v>
      </c>
      <c r="B2403" t="s">
        <v>430</v>
      </c>
      <c r="C2403" s="10">
        <v>16.16</v>
      </c>
      <c r="D2403" s="10">
        <v>2.57</v>
      </c>
      <c r="E2403" s="16">
        <v>18.91</v>
      </c>
      <c r="F2403">
        <v>48794016</v>
      </c>
      <c r="G2403" s="5">
        <v>43158</v>
      </c>
    </row>
    <row r="2404" spans="1:7" x14ac:dyDescent="0.4">
      <c r="A2404">
        <v>3</v>
      </c>
      <c r="B2404" t="s">
        <v>1426</v>
      </c>
      <c r="C2404" s="10">
        <v>82.91</v>
      </c>
      <c r="D2404" s="10">
        <v>11.98</v>
      </c>
      <c r="E2404" s="16">
        <v>16.89</v>
      </c>
      <c r="F2404">
        <v>3854076</v>
      </c>
      <c r="G2404" s="5">
        <v>43158</v>
      </c>
    </row>
    <row r="2405" spans="1:7" x14ac:dyDescent="0.4">
      <c r="A2405">
        <v>4</v>
      </c>
      <c r="B2405" t="s">
        <v>429</v>
      </c>
      <c r="C2405" s="10">
        <v>7.95</v>
      </c>
      <c r="D2405" s="10">
        <v>1.1299999999999999</v>
      </c>
      <c r="E2405" s="16">
        <v>16.57</v>
      </c>
      <c r="F2405">
        <v>38740835</v>
      </c>
      <c r="G2405" s="5">
        <v>43158</v>
      </c>
    </row>
    <row r="2406" spans="1:7" x14ac:dyDescent="0.4">
      <c r="A2406">
        <v>5</v>
      </c>
      <c r="B2406" t="s">
        <v>1427</v>
      </c>
      <c r="C2406" s="10">
        <v>44</v>
      </c>
      <c r="D2406" s="10">
        <v>6.15</v>
      </c>
      <c r="E2406" s="16">
        <v>16.25</v>
      </c>
      <c r="F2406">
        <v>383123</v>
      </c>
      <c r="G2406" s="5">
        <v>43158</v>
      </c>
    </row>
    <row r="2407" spans="1:7" x14ac:dyDescent="0.4">
      <c r="A2407">
        <v>6</v>
      </c>
      <c r="B2407" t="s">
        <v>1001</v>
      </c>
      <c r="C2407" s="10">
        <v>5.18</v>
      </c>
      <c r="D2407" s="10">
        <v>0.72</v>
      </c>
      <c r="E2407" s="16">
        <v>16.14</v>
      </c>
      <c r="F2407">
        <v>551222</v>
      </c>
      <c r="G2407" s="5">
        <v>43158</v>
      </c>
    </row>
    <row r="2408" spans="1:7" x14ac:dyDescent="0.4">
      <c r="A2408">
        <v>7</v>
      </c>
      <c r="B2408" t="s">
        <v>1154</v>
      </c>
      <c r="C2408" s="10">
        <v>18.66</v>
      </c>
      <c r="D2408" s="10">
        <v>2.4700000000000002</v>
      </c>
      <c r="E2408" s="16">
        <v>15.26</v>
      </c>
      <c r="F2408">
        <v>30299811</v>
      </c>
      <c r="G2408" s="5">
        <v>43158</v>
      </c>
    </row>
    <row r="2409" spans="1:7" x14ac:dyDescent="0.4">
      <c r="A2409">
        <v>8</v>
      </c>
      <c r="B2409" t="s">
        <v>1341</v>
      </c>
      <c r="C2409" s="10">
        <v>3.5</v>
      </c>
      <c r="D2409" s="10">
        <v>0.46</v>
      </c>
      <c r="E2409" s="16">
        <v>15.13</v>
      </c>
      <c r="F2409">
        <v>214684</v>
      </c>
      <c r="G2409" s="5">
        <v>43158</v>
      </c>
    </row>
    <row r="2410" spans="1:7" x14ac:dyDescent="0.4">
      <c r="A2410">
        <v>9</v>
      </c>
      <c r="B2410" t="s">
        <v>1428</v>
      </c>
      <c r="C2410" s="10">
        <v>23.19</v>
      </c>
      <c r="D2410" s="10">
        <v>3.04</v>
      </c>
      <c r="E2410" s="16">
        <v>15.09</v>
      </c>
      <c r="F2410">
        <v>911095</v>
      </c>
      <c r="G2410" s="5">
        <v>43158</v>
      </c>
    </row>
    <row r="2411" spans="1:7" x14ac:dyDescent="0.4">
      <c r="A2411">
        <v>10</v>
      </c>
      <c r="B2411" t="s">
        <v>642</v>
      </c>
      <c r="C2411" s="10">
        <v>4.78</v>
      </c>
      <c r="D2411" s="10">
        <v>0.53</v>
      </c>
      <c r="E2411" s="16">
        <v>12.47</v>
      </c>
      <c r="F2411">
        <v>1916853</v>
      </c>
      <c r="G2411" s="5">
        <v>43158</v>
      </c>
    </row>
    <row r="2412" spans="1:7" x14ac:dyDescent="0.4">
      <c r="A2412">
        <v>11</v>
      </c>
      <c r="B2412" t="s">
        <v>1429</v>
      </c>
      <c r="C2412" s="10">
        <v>8.65</v>
      </c>
      <c r="D2412" s="10">
        <v>0.95</v>
      </c>
      <c r="E2412" s="16">
        <v>12.34</v>
      </c>
      <c r="F2412">
        <v>454820</v>
      </c>
      <c r="G2412" s="5">
        <v>43158</v>
      </c>
    </row>
    <row r="2413" spans="1:7" x14ac:dyDescent="0.4">
      <c r="A2413">
        <v>12</v>
      </c>
      <c r="B2413" t="s">
        <v>1430</v>
      </c>
      <c r="C2413" s="10">
        <v>3.36</v>
      </c>
      <c r="D2413" s="10">
        <v>0.35</v>
      </c>
      <c r="E2413" s="16">
        <v>11.63</v>
      </c>
      <c r="F2413">
        <v>219069</v>
      </c>
      <c r="G2413" s="5">
        <v>43158</v>
      </c>
    </row>
    <row r="2414" spans="1:7" x14ac:dyDescent="0.4">
      <c r="A2414">
        <v>13</v>
      </c>
      <c r="B2414" t="s">
        <v>44</v>
      </c>
      <c r="C2414" s="10">
        <v>22.58</v>
      </c>
      <c r="D2414" s="10">
        <v>2.33</v>
      </c>
      <c r="E2414" s="16">
        <v>11.51</v>
      </c>
      <c r="F2414">
        <v>781085</v>
      </c>
      <c r="G2414" s="5">
        <v>43158</v>
      </c>
    </row>
    <row r="2415" spans="1:7" x14ac:dyDescent="0.4">
      <c r="A2415">
        <v>14</v>
      </c>
      <c r="B2415" t="s">
        <v>1431</v>
      </c>
      <c r="C2415" s="10">
        <v>6.7</v>
      </c>
      <c r="D2415" s="10">
        <v>0.69</v>
      </c>
      <c r="E2415" s="16">
        <v>11.43</v>
      </c>
      <c r="F2415">
        <v>970942</v>
      </c>
      <c r="G2415" s="5">
        <v>43158</v>
      </c>
    </row>
    <row r="2416" spans="1:7" x14ac:dyDescent="0.4">
      <c r="A2416">
        <v>15</v>
      </c>
      <c r="B2416" t="s">
        <v>1432</v>
      </c>
      <c r="C2416" s="10">
        <v>7.95</v>
      </c>
      <c r="D2416" s="10">
        <v>0.81</v>
      </c>
      <c r="E2416" s="16">
        <v>11.34</v>
      </c>
      <c r="F2416">
        <v>484182</v>
      </c>
      <c r="G2416" s="5">
        <v>43158</v>
      </c>
    </row>
    <row r="2417" spans="1:7" x14ac:dyDescent="0.4">
      <c r="A2417">
        <v>16</v>
      </c>
      <c r="B2417" t="s">
        <v>1433</v>
      </c>
      <c r="C2417" s="10">
        <v>7.25</v>
      </c>
      <c r="D2417" s="10">
        <v>0.73</v>
      </c>
      <c r="E2417" s="16">
        <v>11.2</v>
      </c>
      <c r="F2417">
        <v>63719</v>
      </c>
      <c r="G2417" s="5">
        <v>43158</v>
      </c>
    </row>
    <row r="2418" spans="1:7" x14ac:dyDescent="0.4">
      <c r="A2418">
        <v>17</v>
      </c>
      <c r="B2418" t="s">
        <v>1058</v>
      </c>
      <c r="C2418" s="10">
        <v>28.85</v>
      </c>
      <c r="D2418" s="10">
        <v>2.82</v>
      </c>
      <c r="E2418" s="16">
        <v>10.83</v>
      </c>
      <c r="F2418">
        <v>284359</v>
      </c>
      <c r="G2418" s="5">
        <v>43158</v>
      </c>
    </row>
    <row r="2419" spans="1:7" x14ac:dyDescent="0.4">
      <c r="A2419">
        <v>18</v>
      </c>
      <c r="B2419" t="s">
        <v>831</v>
      </c>
      <c r="C2419" s="10">
        <v>7.3</v>
      </c>
      <c r="D2419" s="10">
        <v>0.7</v>
      </c>
      <c r="E2419" s="16">
        <v>10.61</v>
      </c>
      <c r="F2419">
        <v>1170526</v>
      </c>
      <c r="G2419" s="5">
        <v>43158</v>
      </c>
    </row>
    <row r="2420" spans="1:7" x14ac:dyDescent="0.4">
      <c r="A2420">
        <v>19</v>
      </c>
      <c r="B2420" t="s">
        <v>89</v>
      </c>
      <c r="C2420" s="10">
        <v>29.85</v>
      </c>
      <c r="D2420" s="10">
        <v>2.65</v>
      </c>
      <c r="E2420" s="16">
        <v>9.74</v>
      </c>
      <c r="F2420">
        <v>157906</v>
      </c>
      <c r="G2420" s="5">
        <v>43158</v>
      </c>
    </row>
    <row r="2421" spans="1:7" x14ac:dyDescent="0.4">
      <c r="A2421">
        <v>20</v>
      </c>
      <c r="B2421" t="s">
        <v>440</v>
      </c>
      <c r="C2421" s="10">
        <v>42.43</v>
      </c>
      <c r="D2421" s="10">
        <v>3.68</v>
      </c>
      <c r="E2421" s="16">
        <v>9.5</v>
      </c>
      <c r="F2421">
        <v>49614077</v>
      </c>
      <c r="G2421" s="5">
        <v>43158</v>
      </c>
    </row>
    <row r="2422" spans="1:7" x14ac:dyDescent="0.4">
      <c r="A2422">
        <v>21</v>
      </c>
      <c r="B2422" t="s">
        <v>442</v>
      </c>
      <c r="C2422" s="10">
        <v>35.119999999999997</v>
      </c>
      <c r="D2422" s="10">
        <v>3.02</v>
      </c>
      <c r="E2422" s="16">
        <v>9.41</v>
      </c>
      <c r="F2422">
        <v>2704611</v>
      </c>
      <c r="G2422" s="5">
        <v>43158</v>
      </c>
    </row>
    <row r="2423" spans="1:7" x14ac:dyDescent="0.4">
      <c r="A2423">
        <v>22</v>
      </c>
      <c r="B2423" t="s">
        <v>530</v>
      </c>
      <c r="C2423" s="10">
        <v>2.95</v>
      </c>
      <c r="D2423" s="10">
        <v>0.25</v>
      </c>
      <c r="E2423" s="16">
        <v>9.26</v>
      </c>
      <c r="F2423">
        <v>4837</v>
      </c>
      <c r="G2423" s="5">
        <v>43158</v>
      </c>
    </row>
    <row r="2424" spans="1:7" x14ac:dyDescent="0.4">
      <c r="A2424">
        <v>23</v>
      </c>
      <c r="B2424" t="s">
        <v>441</v>
      </c>
      <c r="C2424" s="10">
        <v>17.89</v>
      </c>
      <c r="D2424" s="10">
        <v>1.51</v>
      </c>
      <c r="E2424" s="16">
        <v>9.2200000000000006</v>
      </c>
      <c r="F2424">
        <v>149467</v>
      </c>
      <c r="G2424" s="5">
        <v>43158</v>
      </c>
    </row>
    <row r="2425" spans="1:7" x14ac:dyDescent="0.4">
      <c r="A2425">
        <v>24</v>
      </c>
      <c r="B2425" t="s">
        <v>686</v>
      </c>
      <c r="C2425" s="10">
        <v>28.09</v>
      </c>
      <c r="D2425" s="10">
        <v>2.36</v>
      </c>
      <c r="E2425" s="16">
        <v>9.17</v>
      </c>
      <c r="F2425">
        <v>5350372</v>
      </c>
      <c r="G2425" s="5">
        <v>43158</v>
      </c>
    </row>
    <row r="2426" spans="1:7" x14ac:dyDescent="0.4">
      <c r="A2426">
        <v>25</v>
      </c>
      <c r="B2426" t="s">
        <v>1192</v>
      </c>
      <c r="C2426" s="10">
        <v>6.12</v>
      </c>
      <c r="D2426" s="10">
        <v>0.51</v>
      </c>
      <c r="E2426" s="16">
        <v>9.09</v>
      </c>
      <c r="F2426">
        <v>7886</v>
      </c>
      <c r="G2426" s="5">
        <v>43158</v>
      </c>
    </row>
    <row r="2427" spans="1:7" x14ac:dyDescent="0.4">
      <c r="A2427">
        <v>26</v>
      </c>
      <c r="B2427" t="s">
        <v>1126</v>
      </c>
      <c r="C2427" s="10">
        <v>20.77</v>
      </c>
      <c r="D2427" s="10">
        <v>1.7</v>
      </c>
      <c r="E2427" s="16">
        <v>8.91</v>
      </c>
      <c r="F2427">
        <v>8274354</v>
      </c>
      <c r="G2427" s="5">
        <v>43158</v>
      </c>
    </row>
    <row r="2428" spans="1:7" x14ac:dyDescent="0.4">
      <c r="A2428">
        <v>27</v>
      </c>
      <c r="B2428" t="s">
        <v>644</v>
      </c>
      <c r="C2428" s="10">
        <v>7.75</v>
      </c>
      <c r="D2428" s="10">
        <v>0.61</v>
      </c>
      <c r="E2428" s="16">
        <v>8.5399999999999991</v>
      </c>
      <c r="F2428">
        <v>1677934</v>
      </c>
      <c r="G2428" s="5">
        <v>43158</v>
      </c>
    </row>
    <row r="2429" spans="1:7" x14ac:dyDescent="0.4">
      <c r="A2429">
        <v>28</v>
      </c>
      <c r="B2429" t="s">
        <v>549</v>
      </c>
      <c r="C2429" s="10">
        <v>13.44</v>
      </c>
      <c r="D2429" s="10">
        <v>1.05</v>
      </c>
      <c r="E2429" s="16">
        <v>8.49</v>
      </c>
      <c r="F2429">
        <v>6070</v>
      </c>
      <c r="G2429" s="5">
        <v>43158</v>
      </c>
    </row>
    <row r="2430" spans="1:7" x14ac:dyDescent="0.4">
      <c r="A2430">
        <v>29</v>
      </c>
      <c r="B2430" t="s">
        <v>829</v>
      </c>
      <c r="C2430" s="10">
        <v>59.23</v>
      </c>
      <c r="D2430" s="10">
        <v>4.63</v>
      </c>
      <c r="E2430" s="16">
        <v>8.48</v>
      </c>
      <c r="F2430">
        <v>1604278</v>
      </c>
      <c r="G2430" s="5">
        <v>43158</v>
      </c>
    </row>
    <row r="2431" spans="1:7" x14ac:dyDescent="0.4">
      <c r="A2431">
        <v>30</v>
      </c>
      <c r="B2431" t="s">
        <v>651</v>
      </c>
      <c r="C2431" s="10">
        <v>14.97</v>
      </c>
      <c r="D2431" s="10">
        <v>1.1599999999999999</v>
      </c>
      <c r="E2431" s="16">
        <v>8.36</v>
      </c>
      <c r="F2431">
        <v>97443</v>
      </c>
      <c r="G2431" s="5">
        <v>43158</v>
      </c>
    </row>
    <row r="2432" spans="1:7" x14ac:dyDescent="0.4">
      <c r="A2432">
        <v>31</v>
      </c>
      <c r="B2432" t="s">
        <v>1434</v>
      </c>
      <c r="C2432" s="10">
        <v>3.29</v>
      </c>
      <c r="D2432" s="10">
        <v>0.25</v>
      </c>
      <c r="E2432" s="16">
        <v>8.2200000000000006</v>
      </c>
      <c r="F2432">
        <v>15715</v>
      </c>
      <c r="G2432" s="5">
        <v>43158</v>
      </c>
    </row>
    <row r="2433" spans="1:7" x14ac:dyDescent="0.4">
      <c r="A2433">
        <v>32</v>
      </c>
      <c r="B2433" t="s">
        <v>1435</v>
      </c>
      <c r="C2433" s="10">
        <v>38.65</v>
      </c>
      <c r="D2433" s="10">
        <v>2.9</v>
      </c>
      <c r="E2433" s="16">
        <v>8.11</v>
      </c>
      <c r="F2433">
        <v>717283</v>
      </c>
      <c r="G2433" s="5">
        <v>43158</v>
      </c>
    </row>
    <row r="2434" spans="1:7" x14ac:dyDescent="0.4">
      <c r="A2434">
        <v>33</v>
      </c>
      <c r="B2434" t="s">
        <v>1024</v>
      </c>
      <c r="C2434" s="10">
        <v>19.989999999999998</v>
      </c>
      <c r="D2434" s="10">
        <v>1.49</v>
      </c>
      <c r="E2434" s="16">
        <v>8.0500000000000007</v>
      </c>
      <c r="F2434">
        <v>10833</v>
      </c>
      <c r="G2434" s="5">
        <v>43158</v>
      </c>
    </row>
    <row r="2435" spans="1:7" x14ac:dyDescent="0.4">
      <c r="A2435">
        <v>34</v>
      </c>
      <c r="B2435" t="s">
        <v>176</v>
      </c>
      <c r="C2435" s="10">
        <v>15.62</v>
      </c>
      <c r="D2435" s="10">
        <v>1.1499999999999999</v>
      </c>
      <c r="E2435" s="16">
        <v>7.95</v>
      </c>
      <c r="F2435">
        <v>183114</v>
      </c>
      <c r="G2435" s="5">
        <v>43158</v>
      </c>
    </row>
    <row r="2436" spans="1:7" x14ac:dyDescent="0.4">
      <c r="A2436">
        <v>35</v>
      </c>
      <c r="B2436" t="s">
        <v>139</v>
      </c>
      <c r="C2436" s="10">
        <v>8.2899999999999991</v>
      </c>
      <c r="D2436" s="10">
        <v>0.61</v>
      </c>
      <c r="E2436" s="16">
        <v>7.94</v>
      </c>
      <c r="F2436">
        <v>4971653</v>
      </c>
      <c r="G2436" s="5">
        <v>43158</v>
      </c>
    </row>
    <row r="2437" spans="1:7" x14ac:dyDescent="0.4">
      <c r="A2437">
        <v>36</v>
      </c>
      <c r="B2437" t="s">
        <v>467</v>
      </c>
      <c r="C2437" s="10">
        <v>11.13</v>
      </c>
      <c r="D2437" s="10">
        <v>0.8</v>
      </c>
      <c r="E2437" s="16">
        <v>7.74</v>
      </c>
      <c r="F2437">
        <v>4927</v>
      </c>
      <c r="G2437" s="5">
        <v>43158</v>
      </c>
    </row>
    <row r="2438" spans="1:7" x14ac:dyDescent="0.4">
      <c r="A2438">
        <v>37</v>
      </c>
      <c r="B2438" t="s">
        <v>22</v>
      </c>
      <c r="C2438" s="10">
        <v>5.15</v>
      </c>
      <c r="D2438" s="10">
        <v>0.37</v>
      </c>
      <c r="E2438" s="16">
        <v>7.74</v>
      </c>
      <c r="F2438">
        <v>34766</v>
      </c>
      <c r="G2438" s="5">
        <v>43158</v>
      </c>
    </row>
    <row r="2439" spans="1:7" x14ac:dyDescent="0.4">
      <c r="A2439">
        <v>38</v>
      </c>
      <c r="B2439" t="s">
        <v>984</v>
      </c>
      <c r="C2439" s="10">
        <v>2.15</v>
      </c>
      <c r="D2439" s="10">
        <v>0.15</v>
      </c>
      <c r="E2439" s="16">
        <v>7.5</v>
      </c>
      <c r="F2439">
        <v>1908522</v>
      </c>
      <c r="G2439" s="5">
        <v>43158</v>
      </c>
    </row>
    <row r="2440" spans="1:7" x14ac:dyDescent="0.4">
      <c r="A2440">
        <v>39</v>
      </c>
      <c r="B2440" t="s">
        <v>1436</v>
      </c>
      <c r="C2440" s="10">
        <v>11.22</v>
      </c>
      <c r="D2440" s="10">
        <v>0.77</v>
      </c>
      <c r="E2440" s="16">
        <v>7.37</v>
      </c>
      <c r="F2440">
        <v>21265257</v>
      </c>
      <c r="G2440" s="5">
        <v>43158</v>
      </c>
    </row>
    <row r="2441" spans="1:7" x14ac:dyDescent="0.4">
      <c r="A2441">
        <v>40</v>
      </c>
      <c r="B2441" t="s">
        <v>234</v>
      </c>
      <c r="C2441" s="10">
        <v>11.26</v>
      </c>
      <c r="D2441" s="10">
        <v>0.77</v>
      </c>
      <c r="E2441" s="16">
        <v>7.34</v>
      </c>
      <c r="F2441">
        <v>11117</v>
      </c>
      <c r="G2441" s="5">
        <v>43158</v>
      </c>
    </row>
    <row r="2442" spans="1:7" x14ac:dyDescent="0.4">
      <c r="A2442">
        <v>41</v>
      </c>
      <c r="B2442" t="s">
        <v>445</v>
      </c>
      <c r="C2442" s="10">
        <v>14.36</v>
      </c>
      <c r="D2442" s="10">
        <v>0.97</v>
      </c>
      <c r="E2442" s="16">
        <v>7.24</v>
      </c>
      <c r="F2442">
        <v>1095967</v>
      </c>
      <c r="G2442" s="5">
        <v>43158</v>
      </c>
    </row>
    <row r="2443" spans="1:7" x14ac:dyDescent="0.4">
      <c r="A2443">
        <v>42</v>
      </c>
      <c r="B2443" t="s">
        <v>680</v>
      </c>
      <c r="C2443" s="10">
        <v>2.25</v>
      </c>
      <c r="D2443" s="10">
        <v>0.15</v>
      </c>
      <c r="E2443" s="16">
        <v>7.14</v>
      </c>
      <c r="F2443">
        <v>326893</v>
      </c>
      <c r="G2443" s="5">
        <v>43158</v>
      </c>
    </row>
    <row r="2444" spans="1:7" x14ac:dyDescent="0.4">
      <c r="A2444">
        <v>43</v>
      </c>
      <c r="B2444" t="s">
        <v>161</v>
      </c>
      <c r="C2444" s="10">
        <v>4.8499999999999996</v>
      </c>
      <c r="D2444" s="10">
        <v>0.32</v>
      </c>
      <c r="E2444" s="16">
        <v>7.06</v>
      </c>
      <c r="F2444">
        <v>438268</v>
      </c>
      <c r="G2444" s="5">
        <v>43158</v>
      </c>
    </row>
    <row r="2445" spans="1:7" x14ac:dyDescent="0.4">
      <c r="A2445">
        <v>44</v>
      </c>
      <c r="B2445" t="s">
        <v>1437</v>
      </c>
      <c r="C2445" s="10">
        <v>6.18</v>
      </c>
      <c r="D2445" s="10">
        <v>0.39</v>
      </c>
      <c r="E2445" s="16">
        <v>6.74</v>
      </c>
      <c r="F2445">
        <v>3503851</v>
      </c>
      <c r="G2445" s="5">
        <v>43158</v>
      </c>
    </row>
    <row r="2446" spans="1:7" x14ac:dyDescent="0.4">
      <c r="A2446">
        <v>45</v>
      </c>
      <c r="B2446" t="s">
        <v>1308</v>
      </c>
      <c r="C2446" s="10">
        <v>3.49</v>
      </c>
      <c r="D2446" s="10">
        <v>0.22</v>
      </c>
      <c r="E2446" s="16">
        <v>6.72</v>
      </c>
      <c r="F2446">
        <v>84576</v>
      </c>
      <c r="G2446" s="5">
        <v>43158</v>
      </c>
    </row>
    <row r="2447" spans="1:7" x14ac:dyDescent="0.4">
      <c r="A2447">
        <v>46</v>
      </c>
      <c r="B2447" t="s">
        <v>1438</v>
      </c>
      <c r="C2447" s="10">
        <v>59.15</v>
      </c>
      <c r="D2447" s="10">
        <v>3.64</v>
      </c>
      <c r="E2447" s="16">
        <v>6.56</v>
      </c>
      <c r="F2447">
        <v>3012392</v>
      </c>
      <c r="G2447" s="5">
        <v>43158</v>
      </c>
    </row>
    <row r="2448" spans="1:7" x14ac:dyDescent="0.4">
      <c r="A2448">
        <v>47</v>
      </c>
      <c r="B2448" t="s">
        <v>153</v>
      </c>
      <c r="C2448" s="10">
        <v>5.27</v>
      </c>
      <c r="D2448" s="10">
        <v>0.32</v>
      </c>
      <c r="E2448" s="16">
        <v>6.46</v>
      </c>
      <c r="F2448">
        <v>35496</v>
      </c>
      <c r="G2448" s="5">
        <v>43158</v>
      </c>
    </row>
    <row r="2449" spans="1:7" x14ac:dyDescent="0.4">
      <c r="A2449">
        <v>48</v>
      </c>
      <c r="B2449" t="s">
        <v>1197</v>
      </c>
      <c r="C2449" s="10">
        <v>2.29</v>
      </c>
      <c r="D2449" s="10">
        <v>0.14000000000000001</v>
      </c>
      <c r="E2449" s="16">
        <v>6.45</v>
      </c>
      <c r="F2449">
        <v>13573</v>
      </c>
      <c r="G2449" s="5">
        <v>43158</v>
      </c>
    </row>
    <row r="2450" spans="1:7" x14ac:dyDescent="0.4">
      <c r="A2450">
        <v>49</v>
      </c>
      <c r="B2450" t="s">
        <v>1439</v>
      </c>
      <c r="C2450" s="10">
        <v>5</v>
      </c>
      <c r="D2450" s="10">
        <v>0.3</v>
      </c>
      <c r="E2450" s="16">
        <v>6.38</v>
      </c>
      <c r="F2450">
        <v>15740</v>
      </c>
      <c r="G2450" s="5">
        <v>43158</v>
      </c>
    </row>
    <row r="2451" spans="1:7" x14ac:dyDescent="0.4">
      <c r="A2451">
        <v>50</v>
      </c>
      <c r="B2451" t="s">
        <v>1440</v>
      </c>
      <c r="C2451" s="10">
        <v>15.86</v>
      </c>
      <c r="D2451" s="10">
        <v>0.94</v>
      </c>
      <c r="E2451" s="16">
        <v>6.3</v>
      </c>
      <c r="F2451">
        <v>5868</v>
      </c>
      <c r="G2451" s="5">
        <v>43158</v>
      </c>
    </row>
    <row r="2452" spans="1:7" x14ac:dyDescent="0.4">
      <c r="A2452">
        <v>51</v>
      </c>
      <c r="B2452" t="s">
        <v>1441</v>
      </c>
      <c r="C2452" s="10">
        <v>15.92</v>
      </c>
      <c r="D2452" s="10">
        <v>0.94</v>
      </c>
      <c r="E2452" s="16">
        <v>6.28</v>
      </c>
      <c r="F2452">
        <v>12375667</v>
      </c>
      <c r="G2452" s="5">
        <v>43158</v>
      </c>
    </row>
    <row r="2453" spans="1:7" x14ac:dyDescent="0.4">
      <c r="A2453">
        <v>52</v>
      </c>
      <c r="B2453" t="s">
        <v>1442</v>
      </c>
      <c r="C2453" s="10">
        <v>8.85</v>
      </c>
      <c r="D2453" s="10">
        <v>0.52</v>
      </c>
      <c r="E2453" s="16">
        <v>6.24</v>
      </c>
      <c r="F2453">
        <v>77227</v>
      </c>
      <c r="G2453" s="5">
        <v>43158</v>
      </c>
    </row>
    <row r="2454" spans="1:7" x14ac:dyDescent="0.4">
      <c r="A2454">
        <v>53</v>
      </c>
      <c r="B2454" t="s">
        <v>728</v>
      </c>
      <c r="C2454" s="10">
        <v>14.64</v>
      </c>
      <c r="D2454" s="10">
        <v>0.84</v>
      </c>
      <c r="E2454" s="16">
        <v>6.09</v>
      </c>
      <c r="F2454">
        <v>184905</v>
      </c>
      <c r="G2454" s="5">
        <v>43158</v>
      </c>
    </row>
    <row r="2455" spans="1:7" x14ac:dyDescent="0.4">
      <c r="A2455">
        <v>54</v>
      </c>
      <c r="B2455" t="s">
        <v>1443</v>
      </c>
      <c r="C2455" s="10">
        <v>8.9700000000000006</v>
      </c>
      <c r="D2455" s="10">
        <v>0.51</v>
      </c>
      <c r="E2455" s="16">
        <v>6.03</v>
      </c>
      <c r="F2455">
        <v>77825</v>
      </c>
      <c r="G2455" s="5">
        <v>43158</v>
      </c>
    </row>
    <row r="2456" spans="1:7" x14ac:dyDescent="0.4">
      <c r="A2456">
        <v>55</v>
      </c>
      <c r="B2456" t="s">
        <v>475</v>
      </c>
      <c r="C2456" s="10">
        <v>12.75</v>
      </c>
      <c r="D2456" s="10">
        <v>0.72</v>
      </c>
      <c r="E2456" s="16">
        <v>5.97</v>
      </c>
      <c r="F2456">
        <v>12026</v>
      </c>
      <c r="G2456" s="5">
        <v>43158</v>
      </c>
    </row>
    <row r="2457" spans="1:7" x14ac:dyDescent="0.4">
      <c r="A2457">
        <v>56</v>
      </c>
      <c r="B2457" t="s">
        <v>658</v>
      </c>
      <c r="C2457" s="10">
        <v>7.6</v>
      </c>
      <c r="D2457" s="10">
        <v>0.42</v>
      </c>
      <c r="E2457" s="16">
        <v>5.85</v>
      </c>
      <c r="F2457">
        <v>44370</v>
      </c>
      <c r="G2457" s="5">
        <v>43158</v>
      </c>
    </row>
    <row r="2458" spans="1:7" x14ac:dyDescent="0.4">
      <c r="A2458">
        <v>57</v>
      </c>
      <c r="B2458" t="s">
        <v>1444</v>
      </c>
      <c r="C2458" s="10">
        <v>22.9</v>
      </c>
      <c r="D2458" s="10">
        <v>1.25</v>
      </c>
      <c r="E2458" s="16">
        <v>5.77</v>
      </c>
      <c r="F2458">
        <v>648203</v>
      </c>
      <c r="G2458" s="5">
        <v>43158</v>
      </c>
    </row>
    <row r="2459" spans="1:7" x14ac:dyDescent="0.4">
      <c r="A2459">
        <v>58</v>
      </c>
      <c r="B2459" t="s">
        <v>1213</v>
      </c>
      <c r="C2459" s="10">
        <v>31.2</v>
      </c>
      <c r="D2459" s="10">
        <v>1.7</v>
      </c>
      <c r="E2459" s="16">
        <v>5.76</v>
      </c>
      <c r="F2459">
        <v>436426</v>
      </c>
      <c r="G2459" s="5">
        <v>43158</v>
      </c>
    </row>
    <row r="2460" spans="1:7" x14ac:dyDescent="0.4">
      <c r="A2460">
        <v>59</v>
      </c>
      <c r="B2460" t="s">
        <v>1445</v>
      </c>
      <c r="C2460" s="10">
        <v>35.979999999999997</v>
      </c>
      <c r="D2460" s="10">
        <v>1.95</v>
      </c>
      <c r="E2460" s="16">
        <v>5.73</v>
      </c>
      <c r="F2460">
        <v>2758493</v>
      </c>
      <c r="G2460" s="5">
        <v>43158</v>
      </c>
    </row>
    <row r="2461" spans="1:7" x14ac:dyDescent="0.4">
      <c r="A2461">
        <v>60</v>
      </c>
      <c r="B2461" t="s">
        <v>1446</v>
      </c>
      <c r="C2461" s="10">
        <v>10.8</v>
      </c>
      <c r="D2461" s="10">
        <v>0.57999999999999996</v>
      </c>
      <c r="E2461" s="16">
        <v>5.68</v>
      </c>
      <c r="F2461">
        <v>56454</v>
      </c>
      <c r="G2461" s="5">
        <v>43158</v>
      </c>
    </row>
    <row r="2462" spans="1:7" x14ac:dyDescent="0.4">
      <c r="A2462">
        <v>61</v>
      </c>
      <c r="B2462" t="s">
        <v>916</v>
      </c>
      <c r="C2462" s="10">
        <v>5.22</v>
      </c>
      <c r="D2462" s="10">
        <v>0.27</v>
      </c>
      <c r="E2462" s="16">
        <v>5.45</v>
      </c>
      <c r="F2462">
        <v>1037759</v>
      </c>
      <c r="G2462" s="5">
        <v>43158</v>
      </c>
    </row>
    <row r="2463" spans="1:7" x14ac:dyDescent="0.4">
      <c r="A2463">
        <v>62</v>
      </c>
      <c r="B2463" t="s">
        <v>56</v>
      </c>
      <c r="C2463" s="10">
        <v>6.5</v>
      </c>
      <c r="D2463" s="10">
        <v>0.33</v>
      </c>
      <c r="E2463" s="16">
        <v>5.35</v>
      </c>
      <c r="F2463">
        <v>612662</v>
      </c>
      <c r="G2463" s="5">
        <v>43158</v>
      </c>
    </row>
    <row r="2464" spans="1:7" x14ac:dyDescent="0.4">
      <c r="A2464">
        <v>63</v>
      </c>
      <c r="B2464" t="s">
        <v>981</v>
      </c>
      <c r="C2464" s="10">
        <v>82.2</v>
      </c>
      <c r="D2464" s="10">
        <v>4.1500000000000004</v>
      </c>
      <c r="E2464" s="16">
        <v>5.32</v>
      </c>
      <c r="F2464">
        <v>419310</v>
      </c>
      <c r="G2464" s="5">
        <v>43158</v>
      </c>
    </row>
    <row r="2465" spans="1:7" x14ac:dyDescent="0.4">
      <c r="A2465">
        <v>64</v>
      </c>
      <c r="B2465" t="s">
        <v>1331</v>
      </c>
      <c r="C2465" s="10">
        <v>20</v>
      </c>
      <c r="D2465" s="10">
        <v>1</v>
      </c>
      <c r="E2465" s="16">
        <v>5.26</v>
      </c>
      <c r="F2465">
        <v>3545</v>
      </c>
      <c r="G2465" s="5">
        <v>43158</v>
      </c>
    </row>
    <row r="2466" spans="1:7" x14ac:dyDescent="0.4">
      <c r="A2466">
        <v>65</v>
      </c>
      <c r="B2466" t="s">
        <v>869</v>
      </c>
      <c r="C2466" s="10">
        <v>31.67</v>
      </c>
      <c r="D2466" s="10">
        <v>1.56</v>
      </c>
      <c r="E2466" s="16">
        <v>5.18</v>
      </c>
      <c r="F2466">
        <v>1779862</v>
      </c>
      <c r="G2466" s="5">
        <v>43158</v>
      </c>
    </row>
    <row r="2467" spans="1:7" x14ac:dyDescent="0.4">
      <c r="A2467">
        <v>66</v>
      </c>
      <c r="B2467" t="s">
        <v>1447</v>
      </c>
      <c r="C2467" s="10">
        <v>31.5</v>
      </c>
      <c r="D2467" s="10">
        <v>1.55</v>
      </c>
      <c r="E2467" s="16">
        <v>5.18</v>
      </c>
      <c r="F2467">
        <v>488422</v>
      </c>
      <c r="G2467" s="5">
        <v>43158</v>
      </c>
    </row>
    <row r="2468" spans="1:7" x14ac:dyDescent="0.4">
      <c r="A2468">
        <v>67</v>
      </c>
      <c r="B2468" t="s">
        <v>670</v>
      </c>
      <c r="C2468" s="10">
        <v>11.67</v>
      </c>
      <c r="D2468" s="10">
        <v>0.56999999999999995</v>
      </c>
      <c r="E2468" s="16">
        <v>5.14</v>
      </c>
      <c r="F2468">
        <v>4501262</v>
      </c>
      <c r="G2468" s="5">
        <v>43158</v>
      </c>
    </row>
    <row r="2469" spans="1:7" x14ac:dyDescent="0.4">
      <c r="A2469">
        <v>68</v>
      </c>
      <c r="B2469" t="s">
        <v>1448</v>
      </c>
      <c r="C2469" s="10">
        <v>5</v>
      </c>
      <c r="D2469" s="10">
        <v>0.24</v>
      </c>
      <c r="E2469" s="16">
        <v>5.13</v>
      </c>
      <c r="F2469">
        <v>58858</v>
      </c>
      <c r="G2469" s="5">
        <v>43158</v>
      </c>
    </row>
    <row r="2470" spans="1:7" x14ac:dyDescent="0.4">
      <c r="A2470">
        <v>69</v>
      </c>
      <c r="B2470" t="s">
        <v>891</v>
      </c>
      <c r="C2470" s="10">
        <v>8.9</v>
      </c>
      <c r="D2470" s="10">
        <v>0.43</v>
      </c>
      <c r="E2470" s="16">
        <v>5.08</v>
      </c>
      <c r="F2470">
        <v>613237</v>
      </c>
      <c r="G2470" s="5">
        <v>43158</v>
      </c>
    </row>
    <row r="2471" spans="1:7" x14ac:dyDescent="0.4">
      <c r="A2471">
        <v>70</v>
      </c>
      <c r="B2471" t="s">
        <v>665</v>
      </c>
      <c r="C2471" s="10">
        <v>12.62</v>
      </c>
      <c r="D2471" s="10">
        <v>0.61</v>
      </c>
      <c r="E2471" s="16">
        <v>5.04</v>
      </c>
      <c r="F2471">
        <v>13459</v>
      </c>
      <c r="G2471" s="5">
        <v>43158</v>
      </c>
    </row>
    <row r="2472" spans="1:7" x14ac:dyDescent="0.4">
      <c r="A2472">
        <v>71</v>
      </c>
      <c r="B2472" t="s">
        <v>1218</v>
      </c>
      <c r="C2472" s="10">
        <v>6.25</v>
      </c>
      <c r="D2472" s="10">
        <v>0.3</v>
      </c>
      <c r="E2472" s="16">
        <v>5.04</v>
      </c>
      <c r="F2472">
        <v>82813</v>
      </c>
      <c r="G2472" s="5">
        <v>43158</v>
      </c>
    </row>
    <row r="2473" spans="1:7" x14ac:dyDescent="0.4">
      <c r="A2473">
        <v>72</v>
      </c>
      <c r="B2473" t="s">
        <v>671</v>
      </c>
      <c r="C2473" s="10">
        <v>8.85</v>
      </c>
      <c r="D2473" s="10">
        <v>0.42</v>
      </c>
      <c r="E2473" s="16">
        <v>4.9800000000000004</v>
      </c>
      <c r="F2473">
        <v>1326676</v>
      </c>
      <c r="G2473" s="5">
        <v>43158</v>
      </c>
    </row>
    <row r="2474" spans="1:7" x14ac:dyDescent="0.4">
      <c r="A2474">
        <v>73</v>
      </c>
      <c r="B2474" t="s">
        <v>1415</v>
      </c>
      <c r="C2474" s="10">
        <v>60.4</v>
      </c>
      <c r="D2474" s="10">
        <v>2.85</v>
      </c>
      <c r="E2474" s="16">
        <v>4.95</v>
      </c>
      <c r="F2474">
        <v>574408</v>
      </c>
      <c r="G2474" s="5">
        <v>43158</v>
      </c>
    </row>
    <row r="2475" spans="1:7" x14ac:dyDescent="0.4">
      <c r="A2475">
        <v>74</v>
      </c>
      <c r="B2475" t="s">
        <v>1084</v>
      </c>
      <c r="C2475" s="10">
        <v>30.77</v>
      </c>
      <c r="D2475" s="10">
        <v>1.45</v>
      </c>
      <c r="E2475" s="16">
        <v>4.9400000000000004</v>
      </c>
      <c r="F2475">
        <v>6375</v>
      </c>
      <c r="G2475" s="5">
        <v>43158</v>
      </c>
    </row>
    <row r="2476" spans="1:7" x14ac:dyDescent="0.4">
      <c r="A2476">
        <v>75</v>
      </c>
      <c r="B2476" t="s">
        <v>666</v>
      </c>
      <c r="C2476" s="10">
        <v>11.77</v>
      </c>
      <c r="D2476" s="10">
        <v>0.55000000000000004</v>
      </c>
      <c r="E2476" s="16">
        <v>4.9000000000000004</v>
      </c>
      <c r="F2476">
        <v>5794</v>
      </c>
      <c r="G2476" s="5">
        <v>43158</v>
      </c>
    </row>
    <row r="2477" spans="1:7" x14ac:dyDescent="0.4">
      <c r="A2477">
        <v>76</v>
      </c>
      <c r="B2477" t="s">
        <v>318</v>
      </c>
      <c r="C2477" s="10">
        <v>29.23</v>
      </c>
      <c r="D2477" s="10">
        <v>1.35</v>
      </c>
      <c r="E2477" s="16">
        <v>4.84</v>
      </c>
      <c r="F2477">
        <v>8934</v>
      </c>
      <c r="G2477" s="5">
        <v>43158</v>
      </c>
    </row>
    <row r="2478" spans="1:7" x14ac:dyDescent="0.4">
      <c r="A2478">
        <v>77</v>
      </c>
      <c r="B2478" t="s">
        <v>960</v>
      </c>
      <c r="C2478" s="10">
        <v>5.01</v>
      </c>
      <c r="D2478" s="10">
        <v>0.23</v>
      </c>
      <c r="E2478" s="16">
        <v>4.8099999999999996</v>
      </c>
      <c r="F2478">
        <v>175086</v>
      </c>
      <c r="G2478" s="5">
        <v>43158</v>
      </c>
    </row>
    <row r="2479" spans="1:7" x14ac:dyDescent="0.4">
      <c r="A2479">
        <v>78</v>
      </c>
      <c r="B2479" t="s">
        <v>196</v>
      </c>
      <c r="C2479" s="10">
        <v>4.16</v>
      </c>
      <c r="D2479" s="10">
        <v>0.19</v>
      </c>
      <c r="E2479" s="16">
        <v>4.79</v>
      </c>
      <c r="F2479">
        <v>4293</v>
      </c>
      <c r="G2479" s="5">
        <v>43158</v>
      </c>
    </row>
    <row r="2480" spans="1:7" x14ac:dyDescent="0.4">
      <c r="A2480">
        <v>79</v>
      </c>
      <c r="B2480" t="s">
        <v>1449</v>
      </c>
      <c r="C2480" s="10">
        <v>59.45</v>
      </c>
      <c r="D2480" s="10">
        <v>2.7</v>
      </c>
      <c r="E2480" s="16">
        <v>4.76</v>
      </c>
      <c r="F2480">
        <v>1874021</v>
      </c>
      <c r="G2480" s="5">
        <v>43158</v>
      </c>
    </row>
    <row r="2481" spans="1:7" x14ac:dyDescent="0.4">
      <c r="A2481">
        <v>80</v>
      </c>
      <c r="B2481" t="s">
        <v>649</v>
      </c>
      <c r="C2481" s="10">
        <v>2.67</v>
      </c>
      <c r="D2481" s="10">
        <v>0.12</v>
      </c>
      <c r="E2481" s="16">
        <v>4.71</v>
      </c>
      <c r="F2481">
        <v>199110</v>
      </c>
      <c r="G2481" s="5">
        <v>43158</v>
      </c>
    </row>
    <row r="2482" spans="1:7" x14ac:dyDescent="0.4">
      <c r="A2482">
        <v>81</v>
      </c>
      <c r="B2482" t="s">
        <v>151</v>
      </c>
      <c r="C2482" s="10">
        <v>2.25</v>
      </c>
      <c r="D2482" s="10">
        <v>0.1</v>
      </c>
      <c r="E2482" s="16">
        <v>4.6500000000000004</v>
      </c>
      <c r="F2482">
        <v>27629</v>
      </c>
      <c r="G2482" s="5">
        <v>43158</v>
      </c>
    </row>
    <row r="2483" spans="1:7" x14ac:dyDescent="0.4">
      <c r="A2483">
        <v>82</v>
      </c>
      <c r="B2483" t="s">
        <v>74</v>
      </c>
      <c r="C2483" s="10">
        <v>21.4</v>
      </c>
      <c r="D2483" s="10">
        <v>0.95</v>
      </c>
      <c r="E2483" s="16">
        <v>4.6500000000000004</v>
      </c>
      <c r="F2483">
        <v>5628</v>
      </c>
      <c r="G2483" s="5">
        <v>43158</v>
      </c>
    </row>
    <row r="2484" spans="1:7" x14ac:dyDescent="0.4">
      <c r="A2484">
        <v>83</v>
      </c>
      <c r="B2484" t="s">
        <v>1450</v>
      </c>
      <c r="C2484" s="10">
        <v>128.18</v>
      </c>
      <c r="D2484" s="10">
        <v>5.67</v>
      </c>
      <c r="E2484" s="16">
        <v>4.63</v>
      </c>
      <c r="F2484">
        <v>911285</v>
      </c>
      <c r="G2484" s="5">
        <v>43158</v>
      </c>
    </row>
    <row r="2485" spans="1:7" x14ac:dyDescent="0.4">
      <c r="A2485">
        <v>84</v>
      </c>
      <c r="B2485" t="s">
        <v>1451</v>
      </c>
      <c r="C2485" s="10">
        <v>25.85</v>
      </c>
      <c r="D2485" s="10">
        <v>1.1399999999999999</v>
      </c>
      <c r="E2485" s="16">
        <v>4.6100000000000003</v>
      </c>
      <c r="F2485">
        <v>4987747</v>
      </c>
      <c r="G2485" s="5">
        <v>43158</v>
      </c>
    </row>
    <row r="2486" spans="1:7" x14ac:dyDescent="0.4">
      <c r="A2486">
        <v>85</v>
      </c>
      <c r="B2486" t="s">
        <v>404</v>
      </c>
      <c r="C2486" s="10">
        <v>5.53</v>
      </c>
      <c r="D2486" s="10">
        <v>0.24</v>
      </c>
      <c r="E2486" s="16">
        <v>4.54</v>
      </c>
      <c r="F2486">
        <v>636073</v>
      </c>
      <c r="G2486" s="5">
        <v>43158</v>
      </c>
    </row>
    <row r="2487" spans="1:7" x14ac:dyDescent="0.4">
      <c r="A2487">
        <v>86</v>
      </c>
      <c r="B2487" t="s">
        <v>730</v>
      </c>
      <c r="C2487" s="10">
        <v>3.24</v>
      </c>
      <c r="D2487" s="10">
        <v>0.14000000000000001</v>
      </c>
      <c r="E2487" s="16">
        <v>4.5199999999999996</v>
      </c>
      <c r="F2487">
        <v>1910781</v>
      </c>
      <c r="G2487" s="5">
        <v>43158</v>
      </c>
    </row>
    <row r="2488" spans="1:7" x14ac:dyDescent="0.4">
      <c r="A2488">
        <v>87</v>
      </c>
      <c r="B2488" t="s">
        <v>1452</v>
      </c>
      <c r="C2488" s="10">
        <v>39.979999999999997</v>
      </c>
      <c r="D2488" s="10">
        <v>1.72</v>
      </c>
      <c r="E2488" s="16">
        <v>4.5</v>
      </c>
      <c r="F2488">
        <v>400001</v>
      </c>
      <c r="G2488" s="5">
        <v>43158</v>
      </c>
    </row>
    <row r="2489" spans="1:7" x14ac:dyDescent="0.4">
      <c r="A2489">
        <v>88</v>
      </c>
      <c r="B2489" t="s">
        <v>938</v>
      </c>
      <c r="C2489" s="10">
        <v>5.58</v>
      </c>
      <c r="D2489" s="10">
        <v>0.24</v>
      </c>
      <c r="E2489" s="16">
        <v>4.49</v>
      </c>
      <c r="F2489">
        <v>35174</v>
      </c>
      <c r="G2489" s="5">
        <v>43158</v>
      </c>
    </row>
    <row r="2490" spans="1:7" x14ac:dyDescent="0.4">
      <c r="A2490">
        <v>89</v>
      </c>
      <c r="B2490" t="s">
        <v>1453</v>
      </c>
      <c r="C2490" s="10">
        <v>7</v>
      </c>
      <c r="D2490" s="10">
        <v>0.3</v>
      </c>
      <c r="E2490" s="16">
        <v>4.4800000000000004</v>
      </c>
      <c r="F2490">
        <v>1208635</v>
      </c>
      <c r="G2490" s="5">
        <v>43158</v>
      </c>
    </row>
    <row r="2491" spans="1:7" x14ac:dyDescent="0.4">
      <c r="A2491">
        <v>90</v>
      </c>
      <c r="B2491" t="s">
        <v>1454</v>
      </c>
      <c r="C2491" s="10">
        <v>9.3800000000000008</v>
      </c>
      <c r="D2491" s="10">
        <v>0.4</v>
      </c>
      <c r="E2491" s="16">
        <v>4.45</v>
      </c>
      <c r="F2491">
        <v>454553</v>
      </c>
      <c r="G2491" s="5">
        <v>43158</v>
      </c>
    </row>
    <row r="2492" spans="1:7" x14ac:dyDescent="0.4">
      <c r="A2492">
        <v>91</v>
      </c>
      <c r="B2492" t="s">
        <v>1455</v>
      </c>
      <c r="C2492" s="10">
        <v>35.049999999999997</v>
      </c>
      <c r="D2492" s="10">
        <v>1.49</v>
      </c>
      <c r="E2492" s="16">
        <v>4.4400000000000004</v>
      </c>
      <c r="F2492">
        <v>55189</v>
      </c>
      <c r="G2492" s="5">
        <v>43158</v>
      </c>
    </row>
    <row r="2493" spans="1:7" x14ac:dyDescent="0.4">
      <c r="A2493">
        <v>92</v>
      </c>
      <c r="B2493" t="s">
        <v>942</v>
      </c>
      <c r="C2493" s="10">
        <v>2.59</v>
      </c>
      <c r="D2493" s="10">
        <v>0.11</v>
      </c>
      <c r="E2493" s="16">
        <v>4.4400000000000004</v>
      </c>
      <c r="F2493">
        <v>5041</v>
      </c>
      <c r="G2493" s="5">
        <v>43158</v>
      </c>
    </row>
    <row r="2494" spans="1:7" x14ac:dyDescent="0.4">
      <c r="A2494">
        <v>93</v>
      </c>
      <c r="B2494" t="s">
        <v>1030</v>
      </c>
      <c r="C2494" s="10">
        <v>4.95</v>
      </c>
      <c r="D2494" s="10">
        <v>0.21</v>
      </c>
      <c r="E2494" s="16">
        <v>4.43</v>
      </c>
      <c r="F2494">
        <v>186122</v>
      </c>
      <c r="G2494" s="5">
        <v>43158</v>
      </c>
    </row>
    <row r="2495" spans="1:7" x14ac:dyDescent="0.4">
      <c r="A2495">
        <v>94</v>
      </c>
      <c r="B2495" t="s">
        <v>639</v>
      </c>
      <c r="C2495" s="10">
        <v>2.86</v>
      </c>
      <c r="D2495" s="10">
        <v>0.12</v>
      </c>
      <c r="E2495" s="16">
        <v>4.38</v>
      </c>
      <c r="F2495">
        <v>300605</v>
      </c>
      <c r="G2495" s="5">
        <v>43158</v>
      </c>
    </row>
    <row r="2496" spans="1:7" x14ac:dyDescent="0.4">
      <c r="A2496">
        <v>95</v>
      </c>
      <c r="B2496" t="s">
        <v>1456</v>
      </c>
      <c r="C2496" s="10">
        <v>43.18</v>
      </c>
      <c r="D2496" s="10">
        <v>1.81</v>
      </c>
      <c r="E2496" s="16">
        <v>4.38</v>
      </c>
      <c r="F2496">
        <v>627232</v>
      </c>
      <c r="G2496" s="5">
        <v>43158</v>
      </c>
    </row>
    <row r="2497" spans="1:7" x14ac:dyDescent="0.4">
      <c r="A2497">
        <v>96</v>
      </c>
      <c r="B2497" t="s">
        <v>396</v>
      </c>
      <c r="C2497" s="10">
        <v>3.64</v>
      </c>
      <c r="D2497" s="10">
        <v>0.15</v>
      </c>
      <c r="E2497" s="16">
        <v>4.3499999999999996</v>
      </c>
      <c r="F2497">
        <v>41049</v>
      </c>
      <c r="G2497" s="5">
        <v>43158</v>
      </c>
    </row>
    <row r="2498" spans="1:7" x14ac:dyDescent="0.4">
      <c r="A2498">
        <v>97</v>
      </c>
      <c r="B2498" t="s">
        <v>1457</v>
      </c>
      <c r="C2498" s="10">
        <v>46.8</v>
      </c>
      <c r="D2498" s="10">
        <v>1.95</v>
      </c>
      <c r="E2498" s="16">
        <v>4.3499999999999996</v>
      </c>
      <c r="F2498">
        <v>855314</v>
      </c>
      <c r="G2498" s="5">
        <v>43158</v>
      </c>
    </row>
    <row r="2499" spans="1:7" x14ac:dyDescent="0.4">
      <c r="A2499">
        <v>98</v>
      </c>
      <c r="B2499" t="s">
        <v>1458</v>
      </c>
      <c r="C2499" s="10">
        <v>13.6</v>
      </c>
      <c r="D2499" s="10">
        <v>0.56000000000000005</v>
      </c>
      <c r="E2499" s="16">
        <v>4.29</v>
      </c>
      <c r="F2499">
        <v>1123327</v>
      </c>
      <c r="G2499" s="5">
        <v>43158</v>
      </c>
    </row>
    <row r="2500" spans="1:7" x14ac:dyDescent="0.4">
      <c r="A2500">
        <v>99</v>
      </c>
      <c r="B2500" t="s">
        <v>1459</v>
      </c>
      <c r="C2500" s="10">
        <v>83.53</v>
      </c>
      <c r="D2500" s="10">
        <v>3.43</v>
      </c>
      <c r="E2500" s="16">
        <v>4.28</v>
      </c>
      <c r="F2500">
        <v>1261773</v>
      </c>
      <c r="G2500" s="5">
        <v>43158</v>
      </c>
    </row>
    <row r="2501" spans="1:7" x14ac:dyDescent="0.4">
      <c r="A2501">
        <v>100</v>
      </c>
      <c r="B2501" t="s">
        <v>926</v>
      </c>
      <c r="C2501" s="10">
        <v>20.75</v>
      </c>
      <c r="D2501" s="10">
        <v>0.85</v>
      </c>
      <c r="E2501" s="16">
        <v>4.2699999999999996</v>
      </c>
      <c r="F2501">
        <v>1651727</v>
      </c>
      <c r="G2501" s="5">
        <v>43158</v>
      </c>
    </row>
    <row r="2502" spans="1:7" x14ac:dyDescent="0.4">
      <c r="A2502">
        <v>1</v>
      </c>
      <c r="B2502" t="s">
        <v>139</v>
      </c>
      <c r="C2502" s="10">
        <v>7.68</v>
      </c>
      <c r="D2502" s="10">
        <v>3.22</v>
      </c>
      <c r="E2502" s="16">
        <v>72.2</v>
      </c>
      <c r="F2502">
        <v>5365387</v>
      </c>
      <c r="G2502" s="5">
        <v>43157</v>
      </c>
    </row>
    <row r="2503" spans="1:7" x14ac:dyDescent="0.4">
      <c r="A2503">
        <v>2</v>
      </c>
      <c r="B2503" t="s">
        <v>42</v>
      </c>
      <c r="C2503" s="10">
        <v>2.87</v>
      </c>
      <c r="D2503" s="10">
        <v>0.67</v>
      </c>
      <c r="E2503" s="16">
        <v>30.45</v>
      </c>
      <c r="F2503">
        <v>8492923</v>
      </c>
      <c r="G2503" s="5">
        <v>43157</v>
      </c>
    </row>
    <row r="2504" spans="1:7" x14ac:dyDescent="0.4">
      <c r="A2504">
        <v>3</v>
      </c>
      <c r="B2504" t="s">
        <v>39</v>
      </c>
      <c r="C2504" s="10">
        <v>2.72</v>
      </c>
      <c r="D2504" s="10">
        <v>0.54</v>
      </c>
      <c r="E2504" s="16">
        <v>24.77</v>
      </c>
      <c r="F2504">
        <v>25643128</v>
      </c>
      <c r="G2504" s="5">
        <v>43157</v>
      </c>
    </row>
    <row r="2505" spans="1:7" x14ac:dyDescent="0.4">
      <c r="A2505">
        <v>4</v>
      </c>
      <c r="B2505" t="s">
        <v>1460</v>
      </c>
      <c r="C2505" s="10">
        <v>4.8099999999999996</v>
      </c>
      <c r="D2505" s="10">
        <v>0.82</v>
      </c>
      <c r="E2505" s="16">
        <v>20.55</v>
      </c>
      <c r="F2505">
        <v>11150569</v>
      </c>
      <c r="G2505" s="5">
        <v>43157</v>
      </c>
    </row>
    <row r="2506" spans="1:7" x14ac:dyDescent="0.4">
      <c r="A2506">
        <v>5</v>
      </c>
      <c r="B2506" t="s">
        <v>56</v>
      </c>
      <c r="C2506" s="10">
        <v>6.17</v>
      </c>
      <c r="D2506" s="10">
        <v>1</v>
      </c>
      <c r="E2506" s="16">
        <v>19.34</v>
      </c>
      <c r="F2506">
        <v>1418624</v>
      </c>
      <c r="G2506" s="5">
        <v>43157</v>
      </c>
    </row>
    <row r="2507" spans="1:7" x14ac:dyDescent="0.4">
      <c r="A2507">
        <v>6</v>
      </c>
      <c r="B2507" t="s">
        <v>1419</v>
      </c>
      <c r="C2507" s="10">
        <v>7.3</v>
      </c>
      <c r="D2507" s="10">
        <v>1.1100000000000001</v>
      </c>
      <c r="E2507" s="16">
        <v>17.93</v>
      </c>
      <c r="F2507">
        <v>157230</v>
      </c>
      <c r="G2507" s="5">
        <v>43157</v>
      </c>
    </row>
    <row r="2508" spans="1:7" x14ac:dyDescent="0.4">
      <c r="A2508">
        <v>7</v>
      </c>
      <c r="B2508" t="s">
        <v>83</v>
      </c>
      <c r="C2508" s="10">
        <v>18.09</v>
      </c>
      <c r="D2508" s="10">
        <v>2.71</v>
      </c>
      <c r="E2508" s="16">
        <v>17.62</v>
      </c>
      <c r="F2508">
        <v>828352</v>
      </c>
      <c r="G2508" s="5">
        <v>43157</v>
      </c>
    </row>
    <row r="2509" spans="1:7" x14ac:dyDescent="0.4">
      <c r="A2509">
        <v>8</v>
      </c>
      <c r="B2509" t="s">
        <v>215</v>
      </c>
      <c r="C2509" s="10">
        <v>19.170000000000002</v>
      </c>
      <c r="D2509" s="10">
        <v>2.84</v>
      </c>
      <c r="E2509" s="16">
        <v>17.39</v>
      </c>
      <c r="F2509">
        <v>245773</v>
      </c>
      <c r="G2509" s="5">
        <v>43157</v>
      </c>
    </row>
    <row r="2510" spans="1:7" x14ac:dyDescent="0.4">
      <c r="A2510">
        <v>9</v>
      </c>
      <c r="B2510" t="s">
        <v>188</v>
      </c>
      <c r="C2510" s="10">
        <v>3.95</v>
      </c>
      <c r="D2510" s="10">
        <v>0.55000000000000004</v>
      </c>
      <c r="E2510" s="16">
        <v>16.18</v>
      </c>
      <c r="F2510">
        <v>757718</v>
      </c>
      <c r="G2510" s="5">
        <v>43157</v>
      </c>
    </row>
    <row r="2511" spans="1:7" x14ac:dyDescent="0.4">
      <c r="A2511">
        <v>10</v>
      </c>
      <c r="B2511" t="s">
        <v>1019</v>
      </c>
      <c r="C2511" s="10">
        <v>3.41</v>
      </c>
      <c r="D2511" s="10">
        <v>0.45</v>
      </c>
      <c r="E2511" s="16">
        <v>15.4</v>
      </c>
      <c r="F2511">
        <v>6522940</v>
      </c>
      <c r="G2511" s="5">
        <v>43157</v>
      </c>
    </row>
    <row r="2512" spans="1:7" x14ac:dyDescent="0.4">
      <c r="A2512">
        <v>11</v>
      </c>
      <c r="B2512" t="s">
        <v>211</v>
      </c>
      <c r="C2512" s="10">
        <v>6.88</v>
      </c>
      <c r="D2512" s="10">
        <v>0.91</v>
      </c>
      <c r="E2512" s="16">
        <v>15.25</v>
      </c>
      <c r="F2512">
        <v>93564</v>
      </c>
      <c r="G2512" s="5">
        <v>43157</v>
      </c>
    </row>
    <row r="2513" spans="1:7" x14ac:dyDescent="0.4">
      <c r="A2513">
        <v>12</v>
      </c>
      <c r="B2513" t="s">
        <v>426</v>
      </c>
      <c r="C2513" s="10">
        <v>4.34</v>
      </c>
      <c r="D2513" s="10">
        <v>0.55000000000000004</v>
      </c>
      <c r="E2513" s="16">
        <v>14.51</v>
      </c>
      <c r="F2513">
        <v>1106830</v>
      </c>
      <c r="G2513" s="5">
        <v>43157</v>
      </c>
    </row>
    <row r="2514" spans="1:7" x14ac:dyDescent="0.4">
      <c r="A2514">
        <v>13</v>
      </c>
      <c r="B2514" t="s">
        <v>907</v>
      </c>
      <c r="C2514" s="10">
        <v>5.55</v>
      </c>
      <c r="D2514" s="10">
        <v>0.69</v>
      </c>
      <c r="E2514" s="16">
        <v>14.2</v>
      </c>
      <c r="F2514">
        <v>536102</v>
      </c>
      <c r="G2514" s="5">
        <v>43157</v>
      </c>
    </row>
    <row r="2515" spans="1:7" x14ac:dyDescent="0.4">
      <c r="A2515">
        <v>14</v>
      </c>
      <c r="B2515" t="s">
        <v>1461</v>
      </c>
      <c r="C2515" s="10">
        <v>10.53</v>
      </c>
      <c r="D2515" s="10">
        <v>1.3</v>
      </c>
      <c r="E2515" s="16">
        <v>14.12</v>
      </c>
      <c r="F2515">
        <v>38187</v>
      </c>
      <c r="G2515" s="5">
        <v>43157</v>
      </c>
    </row>
    <row r="2516" spans="1:7" x14ac:dyDescent="0.4">
      <c r="A2516">
        <v>15</v>
      </c>
      <c r="B2516" t="s">
        <v>940</v>
      </c>
      <c r="C2516" s="10">
        <v>6.56</v>
      </c>
      <c r="D2516" s="10">
        <v>0.76</v>
      </c>
      <c r="E2516" s="16">
        <v>13.1</v>
      </c>
      <c r="F2516">
        <v>2529936</v>
      </c>
      <c r="G2516" s="5">
        <v>43157</v>
      </c>
    </row>
    <row r="2517" spans="1:7" x14ac:dyDescent="0.4">
      <c r="A2517">
        <v>16</v>
      </c>
      <c r="B2517" t="s">
        <v>1462</v>
      </c>
      <c r="C2517" s="10">
        <v>6.67</v>
      </c>
      <c r="D2517" s="10">
        <v>0.76</v>
      </c>
      <c r="E2517" s="16">
        <v>12.86</v>
      </c>
      <c r="F2517">
        <v>192455</v>
      </c>
      <c r="G2517" s="5">
        <v>43157</v>
      </c>
    </row>
    <row r="2518" spans="1:7" x14ac:dyDescent="0.4">
      <c r="A2518">
        <v>17</v>
      </c>
      <c r="B2518" t="s">
        <v>916</v>
      </c>
      <c r="C2518" s="10">
        <v>4.95</v>
      </c>
      <c r="D2518" s="10">
        <v>0.55000000000000004</v>
      </c>
      <c r="E2518" s="16">
        <v>12.5</v>
      </c>
      <c r="F2518">
        <v>563517</v>
      </c>
      <c r="G2518" s="5">
        <v>43157</v>
      </c>
    </row>
    <row r="2519" spans="1:7" x14ac:dyDescent="0.4">
      <c r="A2519">
        <v>18</v>
      </c>
      <c r="B2519" t="s">
        <v>1463</v>
      </c>
      <c r="C2519" s="10">
        <v>48.34</v>
      </c>
      <c r="D2519" s="10">
        <v>5.3</v>
      </c>
      <c r="E2519" s="16">
        <v>12.31</v>
      </c>
      <c r="F2519">
        <v>1888844</v>
      </c>
      <c r="G2519" s="5">
        <v>43157</v>
      </c>
    </row>
    <row r="2520" spans="1:7" x14ac:dyDescent="0.4">
      <c r="A2520">
        <v>19</v>
      </c>
      <c r="B2520" t="s">
        <v>702</v>
      </c>
      <c r="C2520" s="10">
        <v>3.2</v>
      </c>
      <c r="D2520" s="10">
        <v>0.35</v>
      </c>
      <c r="E2520" s="16">
        <v>12.28</v>
      </c>
      <c r="F2520">
        <v>32492</v>
      </c>
      <c r="G2520" s="5">
        <v>43157</v>
      </c>
    </row>
    <row r="2521" spans="1:7" x14ac:dyDescent="0.4">
      <c r="A2521">
        <v>20</v>
      </c>
      <c r="B2521" t="s">
        <v>495</v>
      </c>
      <c r="C2521" s="10">
        <v>4.6900000000000004</v>
      </c>
      <c r="D2521" s="10">
        <v>0.5</v>
      </c>
      <c r="E2521" s="16">
        <v>11.93</v>
      </c>
      <c r="F2521">
        <v>699001</v>
      </c>
      <c r="G2521" s="5">
        <v>43157</v>
      </c>
    </row>
    <row r="2522" spans="1:7" x14ac:dyDescent="0.4">
      <c r="A2522">
        <v>21</v>
      </c>
      <c r="B2522" t="s">
        <v>232</v>
      </c>
      <c r="C2522" s="10">
        <v>2.89</v>
      </c>
      <c r="D2522" s="10">
        <v>0.28999999999999998</v>
      </c>
      <c r="E2522" s="16">
        <v>11.13</v>
      </c>
      <c r="F2522">
        <v>740003</v>
      </c>
      <c r="G2522" s="5">
        <v>43157</v>
      </c>
    </row>
    <row r="2523" spans="1:7" x14ac:dyDescent="0.4">
      <c r="A2523">
        <v>22</v>
      </c>
      <c r="B2523" t="s">
        <v>980</v>
      </c>
      <c r="C2523" s="10">
        <v>29.01</v>
      </c>
      <c r="D2523" s="10">
        <v>2.89</v>
      </c>
      <c r="E2523" s="16">
        <v>11.06</v>
      </c>
      <c r="F2523">
        <v>1116927</v>
      </c>
      <c r="G2523" s="5">
        <v>43157</v>
      </c>
    </row>
    <row r="2524" spans="1:7" x14ac:dyDescent="0.4">
      <c r="A2524">
        <v>23</v>
      </c>
      <c r="B2524" t="s">
        <v>1131</v>
      </c>
      <c r="C2524" s="10">
        <v>8.1</v>
      </c>
      <c r="D2524" s="10">
        <v>0.8</v>
      </c>
      <c r="E2524" s="16">
        <v>10.96</v>
      </c>
      <c r="F2524">
        <v>1133343</v>
      </c>
      <c r="G2524" s="5">
        <v>43157</v>
      </c>
    </row>
    <row r="2525" spans="1:7" x14ac:dyDescent="0.4">
      <c r="A2525">
        <v>24</v>
      </c>
      <c r="B2525" t="s">
        <v>1203</v>
      </c>
      <c r="C2525" s="10">
        <v>2.23</v>
      </c>
      <c r="D2525" s="10">
        <v>0.22</v>
      </c>
      <c r="E2525" s="16">
        <v>10.95</v>
      </c>
      <c r="F2525">
        <v>375983</v>
      </c>
      <c r="G2525" s="5">
        <v>43157</v>
      </c>
    </row>
    <row r="2526" spans="1:7" x14ac:dyDescent="0.4">
      <c r="A2526">
        <v>25</v>
      </c>
      <c r="B2526" t="s">
        <v>635</v>
      </c>
      <c r="C2526" s="10">
        <v>11.06</v>
      </c>
      <c r="D2526" s="10">
        <v>1.06</v>
      </c>
      <c r="E2526" s="16">
        <v>10.6</v>
      </c>
      <c r="F2526">
        <v>1693066</v>
      </c>
      <c r="G2526" s="5">
        <v>43157</v>
      </c>
    </row>
    <row r="2527" spans="1:7" x14ac:dyDescent="0.4">
      <c r="A2527">
        <v>26</v>
      </c>
      <c r="B2527" t="s">
        <v>993</v>
      </c>
      <c r="C2527" s="10">
        <v>3.76</v>
      </c>
      <c r="D2527" s="10">
        <v>0.35</v>
      </c>
      <c r="E2527" s="16">
        <v>10.26</v>
      </c>
      <c r="F2527">
        <v>1604507</v>
      </c>
      <c r="G2527" s="5">
        <v>43157</v>
      </c>
    </row>
    <row r="2528" spans="1:7" x14ac:dyDescent="0.4">
      <c r="A2528">
        <v>27</v>
      </c>
      <c r="B2528" t="s">
        <v>1464</v>
      </c>
      <c r="C2528" s="10">
        <v>7.1</v>
      </c>
      <c r="D2528" s="10">
        <v>0.65</v>
      </c>
      <c r="E2528" s="16">
        <v>10.08</v>
      </c>
      <c r="F2528">
        <v>210769</v>
      </c>
      <c r="G2528" s="5">
        <v>43157</v>
      </c>
    </row>
    <row r="2529" spans="1:7" x14ac:dyDescent="0.4">
      <c r="A2529">
        <v>28</v>
      </c>
      <c r="B2529" t="s">
        <v>695</v>
      </c>
      <c r="C2529" s="10">
        <v>5.7</v>
      </c>
      <c r="D2529" s="10">
        <v>0.52</v>
      </c>
      <c r="E2529" s="16">
        <v>10.039999999999999</v>
      </c>
      <c r="F2529">
        <v>211569</v>
      </c>
      <c r="G2529" s="5">
        <v>43157</v>
      </c>
    </row>
    <row r="2530" spans="1:7" x14ac:dyDescent="0.4">
      <c r="A2530">
        <v>29</v>
      </c>
      <c r="B2530" t="s">
        <v>937</v>
      </c>
      <c r="C2530" s="10">
        <v>13.72</v>
      </c>
      <c r="D2530" s="10">
        <v>1.23</v>
      </c>
      <c r="E2530" s="16">
        <v>9.85</v>
      </c>
      <c r="F2530">
        <v>952698</v>
      </c>
      <c r="G2530" s="5">
        <v>43157</v>
      </c>
    </row>
    <row r="2531" spans="1:7" x14ac:dyDescent="0.4">
      <c r="A2531">
        <v>30</v>
      </c>
      <c r="B2531" t="s">
        <v>25</v>
      </c>
      <c r="C2531" s="10">
        <v>5.03</v>
      </c>
      <c r="D2531" s="10">
        <v>0.45</v>
      </c>
      <c r="E2531" s="16">
        <v>9.83</v>
      </c>
      <c r="F2531">
        <v>28975</v>
      </c>
      <c r="G2531" s="5">
        <v>43157</v>
      </c>
    </row>
    <row r="2532" spans="1:7" x14ac:dyDescent="0.4">
      <c r="A2532">
        <v>31</v>
      </c>
      <c r="B2532" t="s">
        <v>256</v>
      </c>
      <c r="C2532" s="10">
        <v>52.7</v>
      </c>
      <c r="D2532" s="10">
        <v>4.7</v>
      </c>
      <c r="E2532" s="16">
        <v>9.7899999999999991</v>
      </c>
      <c r="F2532">
        <v>717118</v>
      </c>
      <c r="G2532" s="5">
        <v>43157</v>
      </c>
    </row>
    <row r="2533" spans="1:7" x14ac:dyDescent="0.4">
      <c r="A2533">
        <v>32</v>
      </c>
      <c r="B2533" t="s">
        <v>1465</v>
      </c>
      <c r="C2533" s="10">
        <v>38</v>
      </c>
      <c r="D2533" s="10">
        <v>3.38</v>
      </c>
      <c r="E2533" s="16">
        <v>9.77</v>
      </c>
      <c r="F2533">
        <v>2861</v>
      </c>
      <c r="G2533" s="5">
        <v>43157</v>
      </c>
    </row>
    <row r="2534" spans="1:7" x14ac:dyDescent="0.4">
      <c r="A2534">
        <v>33</v>
      </c>
      <c r="B2534" t="s">
        <v>1145</v>
      </c>
      <c r="C2534" s="10">
        <v>3.67</v>
      </c>
      <c r="D2534" s="10">
        <v>0.32</v>
      </c>
      <c r="E2534" s="16">
        <v>9.5500000000000007</v>
      </c>
      <c r="F2534">
        <v>101765</v>
      </c>
      <c r="G2534" s="5">
        <v>43157</v>
      </c>
    </row>
    <row r="2535" spans="1:7" x14ac:dyDescent="0.4">
      <c r="A2535">
        <v>34</v>
      </c>
      <c r="B2535" t="s">
        <v>201</v>
      </c>
      <c r="C2535" s="10">
        <v>9.8000000000000007</v>
      </c>
      <c r="D2535" s="10">
        <v>0.85</v>
      </c>
      <c r="E2535" s="16">
        <v>9.5</v>
      </c>
      <c r="F2535">
        <v>16320</v>
      </c>
      <c r="G2535" s="5">
        <v>43157</v>
      </c>
    </row>
    <row r="2536" spans="1:7" x14ac:dyDescent="0.4">
      <c r="A2536">
        <v>35</v>
      </c>
      <c r="B2536" t="s">
        <v>1466</v>
      </c>
      <c r="C2536" s="10">
        <v>43.46</v>
      </c>
      <c r="D2536" s="10">
        <v>3.7</v>
      </c>
      <c r="E2536" s="16">
        <v>9.31</v>
      </c>
      <c r="F2536">
        <v>7824421</v>
      </c>
      <c r="G2536" s="5">
        <v>43157</v>
      </c>
    </row>
    <row r="2537" spans="1:7" x14ac:dyDescent="0.4">
      <c r="A2537">
        <v>36</v>
      </c>
      <c r="B2537" t="s">
        <v>78</v>
      </c>
      <c r="C2537" s="10">
        <v>4.25</v>
      </c>
      <c r="D2537" s="10">
        <v>0.36</v>
      </c>
      <c r="E2537" s="16">
        <v>9.25</v>
      </c>
      <c r="F2537">
        <v>1415611</v>
      </c>
      <c r="G2537" s="5">
        <v>43157</v>
      </c>
    </row>
    <row r="2538" spans="1:7" x14ac:dyDescent="0.4">
      <c r="A2538">
        <v>37</v>
      </c>
      <c r="B2538" t="s">
        <v>848</v>
      </c>
      <c r="C2538" s="10">
        <v>3.93</v>
      </c>
      <c r="D2538" s="10">
        <v>0.33</v>
      </c>
      <c r="E2538" s="16">
        <v>9.17</v>
      </c>
      <c r="F2538">
        <v>109688</v>
      </c>
      <c r="G2538" s="5">
        <v>43157</v>
      </c>
    </row>
    <row r="2539" spans="1:7" x14ac:dyDescent="0.4">
      <c r="A2539">
        <v>38</v>
      </c>
      <c r="B2539" t="s">
        <v>301</v>
      </c>
      <c r="C2539" s="10">
        <v>4.22</v>
      </c>
      <c r="D2539" s="10">
        <v>0.35</v>
      </c>
      <c r="E2539" s="16">
        <v>9.0299999999999994</v>
      </c>
      <c r="F2539">
        <v>429656</v>
      </c>
      <c r="G2539" s="5">
        <v>43157</v>
      </c>
    </row>
    <row r="2540" spans="1:7" x14ac:dyDescent="0.4">
      <c r="A2540">
        <v>39</v>
      </c>
      <c r="B2540" t="s">
        <v>162</v>
      </c>
      <c r="C2540" s="10">
        <v>4.0999999999999996</v>
      </c>
      <c r="D2540" s="10">
        <v>0.34</v>
      </c>
      <c r="E2540" s="16">
        <v>9.01</v>
      </c>
      <c r="F2540">
        <v>64144</v>
      </c>
      <c r="G2540" s="5">
        <v>43157</v>
      </c>
    </row>
    <row r="2541" spans="1:7" x14ac:dyDescent="0.4">
      <c r="A2541">
        <v>40</v>
      </c>
      <c r="B2541" t="s">
        <v>339</v>
      </c>
      <c r="C2541" s="10">
        <v>23.89</v>
      </c>
      <c r="D2541" s="10">
        <v>1.93</v>
      </c>
      <c r="E2541" s="16">
        <v>8.77</v>
      </c>
      <c r="F2541">
        <v>22602</v>
      </c>
      <c r="G2541" s="5">
        <v>43157</v>
      </c>
    </row>
    <row r="2542" spans="1:7" x14ac:dyDescent="0.4">
      <c r="A2542">
        <v>41</v>
      </c>
      <c r="B2542" t="s">
        <v>1191</v>
      </c>
      <c r="C2542" s="10">
        <v>59.84</v>
      </c>
      <c r="D2542" s="10">
        <v>4.82</v>
      </c>
      <c r="E2542" s="16">
        <v>8.76</v>
      </c>
      <c r="F2542">
        <v>1429972</v>
      </c>
      <c r="G2542" s="5">
        <v>43157</v>
      </c>
    </row>
    <row r="2543" spans="1:7" x14ac:dyDescent="0.4">
      <c r="A2543">
        <v>42</v>
      </c>
      <c r="B2543" t="s">
        <v>248</v>
      </c>
      <c r="C2543" s="10">
        <v>2.68</v>
      </c>
      <c r="D2543" s="10">
        <v>0.21</v>
      </c>
      <c r="E2543" s="16">
        <v>8.5</v>
      </c>
      <c r="F2543">
        <v>850081</v>
      </c>
      <c r="G2543" s="5">
        <v>43157</v>
      </c>
    </row>
    <row r="2544" spans="1:7" x14ac:dyDescent="0.4">
      <c r="A2544">
        <v>43</v>
      </c>
      <c r="B2544" t="s">
        <v>123</v>
      </c>
      <c r="C2544" s="10">
        <v>6.67</v>
      </c>
      <c r="D2544" s="10">
        <v>0.52</v>
      </c>
      <c r="E2544" s="16">
        <v>8.4600000000000009</v>
      </c>
      <c r="F2544">
        <v>243724</v>
      </c>
      <c r="G2544" s="5">
        <v>43157</v>
      </c>
    </row>
    <row r="2545" spans="1:7" x14ac:dyDescent="0.4">
      <c r="A2545">
        <v>44</v>
      </c>
      <c r="B2545" t="s">
        <v>1467</v>
      </c>
      <c r="C2545" s="10">
        <v>28.52</v>
      </c>
      <c r="D2545" s="10">
        <v>2.21</v>
      </c>
      <c r="E2545" s="16">
        <v>8.4</v>
      </c>
      <c r="F2545">
        <v>1514792</v>
      </c>
      <c r="G2545" s="5">
        <v>43157</v>
      </c>
    </row>
    <row r="2546" spans="1:7" x14ac:dyDescent="0.4">
      <c r="A2546">
        <v>45</v>
      </c>
      <c r="B2546" t="s">
        <v>730</v>
      </c>
      <c r="C2546" s="10">
        <v>3.1</v>
      </c>
      <c r="D2546" s="10">
        <v>0.24</v>
      </c>
      <c r="E2546" s="16">
        <v>8.39</v>
      </c>
      <c r="F2546">
        <v>2030175</v>
      </c>
      <c r="G2546" s="5">
        <v>43157</v>
      </c>
    </row>
    <row r="2547" spans="1:7" x14ac:dyDescent="0.4">
      <c r="A2547">
        <v>46</v>
      </c>
      <c r="B2547" t="s">
        <v>1468</v>
      </c>
      <c r="C2547" s="10">
        <v>8.4</v>
      </c>
      <c r="D2547" s="10">
        <v>0.65</v>
      </c>
      <c r="E2547" s="16">
        <v>8.39</v>
      </c>
      <c r="F2547">
        <v>558861</v>
      </c>
      <c r="G2547" s="5">
        <v>43157</v>
      </c>
    </row>
    <row r="2548" spans="1:7" x14ac:dyDescent="0.4">
      <c r="A2548">
        <v>47</v>
      </c>
      <c r="B2548" t="s">
        <v>1182</v>
      </c>
      <c r="C2548" s="10">
        <v>27.14</v>
      </c>
      <c r="D2548" s="10">
        <v>2.1</v>
      </c>
      <c r="E2548" s="16">
        <v>8.39</v>
      </c>
      <c r="F2548">
        <v>198381</v>
      </c>
      <c r="G2548" s="5">
        <v>43157</v>
      </c>
    </row>
    <row r="2549" spans="1:7" x14ac:dyDescent="0.4">
      <c r="A2549">
        <v>48</v>
      </c>
      <c r="B2549" t="s">
        <v>592</v>
      </c>
      <c r="C2549" s="10">
        <v>3.57</v>
      </c>
      <c r="D2549" s="10">
        <v>0.27</v>
      </c>
      <c r="E2549" s="16">
        <v>8.18</v>
      </c>
      <c r="F2549">
        <v>1550243</v>
      </c>
      <c r="G2549" s="5">
        <v>43157</v>
      </c>
    </row>
    <row r="2550" spans="1:7" x14ac:dyDescent="0.4">
      <c r="A2550">
        <v>49</v>
      </c>
      <c r="B2550" t="s">
        <v>1066</v>
      </c>
      <c r="C2550" s="10">
        <v>7.33</v>
      </c>
      <c r="D2550" s="10">
        <v>0.54</v>
      </c>
      <c r="E2550" s="16">
        <v>7.95</v>
      </c>
      <c r="F2550">
        <v>779949</v>
      </c>
      <c r="G2550" s="5">
        <v>43157</v>
      </c>
    </row>
    <row r="2551" spans="1:7" x14ac:dyDescent="0.4">
      <c r="A2551">
        <v>50</v>
      </c>
      <c r="B2551" t="s">
        <v>1469</v>
      </c>
      <c r="C2551" s="10">
        <v>23.35</v>
      </c>
      <c r="D2551" s="10">
        <v>1.71</v>
      </c>
      <c r="E2551" s="16">
        <v>7.9</v>
      </c>
      <c r="F2551">
        <v>1604301</v>
      </c>
      <c r="G2551" s="5">
        <v>43157</v>
      </c>
    </row>
    <row r="2552" spans="1:7" x14ac:dyDescent="0.4">
      <c r="A2552">
        <v>51</v>
      </c>
      <c r="B2552" t="s">
        <v>1341</v>
      </c>
      <c r="C2552" s="10">
        <v>3.04</v>
      </c>
      <c r="D2552" s="10">
        <v>0.22</v>
      </c>
      <c r="E2552" s="16">
        <v>7.8</v>
      </c>
      <c r="F2552">
        <v>128795</v>
      </c>
      <c r="G2552" s="5">
        <v>43157</v>
      </c>
    </row>
    <row r="2553" spans="1:7" x14ac:dyDescent="0.4">
      <c r="A2553">
        <v>52</v>
      </c>
      <c r="B2553" t="s">
        <v>247</v>
      </c>
      <c r="C2553" s="10">
        <v>61.1</v>
      </c>
      <c r="D2553" s="10">
        <v>4.3499999999999996</v>
      </c>
      <c r="E2553" s="16">
        <v>7.67</v>
      </c>
      <c r="F2553">
        <v>434904</v>
      </c>
      <c r="G2553" s="5">
        <v>43157</v>
      </c>
    </row>
    <row r="2554" spans="1:7" x14ac:dyDescent="0.4">
      <c r="A2554">
        <v>53</v>
      </c>
      <c r="B2554" t="s">
        <v>220</v>
      </c>
      <c r="C2554" s="10">
        <v>3.66</v>
      </c>
      <c r="D2554" s="10">
        <v>0.26</v>
      </c>
      <c r="E2554" s="16">
        <v>7.65</v>
      </c>
      <c r="F2554">
        <v>125121</v>
      </c>
      <c r="G2554" s="5">
        <v>43157</v>
      </c>
    </row>
    <row r="2555" spans="1:7" x14ac:dyDescent="0.4">
      <c r="A2555">
        <v>54</v>
      </c>
      <c r="B2555" t="s">
        <v>1470</v>
      </c>
      <c r="C2555" s="10">
        <v>3.27</v>
      </c>
      <c r="D2555" s="10">
        <v>0.23</v>
      </c>
      <c r="E2555" s="16">
        <v>7.57</v>
      </c>
      <c r="F2555">
        <v>5545015</v>
      </c>
      <c r="G2555" s="5">
        <v>43157</v>
      </c>
    </row>
    <row r="2556" spans="1:7" x14ac:dyDescent="0.4">
      <c r="A2556">
        <v>55</v>
      </c>
      <c r="B2556" t="s">
        <v>618</v>
      </c>
      <c r="C2556" s="10">
        <v>73.38</v>
      </c>
      <c r="D2556" s="10">
        <v>5.09</v>
      </c>
      <c r="E2556" s="16">
        <v>7.45</v>
      </c>
      <c r="F2556">
        <v>214873</v>
      </c>
      <c r="G2556" s="5">
        <v>43157</v>
      </c>
    </row>
    <row r="2557" spans="1:7" x14ac:dyDescent="0.4">
      <c r="A2557">
        <v>56</v>
      </c>
      <c r="B2557" t="s">
        <v>1471</v>
      </c>
      <c r="C2557" s="10">
        <v>74.05</v>
      </c>
      <c r="D2557" s="10">
        <v>5.0599999999999996</v>
      </c>
      <c r="E2557" s="16">
        <v>7.33</v>
      </c>
      <c r="F2557">
        <v>961253</v>
      </c>
      <c r="G2557" s="5">
        <v>43157</v>
      </c>
    </row>
    <row r="2558" spans="1:7" x14ac:dyDescent="0.4">
      <c r="A2558">
        <v>57</v>
      </c>
      <c r="B2558" t="s">
        <v>949</v>
      </c>
      <c r="C2558" s="10">
        <v>10.25</v>
      </c>
      <c r="D2558" s="10">
        <v>0.7</v>
      </c>
      <c r="E2558" s="16">
        <v>7.33</v>
      </c>
      <c r="F2558">
        <v>451374</v>
      </c>
      <c r="G2558" s="5">
        <v>43157</v>
      </c>
    </row>
    <row r="2559" spans="1:7" x14ac:dyDescent="0.4">
      <c r="A2559">
        <v>58</v>
      </c>
      <c r="B2559" t="s">
        <v>1472</v>
      </c>
      <c r="C2559" s="10">
        <v>20.7</v>
      </c>
      <c r="D2559" s="10">
        <v>1.4</v>
      </c>
      <c r="E2559" s="16">
        <v>7.25</v>
      </c>
      <c r="F2559">
        <v>1214474</v>
      </c>
      <c r="G2559" s="5">
        <v>43157</v>
      </c>
    </row>
    <row r="2560" spans="1:7" x14ac:dyDescent="0.4">
      <c r="A2560">
        <v>59</v>
      </c>
      <c r="B2560" t="s">
        <v>200</v>
      </c>
      <c r="C2560" s="10">
        <v>5.87</v>
      </c>
      <c r="D2560" s="10">
        <v>0.39</v>
      </c>
      <c r="E2560" s="16">
        <v>7.12</v>
      </c>
      <c r="F2560">
        <v>202524</v>
      </c>
      <c r="G2560" s="5">
        <v>43157</v>
      </c>
    </row>
    <row r="2561" spans="1:7" x14ac:dyDescent="0.4">
      <c r="A2561">
        <v>60</v>
      </c>
      <c r="B2561" t="s">
        <v>1097</v>
      </c>
      <c r="C2561" s="10">
        <v>4.5599999999999996</v>
      </c>
      <c r="D2561" s="10">
        <v>0.3</v>
      </c>
      <c r="E2561" s="16">
        <v>7.04</v>
      </c>
      <c r="F2561">
        <v>141677</v>
      </c>
      <c r="G2561" s="5">
        <v>43157</v>
      </c>
    </row>
    <row r="2562" spans="1:7" x14ac:dyDescent="0.4">
      <c r="A2562">
        <v>61</v>
      </c>
      <c r="B2562" t="s">
        <v>1473</v>
      </c>
      <c r="C2562" s="10">
        <v>16</v>
      </c>
      <c r="D2562" s="10">
        <v>1.05</v>
      </c>
      <c r="E2562" s="16">
        <v>7.02</v>
      </c>
      <c r="F2562">
        <v>20006</v>
      </c>
      <c r="G2562" s="5">
        <v>43157</v>
      </c>
    </row>
    <row r="2563" spans="1:7" x14ac:dyDescent="0.4">
      <c r="A2563">
        <v>62</v>
      </c>
      <c r="B2563" t="s">
        <v>213</v>
      </c>
      <c r="C2563" s="10">
        <v>5.36</v>
      </c>
      <c r="D2563" s="10">
        <v>0.35</v>
      </c>
      <c r="E2563" s="16">
        <v>6.99</v>
      </c>
      <c r="F2563">
        <v>81882</v>
      </c>
      <c r="G2563" s="5">
        <v>43157</v>
      </c>
    </row>
    <row r="2564" spans="1:7" x14ac:dyDescent="0.4">
      <c r="A2564">
        <v>63</v>
      </c>
      <c r="B2564" t="s">
        <v>532</v>
      </c>
      <c r="C2564" s="10">
        <v>33.51</v>
      </c>
      <c r="D2564" s="10">
        <v>2.17</v>
      </c>
      <c r="E2564" s="16">
        <v>6.92</v>
      </c>
      <c r="F2564">
        <v>533225</v>
      </c>
      <c r="G2564" s="5">
        <v>43157</v>
      </c>
    </row>
    <row r="2565" spans="1:7" x14ac:dyDescent="0.4">
      <c r="A2565">
        <v>64</v>
      </c>
      <c r="B2565" t="s">
        <v>1061</v>
      </c>
      <c r="C2565" s="10">
        <v>13.2</v>
      </c>
      <c r="D2565" s="10">
        <v>0.85</v>
      </c>
      <c r="E2565" s="16">
        <v>6.88</v>
      </c>
      <c r="F2565">
        <v>682101</v>
      </c>
      <c r="G2565" s="5">
        <v>43157</v>
      </c>
    </row>
    <row r="2566" spans="1:7" x14ac:dyDescent="0.4">
      <c r="A2566">
        <v>65</v>
      </c>
      <c r="B2566" t="s">
        <v>125</v>
      </c>
      <c r="C2566" s="10">
        <v>7.48</v>
      </c>
      <c r="D2566" s="10">
        <v>0.48</v>
      </c>
      <c r="E2566" s="16">
        <v>6.86</v>
      </c>
      <c r="F2566">
        <v>37938</v>
      </c>
      <c r="G2566" s="5">
        <v>43157</v>
      </c>
    </row>
    <row r="2567" spans="1:7" x14ac:dyDescent="0.4">
      <c r="A2567">
        <v>66</v>
      </c>
      <c r="B2567" t="s">
        <v>1474</v>
      </c>
      <c r="C2567" s="10">
        <v>14.67</v>
      </c>
      <c r="D2567" s="10">
        <v>0.94</v>
      </c>
      <c r="E2567" s="16">
        <v>6.85</v>
      </c>
      <c r="F2567">
        <v>1340248</v>
      </c>
      <c r="G2567" s="5">
        <v>43157</v>
      </c>
    </row>
    <row r="2568" spans="1:7" x14ac:dyDescent="0.4">
      <c r="A2568">
        <v>67</v>
      </c>
      <c r="B2568" t="s">
        <v>1475</v>
      </c>
      <c r="C2568" s="10">
        <v>2.19</v>
      </c>
      <c r="D2568" s="10">
        <v>0.14000000000000001</v>
      </c>
      <c r="E2568" s="16">
        <v>6.83</v>
      </c>
      <c r="F2568">
        <v>22782</v>
      </c>
      <c r="G2568" s="5">
        <v>43157</v>
      </c>
    </row>
    <row r="2569" spans="1:7" x14ac:dyDescent="0.4">
      <c r="A2569">
        <v>68</v>
      </c>
      <c r="B2569" t="s">
        <v>1476</v>
      </c>
      <c r="C2569" s="10">
        <v>133.51</v>
      </c>
      <c r="D2569" s="10">
        <v>8.51</v>
      </c>
      <c r="E2569" s="16">
        <v>6.81</v>
      </c>
      <c r="F2569">
        <v>2370922</v>
      </c>
      <c r="G2569" s="5">
        <v>43157</v>
      </c>
    </row>
    <row r="2570" spans="1:7" x14ac:dyDescent="0.4">
      <c r="A2570">
        <v>69</v>
      </c>
      <c r="B2570" t="s">
        <v>1346</v>
      </c>
      <c r="C2570" s="10">
        <v>7.89</v>
      </c>
      <c r="D2570" s="10">
        <v>0.5</v>
      </c>
      <c r="E2570" s="16">
        <v>6.77</v>
      </c>
      <c r="F2570">
        <v>1134930</v>
      </c>
      <c r="G2570" s="5">
        <v>43157</v>
      </c>
    </row>
    <row r="2571" spans="1:7" x14ac:dyDescent="0.4">
      <c r="A2571">
        <v>70</v>
      </c>
      <c r="B2571" t="s">
        <v>1477</v>
      </c>
      <c r="C2571" s="10">
        <v>67.7</v>
      </c>
      <c r="D2571" s="10">
        <v>4.25</v>
      </c>
      <c r="E2571" s="16">
        <v>6.7</v>
      </c>
      <c r="F2571">
        <v>195942</v>
      </c>
      <c r="G2571" s="5">
        <v>43157</v>
      </c>
    </row>
    <row r="2572" spans="1:7" x14ac:dyDescent="0.4">
      <c r="A2572">
        <v>71</v>
      </c>
      <c r="B2572" t="s">
        <v>161</v>
      </c>
      <c r="C2572" s="10">
        <v>4.53</v>
      </c>
      <c r="D2572" s="10">
        <v>0.28000000000000003</v>
      </c>
      <c r="E2572" s="16">
        <v>6.59</v>
      </c>
      <c r="F2572">
        <v>699597</v>
      </c>
      <c r="G2572" s="5">
        <v>43157</v>
      </c>
    </row>
    <row r="2573" spans="1:7" x14ac:dyDescent="0.4">
      <c r="A2573">
        <v>72</v>
      </c>
      <c r="B2573" t="s">
        <v>1449</v>
      </c>
      <c r="C2573" s="10">
        <v>56.75</v>
      </c>
      <c r="D2573" s="10">
        <v>3.5</v>
      </c>
      <c r="E2573" s="16">
        <v>6.57</v>
      </c>
      <c r="F2573">
        <v>1111040</v>
      </c>
      <c r="G2573" s="5">
        <v>43157</v>
      </c>
    </row>
    <row r="2574" spans="1:7" x14ac:dyDescent="0.4">
      <c r="A2574">
        <v>73</v>
      </c>
      <c r="B2574" t="s">
        <v>1478</v>
      </c>
      <c r="C2574" s="10">
        <v>9.75</v>
      </c>
      <c r="D2574" s="10">
        <v>0.6</v>
      </c>
      <c r="E2574" s="16">
        <v>6.56</v>
      </c>
      <c r="F2574">
        <v>407720</v>
      </c>
      <c r="G2574" s="5">
        <v>43157</v>
      </c>
    </row>
    <row r="2575" spans="1:7" x14ac:dyDescent="0.4">
      <c r="A2575">
        <v>74</v>
      </c>
      <c r="B2575" t="s">
        <v>1479</v>
      </c>
      <c r="C2575" s="10">
        <v>42.3</v>
      </c>
      <c r="D2575" s="10">
        <v>2.6</v>
      </c>
      <c r="E2575" s="16">
        <v>6.55</v>
      </c>
      <c r="F2575">
        <v>18366</v>
      </c>
      <c r="G2575" s="5">
        <v>43157</v>
      </c>
    </row>
    <row r="2576" spans="1:7" x14ac:dyDescent="0.4">
      <c r="A2576">
        <v>75</v>
      </c>
      <c r="B2576" t="s">
        <v>1480</v>
      </c>
      <c r="C2576" s="10">
        <v>6.09</v>
      </c>
      <c r="D2576" s="10">
        <v>0.37</v>
      </c>
      <c r="E2576" s="16">
        <v>6.47</v>
      </c>
      <c r="F2576">
        <v>2380585</v>
      </c>
      <c r="G2576" s="5">
        <v>43157</v>
      </c>
    </row>
    <row r="2577" spans="1:7" x14ac:dyDescent="0.4">
      <c r="A2577">
        <v>76</v>
      </c>
      <c r="B2577" t="s">
        <v>1481</v>
      </c>
      <c r="C2577" s="10">
        <v>246.78</v>
      </c>
      <c r="D2577" s="10">
        <v>14.81</v>
      </c>
      <c r="E2577" s="16">
        <v>6.38</v>
      </c>
      <c r="F2577">
        <v>539815</v>
      </c>
      <c r="G2577" s="5">
        <v>43157</v>
      </c>
    </row>
    <row r="2578" spans="1:7" x14ac:dyDescent="0.4">
      <c r="A2578">
        <v>77</v>
      </c>
      <c r="B2578" t="s">
        <v>742</v>
      </c>
      <c r="C2578" s="10">
        <v>175.32</v>
      </c>
      <c r="D2578" s="10">
        <v>10.49</v>
      </c>
      <c r="E2578" s="16">
        <v>6.36</v>
      </c>
      <c r="F2578">
        <v>571134</v>
      </c>
      <c r="G2578" s="5">
        <v>43157</v>
      </c>
    </row>
    <row r="2579" spans="1:7" x14ac:dyDescent="0.4">
      <c r="A2579">
        <v>78</v>
      </c>
      <c r="B2579" t="s">
        <v>1184</v>
      </c>
      <c r="C2579" s="10">
        <v>3.18</v>
      </c>
      <c r="D2579" s="10">
        <v>0.19</v>
      </c>
      <c r="E2579" s="16">
        <v>6.35</v>
      </c>
      <c r="F2579">
        <v>99119</v>
      </c>
      <c r="G2579" s="5">
        <v>43157</v>
      </c>
    </row>
    <row r="2580" spans="1:7" x14ac:dyDescent="0.4">
      <c r="A2580">
        <v>79</v>
      </c>
      <c r="B2580" t="s">
        <v>1482</v>
      </c>
      <c r="C2580" s="10">
        <v>3.88</v>
      </c>
      <c r="D2580" s="10">
        <v>0.23</v>
      </c>
      <c r="E2580" s="16">
        <v>6.3</v>
      </c>
      <c r="F2580">
        <v>345067</v>
      </c>
      <c r="G2580" s="5">
        <v>43157</v>
      </c>
    </row>
    <row r="2581" spans="1:7" x14ac:dyDescent="0.4">
      <c r="A2581">
        <v>80</v>
      </c>
      <c r="B2581" t="s">
        <v>1483</v>
      </c>
      <c r="C2581" s="10">
        <v>7.93</v>
      </c>
      <c r="D2581" s="10">
        <v>0.47</v>
      </c>
      <c r="E2581" s="16">
        <v>6.3</v>
      </c>
      <c r="F2581">
        <v>236685</v>
      </c>
      <c r="G2581" s="5">
        <v>43157</v>
      </c>
    </row>
    <row r="2582" spans="1:7" x14ac:dyDescent="0.4">
      <c r="A2582">
        <v>81</v>
      </c>
      <c r="B2582" t="s">
        <v>1048</v>
      </c>
      <c r="C2582" s="10">
        <v>13.55</v>
      </c>
      <c r="D2582" s="10">
        <v>0.8</v>
      </c>
      <c r="E2582" s="16">
        <v>6.27</v>
      </c>
      <c r="F2582">
        <v>632084</v>
      </c>
      <c r="G2582" s="5">
        <v>43157</v>
      </c>
    </row>
    <row r="2583" spans="1:7" x14ac:dyDescent="0.4">
      <c r="A2583">
        <v>82</v>
      </c>
      <c r="B2583" t="s">
        <v>172</v>
      </c>
      <c r="C2583" s="10">
        <v>18.36</v>
      </c>
      <c r="D2583" s="10">
        <v>1.08</v>
      </c>
      <c r="E2583" s="16">
        <v>6.25</v>
      </c>
      <c r="F2583">
        <v>28778</v>
      </c>
      <c r="G2583" s="5">
        <v>43157</v>
      </c>
    </row>
    <row r="2584" spans="1:7" x14ac:dyDescent="0.4">
      <c r="A2584">
        <v>83</v>
      </c>
      <c r="B2584" t="s">
        <v>1286</v>
      </c>
      <c r="C2584" s="10">
        <v>24.85</v>
      </c>
      <c r="D2584" s="10">
        <v>1.45</v>
      </c>
      <c r="E2584" s="16">
        <v>6.2</v>
      </c>
      <c r="F2584">
        <v>8256</v>
      </c>
      <c r="G2584" s="5">
        <v>43157</v>
      </c>
    </row>
    <row r="2585" spans="1:7" x14ac:dyDescent="0.4">
      <c r="A2585">
        <v>84</v>
      </c>
      <c r="B2585" t="s">
        <v>208</v>
      </c>
      <c r="C2585" s="10">
        <v>2.58</v>
      </c>
      <c r="D2585" s="10">
        <v>0.15</v>
      </c>
      <c r="E2585" s="16">
        <v>6.17</v>
      </c>
      <c r="F2585">
        <v>1056279</v>
      </c>
      <c r="G2585" s="5">
        <v>43157</v>
      </c>
    </row>
    <row r="2586" spans="1:7" x14ac:dyDescent="0.4">
      <c r="A2586">
        <v>85</v>
      </c>
      <c r="B2586" t="s">
        <v>511</v>
      </c>
      <c r="C2586" s="10">
        <v>7.6</v>
      </c>
      <c r="D2586" s="10">
        <v>0.44</v>
      </c>
      <c r="E2586" s="16">
        <v>6.15</v>
      </c>
      <c r="F2586">
        <v>2396636</v>
      </c>
      <c r="G2586" s="5">
        <v>43157</v>
      </c>
    </row>
    <row r="2587" spans="1:7" x14ac:dyDescent="0.4">
      <c r="A2587">
        <v>86</v>
      </c>
      <c r="B2587" t="s">
        <v>620</v>
      </c>
      <c r="C2587" s="10">
        <v>3.3</v>
      </c>
      <c r="D2587" s="10">
        <v>0.19</v>
      </c>
      <c r="E2587" s="16">
        <v>6.11</v>
      </c>
      <c r="F2587">
        <v>3625697</v>
      </c>
      <c r="G2587" s="5">
        <v>43157</v>
      </c>
    </row>
    <row r="2588" spans="1:7" x14ac:dyDescent="0.4">
      <c r="A2588">
        <v>87</v>
      </c>
      <c r="B2588" t="s">
        <v>1484</v>
      </c>
      <c r="C2588" s="10">
        <v>8.52</v>
      </c>
      <c r="D2588" s="10">
        <v>0.49</v>
      </c>
      <c r="E2588" s="16">
        <v>6.1</v>
      </c>
      <c r="F2588">
        <v>607979</v>
      </c>
      <c r="G2588" s="5">
        <v>43157</v>
      </c>
    </row>
    <row r="2589" spans="1:7" x14ac:dyDescent="0.4">
      <c r="A2589">
        <v>88</v>
      </c>
      <c r="B2589" t="s">
        <v>1485</v>
      </c>
      <c r="C2589" s="10">
        <v>8.75</v>
      </c>
      <c r="D2589" s="10">
        <v>0.5</v>
      </c>
      <c r="E2589" s="16">
        <v>6.06</v>
      </c>
      <c r="F2589">
        <v>111638</v>
      </c>
      <c r="G2589" s="5">
        <v>43157</v>
      </c>
    </row>
    <row r="2590" spans="1:7" x14ac:dyDescent="0.4">
      <c r="A2590">
        <v>89</v>
      </c>
      <c r="B2590" t="s">
        <v>1486</v>
      </c>
      <c r="C2590" s="10">
        <v>4.3</v>
      </c>
      <c r="D2590" s="10">
        <v>0.25</v>
      </c>
      <c r="E2590" s="16">
        <v>6.04</v>
      </c>
      <c r="F2590">
        <v>754685</v>
      </c>
      <c r="G2590" s="5">
        <v>43157</v>
      </c>
    </row>
    <row r="2591" spans="1:7" x14ac:dyDescent="0.4">
      <c r="A2591">
        <v>90</v>
      </c>
      <c r="B2591" t="s">
        <v>281</v>
      </c>
      <c r="C2591" s="10">
        <v>2.2000000000000002</v>
      </c>
      <c r="D2591" s="10">
        <v>0.13</v>
      </c>
      <c r="E2591" s="16">
        <v>6.02</v>
      </c>
      <c r="F2591">
        <v>99866</v>
      </c>
      <c r="G2591" s="5">
        <v>43157</v>
      </c>
    </row>
    <row r="2592" spans="1:7" x14ac:dyDescent="0.4">
      <c r="A2592">
        <v>91</v>
      </c>
      <c r="B2592" t="s">
        <v>905</v>
      </c>
      <c r="C2592" s="10">
        <v>33.82</v>
      </c>
      <c r="D2592" s="10">
        <v>1.92</v>
      </c>
      <c r="E2592" s="16">
        <v>6.02</v>
      </c>
      <c r="F2592">
        <v>110488</v>
      </c>
      <c r="G2592" s="5">
        <v>43157</v>
      </c>
    </row>
    <row r="2593" spans="1:7" x14ac:dyDescent="0.4">
      <c r="A2593">
        <v>92</v>
      </c>
      <c r="B2593" t="s">
        <v>740</v>
      </c>
      <c r="C2593" s="10">
        <v>2.29</v>
      </c>
      <c r="D2593" s="10">
        <v>0.13</v>
      </c>
      <c r="E2593" s="16">
        <v>6.02</v>
      </c>
      <c r="F2593">
        <v>160951</v>
      </c>
      <c r="G2593" s="5">
        <v>43157</v>
      </c>
    </row>
    <row r="2594" spans="1:7" x14ac:dyDescent="0.4">
      <c r="A2594">
        <v>93</v>
      </c>
      <c r="B2594" t="s">
        <v>663</v>
      </c>
      <c r="C2594" s="10">
        <v>3.88</v>
      </c>
      <c r="D2594" s="10">
        <v>0.22</v>
      </c>
      <c r="E2594" s="16">
        <v>6.01</v>
      </c>
      <c r="F2594">
        <v>206842</v>
      </c>
      <c r="G2594" s="5">
        <v>43157</v>
      </c>
    </row>
    <row r="2595" spans="1:7" x14ac:dyDescent="0.4">
      <c r="A2595">
        <v>94</v>
      </c>
      <c r="B2595" t="s">
        <v>1487</v>
      </c>
      <c r="C2595" s="10">
        <v>23.46</v>
      </c>
      <c r="D2595" s="10">
        <v>1.33</v>
      </c>
      <c r="E2595" s="16">
        <v>6.01</v>
      </c>
      <c r="F2595">
        <v>20813684</v>
      </c>
      <c r="G2595" s="5">
        <v>43157</v>
      </c>
    </row>
    <row r="2596" spans="1:7" x14ac:dyDescent="0.4">
      <c r="A2596">
        <v>95</v>
      </c>
      <c r="B2596" t="s">
        <v>414</v>
      </c>
      <c r="C2596" s="10">
        <v>44.15</v>
      </c>
      <c r="D2596" s="10">
        <v>2.5</v>
      </c>
      <c r="E2596" s="16">
        <v>6</v>
      </c>
      <c r="F2596">
        <v>1373135</v>
      </c>
      <c r="G2596" s="5">
        <v>43157</v>
      </c>
    </row>
    <row r="2597" spans="1:7" x14ac:dyDescent="0.4">
      <c r="A2597">
        <v>96</v>
      </c>
      <c r="B2597" t="s">
        <v>1488</v>
      </c>
      <c r="C2597" s="10">
        <v>13.68</v>
      </c>
      <c r="D2597" s="10">
        <v>0.77</v>
      </c>
      <c r="E2597" s="16">
        <v>5.96</v>
      </c>
      <c r="F2597">
        <v>117542</v>
      </c>
      <c r="G2597" s="5">
        <v>43157</v>
      </c>
    </row>
    <row r="2598" spans="1:7" x14ac:dyDescent="0.4">
      <c r="A2598">
        <v>97</v>
      </c>
      <c r="B2598" t="s">
        <v>27</v>
      </c>
      <c r="C2598" s="10">
        <v>2.85</v>
      </c>
      <c r="D2598" s="10">
        <v>0.16</v>
      </c>
      <c r="E2598" s="16">
        <v>5.95</v>
      </c>
      <c r="F2598">
        <v>11323</v>
      </c>
      <c r="G2598" s="5">
        <v>43157</v>
      </c>
    </row>
    <row r="2599" spans="1:7" x14ac:dyDescent="0.4">
      <c r="A2599">
        <v>98</v>
      </c>
      <c r="B2599" t="s">
        <v>1071</v>
      </c>
      <c r="C2599" s="10">
        <v>5.92</v>
      </c>
      <c r="D2599" s="10">
        <v>0.33</v>
      </c>
      <c r="E2599" s="16">
        <v>5.9</v>
      </c>
      <c r="F2599">
        <v>23682</v>
      </c>
      <c r="G2599" s="5">
        <v>43157</v>
      </c>
    </row>
    <row r="2600" spans="1:7" x14ac:dyDescent="0.4">
      <c r="A2600">
        <v>99</v>
      </c>
      <c r="B2600" t="s">
        <v>1489</v>
      </c>
      <c r="C2600" s="10">
        <v>15.3</v>
      </c>
      <c r="D2600" s="10">
        <v>0.85</v>
      </c>
      <c r="E2600" s="16">
        <v>5.88</v>
      </c>
      <c r="F2600">
        <v>2155499</v>
      </c>
      <c r="G2600" s="5">
        <v>43157</v>
      </c>
    </row>
    <row r="2601" spans="1:7" x14ac:dyDescent="0.4">
      <c r="A2601">
        <v>100</v>
      </c>
      <c r="B2601" t="s">
        <v>939</v>
      </c>
      <c r="C2601" s="10">
        <v>15.4</v>
      </c>
      <c r="D2601" s="10">
        <v>0.85</v>
      </c>
      <c r="E2601" s="16">
        <v>5.84</v>
      </c>
      <c r="F2601">
        <v>1434358</v>
      </c>
      <c r="G2601" s="5">
        <v>43157</v>
      </c>
    </row>
    <row r="2602" spans="1:7" x14ac:dyDescent="0.4">
      <c r="A2602">
        <v>1</v>
      </c>
      <c r="B2602" t="s">
        <v>865</v>
      </c>
      <c r="C2602" s="10">
        <v>25.8</v>
      </c>
      <c r="D2602" s="10">
        <v>7</v>
      </c>
      <c r="E2602" s="16">
        <v>37.229999999999997</v>
      </c>
      <c r="F2602">
        <v>852188</v>
      </c>
      <c r="G2602" s="5">
        <v>43154</v>
      </c>
    </row>
    <row r="2603" spans="1:7" x14ac:dyDescent="0.4">
      <c r="A2603">
        <v>2</v>
      </c>
      <c r="B2603" t="s">
        <v>970</v>
      </c>
      <c r="C2603" s="10">
        <v>3.35</v>
      </c>
      <c r="D2603" s="10">
        <v>0.8</v>
      </c>
      <c r="E2603" s="16">
        <v>31.37</v>
      </c>
      <c r="F2603">
        <v>5198317</v>
      </c>
      <c r="G2603" s="5">
        <v>43154</v>
      </c>
    </row>
    <row r="2604" spans="1:7" x14ac:dyDescent="0.4">
      <c r="A2604">
        <v>3</v>
      </c>
      <c r="B2604" t="s">
        <v>1490</v>
      </c>
      <c r="C2604" s="10">
        <v>38.299999999999997</v>
      </c>
      <c r="D2604" s="10">
        <v>8.35</v>
      </c>
      <c r="E2604" s="16">
        <v>27.88</v>
      </c>
      <c r="F2604">
        <v>1835185</v>
      </c>
      <c r="G2604" s="5">
        <v>43154</v>
      </c>
    </row>
    <row r="2605" spans="1:7" x14ac:dyDescent="0.4">
      <c r="A2605">
        <v>4</v>
      </c>
      <c r="B2605" t="s">
        <v>1491</v>
      </c>
      <c r="C2605" s="10">
        <v>59.94</v>
      </c>
      <c r="D2605" s="10">
        <v>11.54</v>
      </c>
      <c r="E2605" s="16">
        <v>23.84</v>
      </c>
      <c r="F2605">
        <v>6217353</v>
      </c>
      <c r="G2605" s="5">
        <v>43154</v>
      </c>
    </row>
    <row r="2606" spans="1:7" x14ac:dyDescent="0.4">
      <c r="A2606">
        <v>5</v>
      </c>
      <c r="B2606" t="s">
        <v>1492</v>
      </c>
      <c r="C2606" s="10">
        <v>54.25</v>
      </c>
      <c r="D2606" s="10">
        <v>10.4</v>
      </c>
      <c r="E2606" s="16">
        <v>23.72</v>
      </c>
      <c r="F2606">
        <v>337948</v>
      </c>
      <c r="G2606" s="5">
        <v>43154</v>
      </c>
    </row>
    <row r="2607" spans="1:7" x14ac:dyDescent="0.4">
      <c r="A2607">
        <v>6</v>
      </c>
      <c r="B2607" t="s">
        <v>1493</v>
      </c>
      <c r="C2607" s="10">
        <v>8.85</v>
      </c>
      <c r="D2607" s="10">
        <v>1.48</v>
      </c>
      <c r="E2607" s="16">
        <v>20.079999999999998</v>
      </c>
      <c r="F2607">
        <v>90474</v>
      </c>
      <c r="G2607" s="5">
        <v>43154</v>
      </c>
    </row>
    <row r="2608" spans="1:7" x14ac:dyDescent="0.4">
      <c r="A2608">
        <v>7</v>
      </c>
      <c r="B2608" t="s">
        <v>727</v>
      </c>
      <c r="C2608" s="10">
        <v>3.89</v>
      </c>
      <c r="D2608" s="10">
        <v>0.62</v>
      </c>
      <c r="E2608" s="16">
        <v>18.96</v>
      </c>
      <c r="F2608">
        <v>52916</v>
      </c>
      <c r="G2608" s="5">
        <v>43154</v>
      </c>
    </row>
    <row r="2609" spans="1:7" x14ac:dyDescent="0.4">
      <c r="A2609">
        <v>8</v>
      </c>
      <c r="B2609" t="s">
        <v>1494</v>
      </c>
      <c r="C2609" s="10">
        <v>14.15</v>
      </c>
      <c r="D2609" s="10">
        <v>2.2000000000000002</v>
      </c>
      <c r="E2609" s="16">
        <v>18.41</v>
      </c>
      <c r="F2609">
        <v>880632</v>
      </c>
      <c r="G2609" s="5">
        <v>43154</v>
      </c>
    </row>
    <row r="2610" spans="1:7" x14ac:dyDescent="0.4">
      <c r="A2610">
        <v>9</v>
      </c>
      <c r="B2610" t="s">
        <v>1276</v>
      </c>
      <c r="C2610" s="10">
        <v>3.9</v>
      </c>
      <c r="D2610" s="10">
        <v>0.57999999999999996</v>
      </c>
      <c r="E2610" s="16">
        <v>17.59</v>
      </c>
      <c r="F2610">
        <v>168920</v>
      </c>
      <c r="G2610" s="5">
        <v>43154</v>
      </c>
    </row>
    <row r="2611" spans="1:7" x14ac:dyDescent="0.4">
      <c r="A2611">
        <v>10</v>
      </c>
      <c r="B2611" t="s">
        <v>1495</v>
      </c>
      <c r="C2611" s="10">
        <v>40</v>
      </c>
      <c r="D2611" s="10">
        <v>5.88</v>
      </c>
      <c r="E2611" s="16">
        <v>17.23</v>
      </c>
      <c r="F2611">
        <v>29602305</v>
      </c>
      <c r="G2611" s="5">
        <v>43154</v>
      </c>
    </row>
    <row r="2612" spans="1:7" x14ac:dyDescent="0.4">
      <c r="A2612">
        <v>11</v>
      </c>
      <c r="B2612" t="s">
        <v>559</v>
      </c>
      <c r="C2612" s="10">
        <v>35.75</v>
      </c>
      <c r="D2612" s="10">
        <v>5.22</v>
      </c>
      <c r="E2612" s="16">
        <v>17.100000000000001</v>
      </c>
      <c r="F2612">
        <v>17843690</v>
      </c>
      <c r="G2612" s="5">
        <v>43154</v>
      </c>
    </row>
    <row r="2613" spans="1:7" x14ac:dyDescent="0.4">
      <c r="A2613">
        <v>12</v>
      </c>
      <c r="B2613" t="s">
        <v>1496</v>
      </c>
      <c r="C2613" s="10">
        <v>52.55</v>
      </c>
      <c r="D2613" s="10">
        <v>7.2</v>
      </c>
      <c r="E2613" s="16">
        <v>15.88</v>
      </c>
      <c r="F2613">
        <v>794671</v>
      </c>
      <c r="G2613" s="5">
        <v>43154</v>
      </c>
    </row>
    <row r="2614" spans="1:7" x14ac:dyDescent="0.4">
      <c r="A2614">
        <v>13</v>
      </c>
      <c r="B2614" t="s">
        <v>622</v>
      </c>
      <c r="C2614" s="10">
        <v>24.4</v>
      </c>
      <c r="D2614" s="10">
        <v>3.25</v>
      </c>
      <c r="E2614" s="16">
        <v>15.37</v>
      </c>
      <c r="F2614">
        <v>384806</v>
      </c>
      <c r="G2614" s="5">
        <v>43154</v>
      </c>
    </row>
    <row r="2615" spans="1:7" x14ac:dyDescent="0.4">
      <c r="A2615">
        <v>14</v>
      </c>
      <c r="B2615" t="s">
        <v>173</v>
      </c>
      <c r="C2615" s="10">
        <v>6</v>
      </c>
      <c r="D2615" s="10">
        <v>0.74</v>
      </c>
      <c r="E2615" s="16">
        <v>14.03</v>
      </c>
      <c r="F2615">
        <v>1815956</v>
      </c>
      <c r="G2615" s="5">
        <v>43154</v>
      </c>
    </row>
    <row r="2616" spans="1:7" x14ac:dyDescent="0.4">
      <c r="A2616">
        <v>15</v>
      </c>
      <c r="B2616" t="s">
        <v>1112</v>
      </c>
      <c r="C2616" s="10">
        <v>9.1</v>
      </c>
      <c r="D2616" s="10">
        <v>1.04</v>
      </c>
      <c r="E2616" s="16">
        <v>12.9</v>
      </c>
      <c r="F2616">
        <v>2825922</v>
      </c>
      <c r="G2616" s="5">
        <v>43154</v>
      </c>
    </row>
    <row r="2617" spans="1:7" x14ac:dyDescent="0.4">
      <c r="A2617">
        <v>16</v>
      </c>
      <c r="B2617" t="s">
        <v>1497</v>
      </c>
      <c r="C2617" s="10">
        <v>43.65</v>
      </c>
      <c r="D2617" s="10">
        <v>4.95</v>
      </c>
      <c r="E2617" s="16">
        <v>12.79</v>
      </c>
      <c r="F2617">
        <v>1574342</v>
      </c>
      <c r="G2617" s="5">
        <v>43154</v>
      </c>
    </row>
    <row r="2618" spans="1:7" x14ac:dyDescent="0.4">
      <c r="A2618">
        <v>17</v>
      </c>
      <c r="B2618" t="s">
        <v>399</v>
      </c>
      <c r="C2618" s="10">
        <v>5.3</v>
      </c>
      <c r="D2618" s="10">
        <v>0.6</v>
      </c>
      <c r="E2618" s="16">
        <v>12.77</v>
      </c>
      <c r="F2618">
        <v>144968</v>
      </c>
      <c r="G2618" s="5">
        <v>43154</v>
      </c>
    </row>
    <row r="2619" spans="1:7" x14ac:dyDescent="0.4">
      <c r="A2619">
        <v>18</v>
      </c>
      <c r="B2619" t="s">
        <v>743</v>
      </c>
      <c r="C2619" s="10">
        <v>22.44</v>
      </c>
      <c r="D2619" s="10">
        <v>2.5099999999999998</v>
      </c>
      <c r="E2619" s="16">
        <v>12.59</v>
      </c>
      <c r="F2619">
        <v>3544627</v>
      </c>
      <c r="G2619" s="5">
        <v>43154</v>
      </c>
    </row>
    <row r="2620" spans="1:7" x14ac:dyDescent="0.4">
      <c r="A2620">
        <v>19</v>
      </c>
      <c r="B2620" t="s">
        <v>1498</v>
      </c>
      <c r="C2620" s="10">
        <v>7.84</v>
      </c>
      <c r="D2620" s="10">
        <v>0.86</v>
      </c>
      <c r="E2620" s="16">
        <v>12.32</v>
      </c>
      <c r="F2620">
        <v>3441861</v>
      </c>
      <c r="G2620" s="5">
        <v>43154</v>
      </c>
    </row>
    <row r="2621" spans="1:7" x14ac:dyDescent="0.4">
      <c r="A2621">
        <v>20</v>
      </c>
      <c r="B2621" t="s">
        <v>1499</v>
      </c>
      <c r="C2621" s="10">
        <v>36.78</v>
      </c>
      <c r="D2621" s="10">
        <v>3.99</v>
      </c>
      <c r="E2621" s="16">
        <v>12.17</v>
      </c>
      <c r="F2621">
        <v>6143122</v>
      </c>
      <c r="G2621" s="5">
        <v>43154</v>
      </c>
    </row>
    <row r="2622" spans="1:7" x14ac:dyDescent="0.4">
      <c r="A2622">
        <v>21</v>
      </c>
      <c r="B2622" t="s">
        <v>1500</v>
      </c>
      <c r="C2622" s="10">
        <v>15.04</v>
      </c>
      <c r="D2622" s="10">
        <v>1.59</v>
      </c>
      <c r="E2622" s="16">
        <v>11.82</v>
      </c>
      <c r="F2622">
        <v>575029</v>
      </c>
      <c r="G2622" s="5">
        <v>43154</v>
      </c>
    </row>
    <row r="2623" spans="1:7" x14ac:dyDescent="0.4">
      <c r="A2623">
        <v>22</v>
      </c>
      <c r="B2623" t="s">
        <v>1501</v>
      </c>
      <c r="C2623" s="10">
        <v>10.15</v>
      </c>
      <c r="D2623" s="10">
        <v>1.05</v>
      </c>
      <c r="E2623" s="16">
        <v>11.54</v>
      </c>
      <c r="F2623">
        <v>2000745</v>
      </c>
      <c r="G2623" s="5">
        <v>43154</v>
      </c>
    </row>
    <row r="2624" spans="1:7" x14ac:dyDescent="0.4">
      <c r="A2624">
        <v>23</v>
      </c>
      <c r="B2624" t="s">
        <v>1502</v>
      </c>
      <c r="C2624" s="10">
        <v>28.75</v>
      </c>
      <c r="D2624" s="10">
        <v>2.89</v>
      </c>
      <c r="E2624" s="16">
        <v>11.18</v>
      </c>
      <c r="F2624">
        <v>522527</v>
      </c>
      <c r="G2624" s="5">
        <v>43154</v>
      </c>
    </row>
    <row r="2625" spans="1:7" x14ac:dyDescent="0.4">
      <c r="A2625">
        <v>24</v>
      </c>
      <c r="B2625" t="s">
        <v>1179</v>
      </c>
      <c r="C2625" s="10">
        <v>11.76</v>
      </c>
      <c r="D2625" s="10">
        <v>1.18</v>
      </c>
      <c r="E2625" s="16">
        <v>11.15</v>
      </c>
      <c r="F2625">
        <v>1054878</v>
      </c>
      <c r="G2625" s="5">
        <v>43154</v>
      </c>
    </row>
    <row r="2626" spans="1:7" x14ac:dyDescent="0.4">
      <c r="A2626">
        <v>25</v>
      </c>
      <c r="B2626" t="s">
        <v>1503</v>
      </c>
      <c r="C2626" s="10">
        <v>36.409999999999997</v>
      </c>
      <c r="D2626" s="10">
        <v>3.65</v>
      </c>
      <c r="E2626" s="16">
        <v>11.14</v>
      </c>
      <c r="F2626">
        <v>384490</v>
      </c>
      <c r="G2626" s="5">
        <v>43154</v>
      </c>
    </row>
    <row r="2627" spans="1:7" x14ac:dyDescent="0.4">
      <c r="A2627">
        <v>26</v>
      </c>
      <c r="B2627" t="s">
        <v>635</v>
      </c>
      <c r="C2627" s="10">
        <v>10</v>
      </c>
      <c r="D2627" s="10">
        <v>1</v>
      </c>
      <c r="E2627" s="16">
        <v>11.11</v>
      </c>
      <c r="F2627">
        <v>1625067</v>
      </c>
      <c r="G2627" s="5">
        <v>43154</v>
      </c>
    </row>
    <row r="2628" spans="1:7" x14ac:dyDescent="0.4">
      <c r="A2628">
        <v>27</v>
      </c>
      <c r="B2628" t="s">
        <v>438</v>
      </c>
      <c r="C2628" s="10">
        <v>10.15</v>
      </c>
      <c r="D2628" s="10">
        <v>1</v>
      </c>
      <c r="E2628" s="16">
        <v>10.93</v>
      </c>
      <c r="F2628">
        <v>176310</v>
      </c>
      <c r="G2628" s="5">
        <v>43154</v>
      </c>
    </row>
    <row r="2629" spans="1:7" x14ac:dyDescent="0.4">
      <c r="A2629">
        <v>28</v>
      </c>
      <c r="B2629" t="s">
        <v>1504</v>
      </c>
      <c r="C2629" s="10">
        <v>61.48</v>
      </c>
      <c r="D2629" s="10">
        <v>6.05</v>
      </c>
      <c r="E2629" s="16">
        <v>10.91</v>
      </c>
      <c r="F2629">
        <v>4061721</v>
      </c>
      <c r="G2629" s="5">
        <v>43154</v>
      </c>
    </row>
    <row r="2630" spans="1:7" x14ac:dyDescent="0.4">
      <c r="A2630">
        <v>29</v>
      </c>
      <c r="B2630" t="s">
        <v>1505</v>
      </c>
      <c r="C2630" s="10">
        <v>27.74</v>
      </c>
      <c r="D2630" s="10">
        <v>2.71</v>
      </c>
      <c r="E2630" s="16">
        <v>10.83</v>
      </c>
      <c r="F2630">
        <v>1196830</v>
      </c>
      <c r="G2630" s="5">
        <v>43154</v>
      </c>
    </row>
    <row r="2631" spans="1:7" x14ac:dyDescent="0.4">
      <c r="A2631">
        <v>30</v>
      </c>
      <c r="B2631" t="s">
        <v>1506</v>
      </c>
      <c r="C2631" s="10">
        <v>18.14</v>
      </c>
      <c r="D2631" s="10">
        <v>1.73</v>
      </c>
      <c r="E2631" s="16">
        <v>10.54</v>
      </c>
      <c r="F2631">
        <v>43940871</v>
      </c>
      <c r="G2631" s="5">
        <v>43154</v>
      </c>
    </row>
    <row r="2632" spans="1:7" x14ac:dyDescent="0.4">
      <c r="A2632">
        <v>31</v>
      </c>
      <c r="B2632" t="s">
        <v>1507</v>
      </c>
      <c r="C2632" s="10">
        <v>42.82</v>
      </c>
      <c r="D2632" s="10">
        <v>4.0199999999999996</v>
      </c>
      <c r="E2632" s="16">
        <v>10.36</v>
      </c>
      <c r="F2632">
        <v>322105</v>
      </c>
      <c r="G2632" s="5">
        <v>43154</v>
      </c>
    </row>
    <row r="2633" spans="1:7" x14ac:dyDescent="0.4">
      <c r="A2633">
        <v>32</v>
      </c>
      <c r="B2633" t="s">
        <v>1344</v>
      </c>
      <c r="C2633" s="10">
        <v>7.62</v>
      </c>
      <c r="D2633" s="10">
        <v>0.7</v>
      </c>
      <c r="E2633" s="16">
        <v>10.119999999999999</v>
      </c>
      <c r="F2633">
        <v>330023</v>
      </c>
      <c r="G2633" s="5">
        <v>43154</v>
      </c>
    </row>
    <row r="2634" spans="1:7" x14ac:dyDescent="0.4">
      <c r="A2634">
        <v>33</v>
      </c>
      <c r="B2634" t="s">
        <v>1508</v>
      </c>
      <c r="C2634" s="10">
        <v>22.49</v>
      </c>
      <c r="D2634" s="10">
        <v>2.0299999999999998</v>
      </c>
      <c r="E2634" s="16">
        <v>9.92</v>
      </c>
      <c r="F2634">
        <v>1485820</v>
      </c>
      <c r="G2634" s="5">
        <v>43154</v>
      </c>
    </row>
    <row r="2635" spans="1:7" x14ac:dyDescent="0.4">
      <c r="A2635">
        <v>34</v>
      </c>
      <c r="B2635" t="s">
        <v>935</v>
      </c>
      <c r="C2635" s="10">
        <v>2.94</v>
      </c>
      <c r="D2635" s="10">
        <v>0.26</v>
      </c>
      <c r="E2635" s="16">
        <v>9.6999999999999993</v>
      </c>
      <c r="F2635">
        <v>540754</v>
      </c>
      <c r="G2635" s="5">
        <v>43154</v>
      </c>
    </row>
    <row r="2636" spans="1:7" x14ac:dyDescent="0.4">
      <c r="A2636">
        <v>35</v>
      </c>
      <c r="B2636" t="s">
        <v>136</v>
      </c>
      <c r="C2636" s="10">
        <v>24.11</v>
      </c>
      <c r="D2636" s="10">
        <v>2.1</v>
      </c>
      <c r="E2636" s="16">
        <v>9.5399999999999991</v>
      </c>
      <c r="F2636">
        <v>211760</v>
      </c>
      <c r="G2636" s="5">
        <v>43154</v>
      </c>
    </row>
    <row r="2637" spans="1:7" x14ac:dyDescent="0.4">
      <c r="A2637">
        <v>36</v>
      </c>
      <c r="B2637" t="s">
        <v>1509</v>
      </c>
      <c r="C2637" s="10">
        <v>11.05</v>
      </c>
      <c r="D2637" s="10">
        <v>0.96</v>
      </c>
      <c r="E2637" s="16">
        <v>9.51</v>
      </c>
      <c r="F2637">
        <v>247057</v>
      </c>
      <c r="G2637" s="5">
        <v>43154</v>
      </c>
    </row>
    <row r="2638" spans="1:7" x14ac:dyDescent="0.4">
      <c r="A2638">
        <v>37</v>
      </c>
      <c r="B2638" t="s">
        <v>1389</v>
      </c>
      <c r="C2638" s="10">
        <v>34.700000000000003</v>
      </c>
      <c r="D2638" s="10">
        <v>3</v>
      </c>
      <c r="E2638" s="16">
        <v>9.4600000000000009</v>
      </c>
      <c r="F2638">
        <v>3585384</v>
      </c>
      <c r="G2638" s="5">
        <v>43154</v>
      </c>
    </row>
    <row r="2639" spans="1:7" x14ac:dyDescent="0.4">
      <c r="A2639">
        <v>38</v>
      </c>
      <c r="B2639" t="s">
        <v>1510</v>
      </c>
      <c r="C2639" s="10">
        <v>3.59</v>
      </c>
      <c r="D2639" s="10">
        <v>0.31</v>
      </c>
      <c r="E2639" s="16">
        <v>9.4499999999999993</v>
      </c>
      <c r="F2639">
        <v>140092</v>
      </c>
      <c r="G2639" s="5">
        <v>43154</v>
      </c>
    </row>
    <row r="2640" spans="1:7" x14ac:dyDescent="0.4">
      <c r="A2640">
        <v>39</v>
      </c>
      <c r="B2640" t="s">
        <v>1341</v>
      </c>
      <c r="C2640" s="10">
        <v>2.82</v>
      </c>
      <c r="D2640" s="10">
        <v>0.24</v>
      </c>
      <c r="E2640" s="16">
        <v>9.31</v>
      </c>
      <c r="F2640">
        <v>151307</v>
      </c>
      <c r="G2640" s="5">
        <v>43154</v>
      </c>
    </row>
    <row r="2641" spans="1:7" x14ac:dyDescent="0.4">
      <c r="A2641">
        <v>40</v>
      </c>
      <c r="B2641" t="s">
        <v>1511</v>
      </c>
      <c r="C2641" s="10">
        <v>5.0599999999999996</v>
      </c>
      <c r="D2641" s="10">
        <v>0.43</v>
      </c>
      <c r="E2641" s="16">
        <v>9.2899999999999991</v>
      </c>
      <c r="F2641">
        <v>488908</v>
      </c>
      <c r="G2641" s="5">
        <v>43154</v>
      </c>
    </row>
    <row r="2642" spans="1:7" x14ac:dyDescent="0.4">
      <c r="A2642">
        <v>41</v>
      </c>
      <c r="B2642" t="s">
        <v>138</v>
      </c>
      <c r="C2642" s="10">
        <v>8.17</v>
      </c>
      <c r="D2642" s="10">
        <v>0.69</v>
      </c>
      <c r="E2642" s="16">
        <v>9.2200000000000006</v>
      </c>
      <c r="F2642">
        <v>96966</v>
      </c>
      <c r="G2642" s="5">
        <v>43154</v>
      </c>
    </row>
    <row r="2643" spans="1:7" x14ac:dyDescent="0.4">
      <c r="A2643">
        <v>42</v>
      </c>
      <c r="B2643" t="s">
        <v>1512</v>
      </c>
      <c r="C2643" s="10">
        <v>41.05</v>
      </c>
      <c r="D2643" s="10">
        <v>3.44</v>
      </c>
      <c r="E2643" s="16">
        <v>9.15</v>
      </c>
      <c r="F2643">
        <v>10999</v>
      </c>
      <c r="G2643" s="5">
        <v>43154</v>
      </c>
    </row>
    <row r="2644" spans="1:7" x14ac:dyDescent="0.4">
      <c r="A2644">
        <v>43</v>
      </c>
      <c r="B2644" t="s">
        <v>1208</v>
      </c>
      <c r="C2644" s="10">
        <v>4.42</v>
      </c>
      <c r="D2644" s="10">
        <v>0.37</v>
      </c>
      <c r="E2644" s="16">
        <v>9.14</v>
      </c>
      <c r="F2644">
        <v>12137954</v>
      </c>
      <c r="G2644" s="5">
        <v>43154</v>
      </c>
    </row>
    <row r="2645" spans="1:7" x14ac:dyDescent="0.4">
      <c r="A2645">
        <v>44</v>
      </c>
      <c r="B2645" t="s">
        <v>1513</v>
      </c>
      <c r="C2645" s="10">
        <v>41.5</v>
      </c>
      <c r="D2645" s="10">
        <v>3.45</v>
      </c>
      <c r="E2645" s="16">
        <v>9.07</v>
      </c>
      <c r="F2645">
        <v>1581434</v>
      </c>
      <c r="G2645" s="5">
        <v>43154</v>
      </c>
    </row>
    <row r="2646" spans="1:7" x14ac:dyDescent="0.4">
      <c r="A2646">
        <v>45</v>
      </c>
      <c r="B2646" t="s">
        <v>586</v>
      </c>
      <c r="C2646" s="10">
        <v>7.79</v>
      </c>
      <c r="D2646" s="10">
        <v>0.65</v>
      </c>
      <c r="E2646" s="16">
        <v>9.0299999999999994</v>
      </c>
      <c r="F2646">
        <v>885657</v>
      </c>
      <c r="G2646" s="5">
        <v>43154</v>
      </c>
    </row>
    <row r="2647" spans="1:7" x14ac:dyDescent="0.4">
      <c r="A2647">
        <v>46</v>
      </c>
      <c r="B2647" t="s">
        <v>592</v>
      </c>
      <c r="C2647" s="10">
        <v>3.3</v>
      </c>
      <c r="D2647" s="10">
        <v>0.27</v>
      </c>
      <c r="E2647" s="16">
        <v>8.91</v>
      </c>
      <c r="F2647">
        <v>841833</v>
      </c>
      <c r="G2647" s="5">
        <v>43154</v>
      </c>
    </row>
    <row r="2648" spans="1:7" x14ac:dyDescent="0.4">
      <c r="A2648">
        <v>47</v>
      </c>
      <c r="B2648" t="s">
        <v>1514</v>
      </c>
      <c r="C2648" s="10">
        <v>12.95</v>
      </c>
      <c r="D2648" s="10">
        <v>1.05</v>
      </c>
      <c r="E2648" s="16">
        <v>8.82</v>
      </c>
      <c r="F2648">
        <v>436823</v>
      </c>
      <c r="G2648" s="5">
        <v>43154</v>
      </c>
    </row>
    <row r="2649" spans="1:7" x14ac:dyDescent="0.4">
      <c r="A2649">
        <v>48</v>
      </c>
      <c r="B2649" t="s">
        <v>195</v>
      </c>
      <c r="C2649" s="10">
        <v>7.92</v>
      </c>
      <c r="D2649" s="10">
        <v>0.64</v>
      </c>
      <c r="E2649" s="16">
        <v>8.82</v>
      </c>
      <c r="F2649">
        <v>2726</v>
      </c>
      <c r="G2649" s="5">
        <v>43154</v>
      </c>
    </row>
    <row r="2650" spans="1:7" x14ac:dyDescent="0.4">
      <c r="A2650">
        <v>49</v>
      </c>
      <c r="B2650" t="s">
        <v>916</v>
      </c>
      <c r="C2650" s="10">
        <v>4.4000000000000004</v>
      </c>
      <c r="D2650" s="10">
        <v>0.35</v>
      </c>
      <c r="E2650" s="16">
        <v>8.7200000000000006</v>
      </c>
      <c r="F2650">
        <v>518720</v>
      </c>
      <c r="G2650" s="5">
        <v>43154</v>
      </c>
    </row>
    <row r="2651" spans="1:7" x14ac:dyDescent="0.4">
      <c r="A2651">
        <v>50</v>
      </c>
      <c r="B2651" t="s">
        <v>1515</v>
      </c>
      <c r="C2651" s="10">
        <v>54.85</v>
      </c>
      <c r="D2651" s="10">
        <v>4.4000000000000004</v>
      </c>
      <c r="E2651" s="16">
        <v>8.7200000000000006</v>
      </c>
      <c r="F2651">
        <v>256791</v>
      </c>
      <c r="G2651" s="5">
        <v>43154</v>
      </c>
    </row>
    <row r="2652" spans="1:7" x14ac:dyDescent="0.4">
      <c r="A2652">
        <v>51</v>
      </c>
      <c r="B2652" t="s">
        <v>38</v>
      </c>
      <c r="C2652" s="10">
        <v>36.49</v>
      </c>
      <c r="D2652" s="10">
        <v>2.89</v>
      </c>
      <c r="E2652" s="16">
        <v>8.6</v>
      </c>
      <c r="F2652">
        <v>172535</v>
      </c>
      <c r="G2652" s="5">
        <v>43154</v>
      </c>
    </row>
    <row r="2653" spans="1:7" x14ac:dyDescent="0.4">
      <c r="A2653">
        <v>52</v>
      </c>
      <c r="B2653" t="s">
        <v>120</v>
      </c>
      <c r="C2653" s="10">
        <v>9.6999999999999993</v>
      </c>
      <c r="D2653" s="10">
        <v>0.76</v>
      </c>
      <c r="E2653" s="16">
        <v>8.5399999999999991</v>
      </c>
      <c r="F2653">
        <v>8161</v>
      </c>
      <c r="G2653" s="5">
        <v>43154</v>
      </c>
    </row>
    <row r="2654" spans="1:7" x14ac:dyDescent="0.4">
      <c r="A2654">
        <v>53</v>
      </c>
      <c r="B2654" t="s">
        <v>1516</v>
      </c>
      <c r="C2654" s="10">
        <v>50.29</v>
      </c>
      <c r="D2654" s="10">
        <v>3.94</v>
      </c>
      <c r="E2654" s="16">
        <v>8.5</v>
      </c>
      <c r="F2654">
        <v>883044</v>
      </c>
      <c r="G2654" s="5">
        <v>43154</v>
      </c>
    </row>
    <row r="2655" spans="1:7" x14ac:dyDescent="0.4">
      <c r="A2655">
        <v>54</v>
      </c>
      <c r="B2655" t="s">
        <v>340</v>
      </c>
      <c r="C2655" s="10">
        <v>4.3499999999999996</v>
      </c>
      <c r="D2655" s="10">
        <v>0.34</v>
      </c>
      <c r="E2655" s="16">
        <v>8.48</v>
      </c>
      <c r="F2655">
        <v>22395</v>
      </c>
      <c r="G2655" s="5">
        <v>43154</v>
      </c>
    </row>
    <row r="2656" spans="1:7" x14ac:dyDescent="0.4">
      <c r="A2656">
        <v>55</v>
      </c>
      <c r="B2656" t="s">
        <v>617</v>
      </c>
      <c r="C2656" s="10">
        <v>4.37</v>
      </c>
      <c r="D2656" s="10">
        <v>0.34</v>
      </c>
      <c r="E2656" s="16">
        <v>8.44</v>
      </c>
      <c r="F2656">
        <v>127225</v>
      </c>
      <c r="G2656" s="5">
        <v>43154</v>
      </c>
    </row>
    <row r="2657" spans="1:7" x14ac:dyDescent="0.4">
      <c r="A2657">
        <v>56</v>
      </c>
      <c r="B2657" t="s">
        <v>522</v>
      </c>
      <c r="C2657" s="10">
        <v>9.1</v>
      </c>
      <c r="D2657" s="10">
        <v>0.7</v>
      </c>
      <c r="E2657" s="16">
        <v>8.33</v>
      </c>
      <c r="F2657">
        <v>2294560</v>
      </c>
      <c r="G2657" s="5">
        <v>43154</v>
      </c>
    </row>
    <row r="2658" spans="1:7" x14ac:dyDescent="0.4">
      <c r="A2658">
        <v>57</v>
      </c>
      <c r="B2658" t="s">
        <v>576</v>
      </c>
      <c r="C2658" s="10">
        <v>18.600000000000001</v>
      </c>
      <c r="D2658" s="10">
        <v>1.43</v>
      </c>
      <c r="E2658" s="16">
        <v>8.33</v>
      </c>
      <c r="F2658">
        <v>241190</v>
      </c>
      <c r="G2658" s="5">
        <v>43154</v>
      </c>
    </row>
    <row r="2659" spans="1:7" x14ac:dyDescent="0.4">
      <c r="A2659">
        <v>58</v>
      </c>
      <c r="B2659" t="s">
        <v>564</v>
      </c>
      <c r="C2659" s="10">
        <v>23.19</v>
      </c>
      <c r="D2659" s="10">
        <v>1.78</v>
      </c>
      <c r="E2659" s="16">
        <v>8.31</v>
      </c>
      <c r="F2659">
        <v>1153544</v>
      </c>
      <c r="G2659" s="5">
        <v>43154</v>
      </c>
    </row>
    <row r="2660" spans="1:7" x14ac:dyDescent="0.4">
      <c r="A2660">
        <v>59</v>
      </c>
      <c r="B2660" t="s">
        <v>1267</v>
      </c>
      <c r="C2660" s="10">
        <v>11.35</v>
      </c>
      <c r="D2660" s="10">
        <v>0.87</v>
      </c>
      <c r="E2660" s="16">
        <v>8.3000000000000007</v>
      </c>
      <c r="F2660">
        <v>5596618</v>
      </c>
      <c r="G2660" s="5">
        <v>43154</v>
      </c>
    </row>
    <row r="2661" spans="1:7" x14ac:dyDescent="0.4">
      <c r="A2661">
        <v>60</v>
      </c>
      <c r="B2661" t="s">
        <v>317</v>
      </c>
      <c r="C2661" s="10">
        <v>15</v>
      </c>
      <c r="D2661" s="10">
        <v>1.1399999999999999</v>
      </c>
      <c r="E2661" s="16">
        <v>8.1999999999999993</v>
      </c>
      <c r="F2661">
        <v>15063</v>
      </c>
      <c r="G2661" s="5">
        <v>43154</v>
      </c>
    </row>
    <row r="2662" spans="1:7" x14ac:dyDescent="0.4">
      <c r="A2662">
        <v>61</v>
      </c>
      <c r="B2662" t="s">
        <v>1288</v>
      </c>
      <c r="C2662" s="10">
        <v>2.66</v>
      </c>
      <c r="D2662" s="10">
        <v>0.2</v>
      </c>
      <c r="E2662" s="16">
        <v>8.1300000000000008</v>
      </c>
      <c r="F2662">
        <v>416914</v>
      </c>
      <c r="G2662" s="5">
        <v>43154</v>
      </c>
    </row>
    <row r="2663" spans="1:7" x14ac:dyDescent="0.4">
      <c r="A2663">
        <v>62</v>
      </c>
      <c r="B2663" t="s">
        <v>812</v>
      </c>
      <c r="C2663" s="10">
        <v>9.35</v>
      </c>
      <c r="D2663" s="10">
        <v>0.7</v>
      </c>
      <c r="E2663" s="16">
        <v>8.09</v>
      </c>
      <c r="F2663">
        <v>51564</v>
      </c>
      <c r="G2663" s="5">
        <v>43154</v>
      </c>
    </row>
    <row r="2664" spans="1:7" x14ac:dyDescent="0.4">
      <c r="A2664">
        <v>63</v>
      </c>
      <c r="B2664" t="s">
        <v>828</v>
      </c>
      <c r="C2664" s="10">
        <v>23.41</v>
      </c>
      <c r="D2664" s="10">
        <v>1.74</v>
      </c>
      <c r="E2664" s="16">
        <v>8.0500000000000007</v>
      </c>
      <c r="F2664">
        <v>20885</v>
      </c>
      <c r="G2664" s="5">
        <v>43154</v>
      </c>
    </row>
    <row r="2665" spans="1:7" x14ac:dyDescent="0.4">
      <c r="A2665">
        <v>64</v>
      </c>
      <c r="B2665" t="s">
        <v>1143</v>
      </c>
      <c r="C2665" s="10">
        <v>16.850000000000001</v>
      </c>
      <c r="D2665" s="10">
        <v>1.25</v>
      </c>
      <c r="E2665" s="16">
        <v>8.01</v>
      </c>
      <c r="F2665">
        <v>108720</v>
      </c>
      <c r="G2665" s="5">
        <v>43154</v>
      </c>
    </row>
    <row r="2666" spans="1:7" x14ac:dyDescent="0.4">
      <c r="A2666">
        <v>65</v>
      </c>
      <c r="B2666" t="s">
        <v>1517</v>
      </c>
      <c r="C2666" s="10">
        <v>30.4</v>
      </c>
      <c r="D2666" s="10">
        <v>2.2400000000000002</v>
      </c>
      <c r="E2666" s="16">
        <v>7.95</v>
      </c>
      <c r="F2666">
        <v>1182921</v>
      </c>
      <c r="G2666" s="5">
        <v>43154</v>
      </c>
    </row>
    <row r="2667" spans="1:7" x14ac:dyDescent="0.4">
      <c r="A2667">
        <v>66</v>
      </c>
      <c r="B2667" t="s">
        <v>283</v>
      </c>
      <c r="C2667" s="10">
        <v>5.38</v>
      </c>
      <c r="D2667" s="10">
        <v>0.39</v>
      </c>
      <c r="E2667" s="16">
        <v>7.9</v>
      </c>
      <c r="F2667">
        <v>69778</v>
      </c>
      <c r="G2667" s="5">
        <v>43154</v>
      </c>
    </row>
    <row r="2668" spans="1:7" x14ac:dyDescent="0.4">
      <c r="A2668">
        <v>67</v>
      </c>
      <c r="B2668" t="s">
        <v>1518</v>
      </c>
      <c r="C2668" s="10">
        <v>13.18</v>
      </c>
      <c r="D2668" s="10">
        <v>0.96</v>
      </c>
      <c r="E2668" s="16">
        <v>7.86</v>
      </c>
      <c r="F2668">
        <v>14354566</v>
      </c>
      <c r="G2668" s="5">
        <v>43154</v>
      </c>
    </row>
    <row r="2669" spans="1:7" x14ac:dyDescent="0.4">
      <c r="A2669">
        <v>68</v>
      </c>
      <c r="B2669" t="s">
        <v>1321</v>
      </c>
      <c r="C2669" s="10">
        <v>5.6</v>
      </c>
      <c r="D2669" s="10">
        <v>0.4</v>
      </c>
      <c r="E2669" s="16">
        <v>7.69</v>
      </c>
      <c r="F2669">
        <v>9940</v>
      </c>
      <c r="G2669" s="5">
        <v>43154</v>
      </c>
    </row>
    <row r="2670" spans="1:7" x14ac:dyDescent="0.4">
      <c r="A2670">
        <v>69</v>
      </c>
      <c r="B2670" t="s">
        <v>1519</v>
      </c>
      <c r="C2670" s="10">
        <v>75.7</v>
      </c>
      <c r="D2670" s="10">
        <v>5.4</v>
      </c>
      <c r="E2670" s="16">
        <v>7.68</v>
      </c>
      <c r="F2670">
        <v>498061</v>
      </c>
      <c r="G2670" s="5">
        <v>43154</v>
      </c>
    </row>
    <row r="2671" spans="1:7" x14ac:dyDescent="0.4">
      <c r="A2671">
        <v>70</v>
      </c>
      <c r="B2671" t="s">
        <v>1520</v>
      </c>
      <c r="C2671" s="10">
        <v>14.75</v>
      </c>
      <c r="D2671" s="10">
        <v>1.05</v>
      </c>
      <c r="E2671" s="16">
        <v>7.66</v>
      </c>
      <c r="F2671">
        <v>91521</v>
      </c>
      <c r="G2671" s="5">
        <v>43154</v>
      </c>
    </row>
    <row r="2672" spans="1:7" x14ac:dyDescent="0.4">
      <c r="A2672">
        <v>71</v>
      </c>
      <c r="B2672" t="s">
        <v>866</v>
      </c>
      <c r="C2672" s="10">
        <v>6.82</v>
      </c>
      <c r="D2672" s="10">
        <v>0.48</v>
      </c>
      <c r="E2672" s="16">
        <v>7.57</v>
      </c>
      <c r="F2672">
        <v>4816415</v>
      </c>
      <c r="G2672" s="5">
        <v>43154</v>
      </c>
    </row>
    <row r="2673" spans="1:7" x14ac:dyDescent="0.4">
      <c r="A2673">
        <v>72</v>
      </c>
      <c r="B2673" t="s">
        <v>525</v>
      </c>
      <c r="C2673" s="10">
        <v>2.85</v>
      </c>
      <c r="D2673" s="10">
        <v>0.2</v>
      </c>
      <c r="E2673" s="16">
        <v>7.55</v>
      </c>
      <c r="F2673">
        <v>7542</v>
      </c>
      <c r="G2673" s="5">
        <v>43154</v>
      </c>
    </row>
    <row r="2674" spans="1:7" x14ac:dyDescent="0.4">
      <c r="A2674">
        <v>73</v>
      </c>
      <c r="B2674" t="s">
        <v>706</v>
      </c>
      <c r="C2674" s="10">
        <v>29.56</v>
      </c>
      <c r="D2674" s="10">
        <v>2.06</v>
      </c>
      <c r="E2674" s="16">
        <v>7.49</v>
      </c>
      <c r="F2674">
        <v>178133</v>
      </c>
      <c r="G2674" s="5">
        <v>43154</v>
      </c>
    </row>
    <row r="2675" spans="1:7" x14ac:dyDescent="0.4">
      <c r="A2675">
        <v>74</v>
      </c>
      <c r="B2675" t="s">
        <v>1521</v>
      </c>
      <c r="C2675" s="10">
        <v>3.23</v>
      </c>
      <c r="D2675" s="10">
        <v>0.22</v>
      </c>
      <c r="E2675" s="16">
        <v>7.31</v>
      </c>
      <c r="F2675">
        <v>438879</v>
      </c>
      <c r="G2675" s="5">
        <v>43154</v>
      </c>
    </row>
    <row r="2676" spans="1:7" x14ac:dyDescent="0.4">
      <c r="A2676">
        <v>75</v>
      </c>
      <c r="B2676" t="s">
        <v>1522</v>
      </c>
      <c r="C2676" s="10">
        <v>27.9</v>
      </c>
      <c r="D2676" s="10">
        <v>1.9</v>
      </c>
      <c r="E2676" s="16">
        <v>7.31</v>
      </c>
      <c r="F2676">
        <v>418554</v>
      </c>
      <c r="G2676" s="5">
        <v>43154</v>
      </c>
    </row>
    <row r="2677" spans="1:7" x14ac:dyDescent="0.4">
      <c r="A2677">
        <v>76</v>
      </c>
      <c r="B2677" t="s">
        <v>754</v>
      </c>
      <c r="C2677" s="10">
        <v>92.82</v>
      </c>
      <c r="D2677" s="10">
        <v>6.32</v>
      </c>
      <c r="E2677" s="16">
        <v>7.31</v>
      </c>
      <c r="F2677">
        <v>74915</v>
      </c>
      <c r="G2677" s="5">
        <v>43154</v>
      </c>
    </row>
    <row r="2678" spans="1:7" x14ac:dyDescent="0.4">
      <c r="A2678">
        <v>77</v>
      </c>
      <c r="B2678" t="s">
        <v>1523</v>
      </c>
      <c r="C2678" s="10">
        <v>17.100000000000001</v>
      </c>
      <c r="D2678" s="10">
        <v>1.1499999999999999</v>
      </c>
      <c r="E2678" s="16">
        <v>7.21</v>
      </c>
      <c r="F2678">
        <v>102878</v>
      </c>
      <c r="G2678" s="5">
        <v>43154</v>
      </c>
    </row>
    <row r="2679" spans="1:7" x14ac:dyDescent="0.4">
      <c r="A2679">
        <v>78</v>
      </c>
      <c r="B2679" t="s">
        <v>1001</v>
      </c>
      <c r="C2679" s="10">
        <v>4.51</v>
      </c>
      <c r="D2679" s="10">
        <v>0.3</v>
      </c>
      <c r="E2679" s="16">
        <v>7.13</v>
      </c>
      <c r="F2679">
        <v>340078</v>
      </c>
      <c r="G2679" s="5">
        <v>43154</v>
      </c>
    </row>
    <row r="2680" spans="1:7" x14ac:dyDescent="0.4">
      <c r="A2680">
        <v>79</v>
      </c>
      <c r="B2680" t="s">
        <v>1132</v>
      </c>
      <c r="C2680" s="10">
        <v>16.59</v>
      </c>
      <c r="D2680" s="10">
        <v>1.1000000000000001</v>
      </c>
      <c r="E2680" s="16">
        <v>7.1</v>
      </c>
      <c r="F2680">
        <v>42276</v>
      </c>
      <c r="G2680" s="5">
        <v>43154</v>
      </c>
    </row>
    <row r="2681" spans="1:7" x14ac:dyDescent="0.4">
      <c r="A2681">
        <v>80</v>
      </c>
      <c r="B2681" t="s">
        <v>215</v>
      </c>
      <c r="C2681" s="10">
        <v>16.329999999999998</v>
      </c>
      <c r="D2681" s="10">
        <v>1.08</v>
      </c>
      <c r="E2681" s="16">
        <v>7.08</v>
      </c>
      <c r="F2681">
        <v>73212</v>
      </c>
      <c r="G2681" s="5">
        <v>43154</v>
      </c>
    </row>
    <row r="2682" spans="1:7" x14ac:dyDescent="0.4">
      <c r="A2682">
        <v>81</v>
      </c>
      <c r="B2682" t="s">
        <v>1090</v>
      </c>
      <c r="C2682" s="10">
        <v>25.75</v>
      </c>
      <c r="D2682" s="10">
        <v>1.69</v>
      </c>
      <c r="E2682" s="16">
        <v>7.02</v>
      </c>
      <c r="F2682">
        <v>1368954</v>
      </c>
      <c r="G2682" s="5">
        <v>43154</v>
      </c>
    </row>
    <row r="2683" spans="1:7" x14ac:dyDescent="0.4">
      <c r="A2683">
        <v>82</v>
      </c>
      <c r="B2683" t="s">
        <v>1524</v>
      </c>
      <c r="C2683" s="10">
        <v>18.82</v>
      </c>
      <c r="D2683" s="10">
        <v>1.23</v>
      </c>
      <c r="E2683" s="16">
        <v>6.99</v>
      </c>
      <c r="F2683">
        <v>107275</v>
      </c>
      <c r="G2683" s="5">
        <v>43154</v>
      </c>
    </row>
    <row r="2684" spans="1:7" x14ac:dyDescent="0.4">
      <c r="A2684">
        <v>83</v>
      </c>
      <c r="B2684" t="s">
        <v>1270</v>
      </c>
      <c r="C2684" s="10">
        <v>3.74</v>
      </c>
      <c r="D2684" s="10">
        <v>0.24</v>
      </c>
      <c r="E2684" s="16">
        <v>6.85</v>
      </c>
      <c r="F2684">
        <v>50241</v>
      </c>
      <c r="G2684" s="5">
        <v>43154</v>
      </c>
    </row>
    <row r="2685" spans="1:7" x14ac:dyDescent="0.4">
      <c r="A2685">
        <v>84</v>
      </c>
      <c r="B2685" t="s">
        <v>1525</v>
      </c>
      <c r="C2685" s="10">
        <v>24.18</v>
      </c>
      <c r="D2685" s="10">
        <v>1.55</v>
      </c>
      <c r="E2685" s="16">
        <v>6.85</v>
      </c>
      <c r="F2685">
        <v>255262</v>
      </c>
      <c r="G2685" s="5">
        <v>43154</v>
      </c>
    </row>
    <row r="2686" spans="1:7" x14ac:dyDescent="0.4">
      <c r="A2686">
        <v>85</v>
      </c>
      <c r="B2686" t="s">
        <v>1004</v>
      </c>
      <c r="C2686" s="10">
        <v>2.35</v>
      </c>
      <c r="D2686" s="10">
        <v>0.15</v>
      </c>
      <c r="E2686" s="16">
        <v>6.82</v>
      </c>
      <c r="F2686">
        <v>1080460</v>
      </c>
      <c r="G2686" s="5">
        <v>43154</v>
      </c>
    </row>
    <row r="2687" spans="1:7" x14ac:dyDescent="0.4">
      <c r="A2687">
        <v>86</v>
      </c>
      <c r="B2687" t="s">
        <v>1526</v>
      </c>
      <c r="C2687" s="10">
        <v>7.47</v>
      </c>
      <c r="D2687" s="10">
        <v>0.48</v>
      </c>
      <c r="E2687" s="16">
        <v>6.79</v>
      </c>
      <c r="F2687">
        <v>819016</v>
      </c>
      <c r="G2687" s="5">
        <v>43154</v>
      </c>
    </row>
    <row r="2688" spans="1:7" x14ac:dyDescent="0.4">
      <c r="A2688">
        <v>87</v>
      </c>
      <c r="B2688" t="s">
        <v>1421</v>
      </c>
      <c r="C2688" s="10">
        <v>23.85</v>
      </c>
      <c r="D2688" s="10">
        <v>1.51</v>
      </c>
      <c r="E2688" s="16">
        <v>6.76</v>
      </c>
      <c r="F2688">
        <v>705128</v>
      </c>
      <c r="G2688" s="5">
        <v>43154</v>
      </c>
    </row>
    <row r="2689" spans="1:7" x14ac:dyDescent="0.4">
      <c r="A2689">
        <v>88</v>
      </c>
      <c r="B2689" t="s">
        <v>1527</v>
      </c>
      <c r="C2689" s="10">
        <v>19.75</v>
      </c>
      <c r="D2689" s="10">
        <v>1.25</v>
      </c>
      <c r="E2689" s="16">
        <v>6.76</v>
      </c>
      <c r="F2689">
        <v>364869</v>
      </c>
      <c r="G2689" s="5">
        <v>43154</v>
      </c>
    </row>
    <row r="2690" spans="1:7" x14ac:dyDescent="0.4">
      <c r="A2690">
        <v>89</v>
      </c>
      <c r="B2690" t="s">
        <v>140</v>
      </c>
      <c r="C2690" s="10">
        <v>5.55</v>
      </c>
      <c r="D2690" s="10">
        <v>0.35</v>
      </c>
      <c r="E2690" s="16">
        <v>6.73</v>
      </c>
      <c r="F2690">
        <v>121220</v>
      </c>
      <c r="G2690" s="5">
        <v>43154</v>
      </c>
    </row>
    <row r="2691" spans="1:7" x14ac:dyDescent="0.4">
      <c r="A2691">
        <v>90</v>
      </c>
      <c r="B2691" t="s">
        <v>607</v>
      </c>
      <c r="C2691" s="10">
        <v>29.16</v>
      </c>
      <c r="D2691" s="10">
        <v>1.83</v>
      </c>
      <c r="E2691" s="16">
        <v>6.7</v>
      </c>
      <c r="F2691">
        <v>2480178</v>
      </c>
      <c r="G2691" s="5">
        <v>43154</v>
      </c>
    </row>
    <row r="2692" spans="1:7" x14ac:dyDescent="0.4">
      <c r="A2692">
        <v>91</v>
      </c>
      <c r="B2692" t="s">
        <v>40</v>
      </c>
      <c r="C2692" s="10">
        <v>3.73</v>
      </c>
      <c r="D2692" s="10">
        <v>0.23</v>
      </c>
      <c r="E2692" s="16">
        <v>6.65</v>
      </c>
      <c r="F2692">
        <v>3390</v>
      </c>
      <c r="G2692" s="5">
        <v>43154</v>
      </c>
    </row>
    <row r="2693" spans="1:7" x14ac:dyDescent="0.4">
      <c r="A2693">
        <v>92</v>
      </c>
      <c r="B2693" t="s">
        <v>1528</v>
      </c>
      <c r="C2693" s="10">
        <v>42.36</v>
      </c>
      <c r="D2693" s="10">
        <v>2.63</v>
      </c>
      <c r="E2693" s="16">
        <v>6.62</v>
      </c>
      <c r="F2693">
        <v>484278</v>
      </c>
      <c r="G2693" s="5">
        <v>43154</v>
      </c>
    </row>
    <row r="2694" spans="1:7" x14ac:dyDescent="0.4">
      <c r="A2694">
        <v>93</v>
      </c>
      <c r="B2694" t="s">
        <v>1529</v>
      </c>
      <c r="C2694" s="10">
        <v>18.600000000000001</v>
      </c>
      <c r="D2694" s="10">
        <v>1.1499999999999999</v>
      </c>
      <c r="E2694" s="16">
        <v>6.59</v>
      </c>
      <c r="F2694">
        <v>559200</v>
      </c>
      <c r="G2694" s="5">
        <v>43154</v>
      </c>
    </row>
    <row r="2695" spans="1:7" x14ac:dyDescent="0.4">
      <c r="A2695">
        <v>94</v>
      </c>
      <c r="B2695" t="s">
        <v>859</v>
      </c>
      <c r="C2695" s="10">
        <v>33.1</v>
      </c>
      <c r="D2695" s="10">
        <v>2.04</v>
      </c>
      <c r="E2695" s="16">
        <v>6.57</v>
      </c>
      <c r="F2695">
        <v>427838</v>
      </c>
      <c r="G2695" s="5">
        <v>43154</v>
      </c>
    </row>
    <row r="2696" spans="1:7" x14ac:dyDescent="0.4">
      <c r="A2696">
        <v>95</v>
      </c>
      <c r="B2696" t="s">
        <v>1530</v>
      </c>
      <c r="C2696" s="10">
        <v>53.56</v>
      </c>
      <c r="D2696" s="10">
        <v>3.29</v>
      </c>
      <c r="E2696" s="16">
        <v>6.54</v>
      </c>
      <c r="F2696">
        <v>7081701</v>
      </c>
      <c r="G2696" s="5">
        <v>43154</v>
      </c>
    </row>
    <row r="2697" spans="1:7" x14ac:dyDescent="0.4">
      <c r="A2697">
        <v>96</v>
      </c>
      <c r="B2697" t="s">
        <v>742</v>
      </c>
      <c r="C2697" s="10">
        <v>164.83</v>
      </c>
      <c r="D2697" s="10">
        <v>10.050000000000001</v>
      </c>
      <c r="E2697" s="16">
        <v>6.49</v>
      </c>
      <c r="F2697">
        <v>543752</v>
      </c>
      <c r="G2697" s="5">
        <v>43154</v>
      </c>
    </row>
    <row r="2698" spans="1:7" x14ac:dyDescent="0.4">
      <c r="A2698">
        <v>97</v>
      </c>
      <c r="B2698" t="s">
        <v>747</v>
      </c>
      <c r="C2698" s="10">
        <v>57.9</v>
      </c>
      <c r="D2698" s="10">
        <v>3.52</v>
      </c>
      <c r="E2698" s="16">
        <v>6.47</v>
      </c>
      <c r="F2698">
        <v>26568</v>
      </c>
      <c r="G2698" s="5">
        <v>43154</v>
      </c>
    </row>
    <row r="2699" spans="1:7" x14ac:dyDescent="0.4">
      <c r="A2699">
        <v>98</v>
      </c>
      <c r="B2699" t="s">
        <v>272</v>
      </c>
      <c r="C2699" s="10">
        <v>6.6</v>
      </c>
      <c r="D2699" s="10">
        <v>0.4</v>
      </c>
      <c r="E2699" s="16">
        <v>6.45</v>
      </c>
      <c r="F2699">
        <v>544655</v>
      </c>
      <c r="G2699" s="5">
        <v>43154</v>
      </c>
    </row>
    <row r="2700" spans="1:7" x14ac:dyDescent="0.4">
      <c r="A2700">
        <v>99</v>
      </c>
      <c r="B2700" t="s">
        <v>1326</v>
      </c>
      <c r="C2700" s="10">
        <v>15.22</v>
      </c>
      <c r="D2700" s="10">
        <v>0.92</v>
      </c>
      <c r="E2700" s="16">
        <v>6.43</v>
      </c>
      <c r="F2700">
        <v>9827</v>
      </c>
      <c r="G2700" s="5">
        <v>43154</v>
      </c>
    </row>
    <row r="2701" spans="1:7" x14ac:dyDescent="0.4">
      <c r="A2701">
        <v>100</v>
      </c>
      <c r="B2701" t="s">
        <v>1531</v>
      </c>
      <c r="C2701" s="10">
        <v>9.44</v>
      </c>
      <c r="D2701" s="10">
        <v>0.56999999999999995</v>
      </c>
      <c r="E2701" s="16">
        <v>6.43</v>
      </c>
      <c r="F2701">
        <v>1341843</v>
      </c>
      <c r="G2701" s="5">
        <v>43154</v>
      </c>
    </row>
    <row r="2702" spans="1:7" x14ac:dyDescent="0.4">
      <c r="A2702">
        <v>1</v>
      </c>
      <c r="B2702" t="s">
        <v>587</v>
      </c>
      <c r="C2702" s="10">
        <v>28.26</v>
      </c>
      <c r="D2702" s="10">
        <v>5.69</v>
      </c>
      <c r="E2702" s="16">
        <v>25.21</v>
      </c>
      <c r="F2702">
        <v>16223113</v>
      </c>
      <c r="G2702" s="5">
        <v>43153</v>
      </c>
    </row>
    <row r="2703" spans="1:7" x14ac:dyDescent="0.4">
      <c r="A2703">
        <v>2</v>
      </c>
      <c r="B2703" t="s">
        <v>1532</v>
      </c>
      <c r="C2703" s="10">
        <v>3.2</v>
      </c>
      <c r="D2703" s="10">
        <v>0.56999999999999995</v>
      </c>
      <c r="E2703" s="16">
        <v>21.67</v>
      </c>
      <c r="F2703">
        <v>129915943</v>
      </c>
      <c r="G2703" s="5">
        <v>43153</v>
      </c>
    </row>
    <row r="2704" spans="1:7" x14ac:dyDescent="0.4">
      <c r="A2704">
        <v>3</v>
      </c>
      <c r="B2704" t="s">
        <v>561</v>
      </c>
      <c r="C2704" s="10">
        <v>19.600000000000001</v>
      </c>
      <c r="D2704" s="10">
        <v>2.85</v>
      </c>
      <c r="E2704" s="16">
        <v>17.010000000000002</v>
      </c>
      <c r="F2704">
        <v>1334889</v>
      </c>
      <c r="G2704" s="5">
        <v>43153</v>
      </c>
    </row>
    <row r="2705" spans="1:7" x14ac:dyDescent="0.4">
      <c r="A2705">
        <v>4</v>
      </c>
      <c r="B2705" t="s">
        <v>585</v>
      </c>
      <c r="C2705" s="10">
        <v>2.42</v>
      </c>
      <c r="D2705" s="10">
        <v>0.34</v>
      </c>
      <c r="E2705" s="16">
        <v>16.350000000000001</v>
      </c>
      <c r="F2705">
        <v>10299936</v>
      </c>
      <c r="G2705" s="5">
        <v>43153</v>
      </c>
    </row>
    <row r="2706" spans="1:7" x14ac:dyDescent="0.4">
      <c r="A2706">
        <v>5</v>
      </c>
      <c r="B2706" t="s">
        <v>1533</v>
      </c>
      <c r="C2706" s="10">
        <v>20.56</v>
      </c>
      <c r="D2706" s="10">
        <v>2.79</v>
      </c>
      <c r="E2706" s="16">
        <v>15.7</v>
      </c>
      <c r="F2706">
        <v>9314147</v>
      </c>
      <c r="G2706" s="5">
        <v>43153</v>
      </c>
    </row>
    <row r="2707" spans="1:7" x14ac:dyDescent="0.4">
      <c r="A2707">
        <v>6</v>
      </c>
      <c r="B2707" t="s">
        <v>1534</v>
      </c>
      <c r="C2707" s="10">
        <v>63.75</v>
      </c>
      <c r="D2707" s="10">
        <v>8.5</v>
      </c>
      <c r="E2707" s="16">
        <v>15.38</v>
      </c>
      <c r="F2707">
        <v>956599</v>
      </c>
      <c r="G2707" s="5">
        <v>43153</v>
      </c>
    </row>
    <row r="2708" spans="1:7" x14ac:dyDescent="0.4">
      <c r="A2708">
        <v>7</v>
      </c>
      <c r="B2708" t="s">
        <v>1535</v>
      </c>
      <c r="C2708" s="10">
        <v>13.71</v>
      </c>
      <c r="D2708" s="10">
        <v>1.8</v>
      </c>
      <c r="E2708" s="16">
        <v>15.11</v>
      </c>
      <c r="F2708">
        <v>761708</v>
      </c>
      <c r="G2708" s="5">
        <v>43153</v>
      </c>
    </row>
    <row r="2709" spans="1:7" x14ac:dyDescent="0.4">
      <c r="A2709">
        <v>8</v>
      </c>
      <c r="B2709" t="s">
        <v>136</v>
      </c>
      <c r="C2709" s="10">
        <v>22.01</v>
      </c>
      <c r="D2709" s="10">
        <v>2.79</v>
      </c>
      <c r="E2709" s="16">
        <v>14.52</v>
      </c>
      <c r="F2709">
        <v>244951</v>
      </c>
      <c r="G2709" s="5">
        <v>43153</v>
      </c>
    </row>
    <row r="2710" spans="1:7" x14ac:dyDescent="0.4">
      <c r="A2710">
        <v>9</v>
      </c>
      <c r="B2710" t="s">
        <v>1536</v>
      </c>
      <c r="C2710" s="10">
        <v>25.4</v>
      </c>
      <c r="D2710" s="10">
        <v>3.2</v>
      </c>
      <c r="E2710" s="16">
        <v>14.41</v>
      </c>
      <c r="F2710">
        <v>13025591</v>
      </c>
      <c r="G2710" s="5">
        <v>43153</v>
      </c>
    </row>
    <row r="2711" spans="1:7" x14ac:dyDescent="0.4">
      <c r="A2711">
        <v>10</v>
      </c>
      <c r="B2711" t="s">
        <v>1537</v>
      </c>
      <c r="C2711" s="10">
        <v>33.75</v>
      </c>
      <c r="D2711" s="10">
        <v>4.2300000000000004</v>
      </c>
      <c r="E2711" s="16">
        <v>14.33</v>
      </c>
      <c r="F2711">
        <v>2007084</v>
      </c>
      <c r="G2711" s="5">
        <v>43153</v>
      </c>
    </row>
    <row r="2712" spans="1:7" x14ac:dyDescent="0.4">
      <c r="A2712">
        <v>11</v>
      </c>
      <c r="B2712" t="s">
        <v>1538</v>
      </c>
      <c r="C2712" s="10">
        <v>9.6</v>
      </c>
      <c r="D2712" s="10">
        <v>1.19</v>
      </c>
      <c r="E2712" s="16">
        <v>14.15</v>
      </c>
      <c r="F2712">
        <v>10351598</v>
      </c>
      <c r="G2712" s="5">
        <v>43153</v>
      </c>
    </row>
    <row r="2713" spans="1:7" x14ac:dyDescent="0.4">
      <c r="A2713">
        <v>12</v>
      </c>
      <c r="B2713" t="s">
        <v>600</v>
      </c>
      <c r="C2713" s="10">
        <v>13.35</v>
      </c>
      <c r="D2713" s="10">
        <v>1.65</v>
      </c>
      <c r="E2713" s="16">
        <v>14.1</v>
      </c>
      <c r="F2713">
        <v>2135677</v>
      </c>
      <c r="G2713" s="5">
        <v>43153</v>
      </c>
    </row>
    <row r="2714" spans="1:7" x14ac:dyDescent="0.4">
      <c r="A2714">
        <v>13</v>
      </c>
      <c r="B2714" t="s">
        <v>1539</v>
      </c>
      <c r="C2714" s="10">
        <v>44.2</v>
      </c>
      <c r="D2714" s="10">
        <v>5.24</v>
      </c>
      <c r="E2714" s="16">
        <v>13.45</v>
      </c>
      <c r="F2714">
        <v>8953828</v>
      </c>
      <c r="G2714" s="5">
        <v>43153</v>
      </c>
    </row>
    <row r="2715" spans="1:7" x14ac:dyDescent="0.4">
      <c r="A2715">
        <v>14</v>
      </c>
      <c r="B2715" t="s">
        <v>1341</v>
      </c>
      <c r="C2715" s="10">
        <v>2.58</v>
      </c>
      <c r="D2715" s="10">
        <v>0.3</v>
      </c>
      <c r="E2715" s="16">
        <v>12.96</v>
      </c>
      <c r="F2715">
        <v>167887</v>
      </c>
      <c r="G2715" s="5">
        <v>43153</v>
      </c>
    </row>
    <row r="2716" spans="1:7" x14ac:dyDescent="0.4">
      <c r="A2716">
        <v>15</v>
      </c>
      <c r="B2716" t="s">
        <v>1540</v>
      </c>
      <c r="C2716" s="10">
        <v>30.41</v>
      </c>
      <c r="D2716" s="10">
        <v>3.44</v>
      </c>
      <c r="E2716" s="16">
        <v>12.75</v>
      </c>
      <c r="F2716">
        <v>1091974</v>
      </c>
      <c r="G2716" s="5">
        <v>43153</v>
      </c>
    </row>
    <row r="2717" spans="1:7" x14ac:dyDescent="0.4">
      <c r="A2717">
        <v>16</v>
      </c>
      <c r="B2717" t="s">
        <v>1461</v>
      </c>
      <c r="C2717" s="10">
        <v>8.92</v>
      </c>
      <c r="D2717" s="10">
        <v>1</v>
      </c>
      <c r="E2717" s="16">
        <v>12.63</v>
      </c>
      <c r="F2717">
        <v>32836</v>
      </c>
      <c r="G2717" s="5">
        <v>43153</v>
      </c>
    </row>
    <row r="2718" spans="1:7" x14ac:dyDescent="0.4">
      <c r="A2718">
        <v>17</v>
      </c>
      <c r="B2718" t="s">
        <v>1541</v>
      </c>
      <c r="C2718" s="10">
        <v>135.24</v>
      </c>
      <c r="D2718" s="10">
        <v>14.89</v>
      </c>
      <c r="E2718" s="16">
        <v>12.37</v>
      </c>
      <c r="F2718">
        <v>1414702</v>
      </c>
      <c r="G2718" s="5">
        <v>43153</v>
      </c>
    </row>
    <row r="2719" spans="1:7" x14ac:dyDescent="0.4">
      <c r="A2719">
        <v>18</v>
      </c>
      <c r="B2719" t="s">
        <v>1542</v>
      </c>
      <c r="C2719" s="10">
        <v>55.85</v>
      </c>
      <c r="D2719" s="10">
        <v>6.14</v>
      </c>
      <c r="E2719" s="16">
        <v>12.35</v>
      </c>
      <c r="F2719">
        <v>918091</v>
      </c>
      <c r="G2719" s="5">
        <v>43153</v>
      </c>
    </row>
    <row r="2720" spans="1:7" x14ac:dyDescent="0.4">
      <c r="A2720">
        <v>19</v>
      </c>
      <c r="B2720" t="s">
        <v>1419</v>
      </c>
      <c r="C2720" s="10">
        <v>6.08</v>
      </c>
      <c r="D2720" s="10">
        <v>0.67</v>
      </c>
      <c r="E2720" s="16">
        <v>12.28</v>
      </c>
      <c r="F2720">
        <v>357587</v>
      </c>
      <c r="G2720" s="5">
        <v>43153</v>
      </c>
    </row>
    <row r="2721" spans="1:7" x14ac:dyDescent="0.4">
      <c r="A2721">
        <v>20</v>
      </c>
      <c r="B2721" t="s">
        <v>1543</v>
      </c>
      <c r="C2721" s="10">
        <v>48.85</v>
      </c>
      <c r="D2721" s="10">
        <v>5.25</v>
      </c>
      <c r="E2721" s="16">
        <v>12.04</v>
      </c>
      <c r="F2721">
        <v>272602</v>
      </c>
      <c r="G2721" s="5">
        <v>43153</v>
      </c>
    </row>
    <row r="2722" spans="1:7" x14ac:dyDescent="0.4">
      <c r="A2722">
        <v>21</v>
      </c>
      <c r="B2722" t="s">
        <v>505</v>
      </c>
      <c r="C2722" s="10">
        <v>26.99</v>
      </c>
      <c r="D2722" s="10">
        <v>2.9</v>
      </c>
      <c r="E2722" s="16">
        <v>12.04</v>
      </c>
      <c r="F2722">
        <v>473081</v>
      </c>
      <c r="G2722" s="5">
        <v>43153</v>
      </c>
    </row>
    <row r="2723" spans="1:7" x14ac:dyDescent="0.4">
      <c r="A2723">
        <v>22</v>
      </c>
      <c r="B2723" t="s">
        <v>1544</v>
      </c>
      <c r="C2723" s="10">
        <v>60.35</v>
      </c>
      <c r="D2723" s="10">
        <v>6.35</v>
      </c>
      <c r="E2723" s="16">
        <v>11.76</v>
      </c>
      <c r="F2723">
        <v>313979</v>
      </c>
      <c r="G2723" s="5">
        <v>43153</v>
      </c>
    </row>
    <row r="2724" spans="1:7" x14ac:dyDescent="0.4">
      <c r="A2724">
        <v>23</v>
      </c>
      <c r="B2724" t="s">
        <v>436</v>
      </c>
      <c r="C2724" s="10">
        <v>15.21</v>
      </c>
      <c r="D2724" s="10">
        <v>1.6</v>
      </c>
      <c r="E2724" s="16">
        <v>11.76</v>
      </c>
      <c r="F2724">
        <v>4250</v>
      </c>
      <c r="G2724" s="5">
        <v>43153</v>
      </c>
    </row>
    <row r="2725" spans="1:7" x14ac:dyDescent="0.4">
      <c r="A2725">
        <v>24</v>
      </c>
      <c r="B2725" t="s">
        <v>1545</v>
      </c>
      <c r="C2725" s="10">
        <v>19.97</v>
      </c>
      <c r="D2725" s="10">
        <v>2.0499999999999998</v>
      </c>
      <c r="E2725" s="16">
        <v>11.44</v>
      </c>
      <c r="F2725">
        <v>1750077</v>
      </c>
      <c r="G2725" s="5">
        <v>43153</v>
      </c>
    </row>
    <row r="2726" spans="1:7" x14ac:dyDescent="0.4">
      <c r="A2726">
        <v>25</v>
      </c>
      <c r="B2726" t="s">
        <v>1546</v>
      </c>
      <c r="C2726" s="10">
        <v>70.05</v>
      </c>
      <c r="D2726" s="10">
        <v>7.1</v>
      </c>
      <c r="E2726" s="16">
        <v>11.28</v>
      </c>
      <c r="F2726">
        <v>1451771</v>
      </c>
      <c r="G2726" s="5">
        <v>43153</v>
      </c>
    </row>
    <row r="2727" spans="1:7" x14ac:dyDescent="0.4">
      <c r="A2727">
        <v>26</v>
      </c>
      <c r="B2727" t="s">
        <v>1547</v>
      </c>
      <c r="C2727" s="10">
        <v>35.299999999999997</v>
      </c>
      <c r="D2727" s="10">
        <v>3.55</v>
      </c>
      <c r="E2727" s="16">
        <v>11.18</v>
      </c>
      <c r="F2727">
        <v>598236</v>
      </c>
      <c r="G2727" s="5">
        <v>43153</v>
      </c>
    </row>
    <row r="2728" spans="1:7" x14ac:dyDescent="0.4">
      <c r="A2728">
        <v>27</v>
      </c>
      <c r="B2728" t="s">
        <v>1085</v>
      </c>
      <c r="C2728" s="10">
        <v>3</v>
      </c>
      <c r="D2728" s="10">
        <v>0.3</v>
      </c>
      <c r="E2728" s="16">
        <v>11.11</v>
      </c>
      <c r="F2728">
        <v>103466</v>
      </c>
      <c r="G2728" s="5">
        <v>43153</v>
      </c>
    </row>
    <row r="2729" spans="1:7" x14ac:dyDescent="0.4">
      <c r="A2729">
        <v>28</v>
      </c>
      <c r="B2729" t="s">
        <v>456</v>
      </c>
      <c r="C2729" s="10">
        <v>16.12</v>
      </c>
      <c r="D2729" s="10">
        <v>1.6</v>
      </c>
      <c r="E2729" s="16">
        <v>11.02</v>
      </c>
      <c r="F2729">
        <v>82457</v>
      </c>
      <c r="G2729" s="5">
        <v>43153</v>
      </c>
    </row>
    <row r="2730" spans="1:7" x14ac:dyDescent="0.4">
      <c r="A2730">
        <v>29</v>
      </c>
      <c r="B2730" t="s">
        <v>1548</v>
      </c>
      <c r="C2730" s="10">
        <v>205.3</v>
      </c>
      <c r="D2730" s="10">
        <v>20.350000000000001</v>
      </c>
      <c r="E2730" s="16">
        <v>11</v>
      </c>
      <c r="F2730">
        <v>1420281</v>
      </c>
      <c r="G2730" s="5">
        <v>43153</v>
      </c>
    </row>
    <row r="2731" spans="1:7" x14ac:dyDescent="0.4">
      <c r="A2731">
        <v>30</v>
      </c>
      <c r="B2731" t="s">
        <v>1549</v>
      </c>
      <c r="C2731" s="10">
        <v>2.69</v>
      </c>
      <c r="D2731" s="10">
        <v>0.26</v>
      </c>
      <c r="E2731" s="16">
        <v>10.7</v>
      </c>
      <c r="F2731">
        <v>1166827</v>
      </c>
      <c r="G2731" s="5">
        <v>43153</v>
      </c>
    </row>
    <row r="2732" spans="1:7" x14ac:dyDescent="0.4">
      <c r="A2732">
        <v>31</v>
      </c>
      <c r="B2732" t="s">
        <v>1399</v>
      </c>
      <c r="C2732" s="10">
        <v>582.9</v>
      </c>
      <c r="D2732" s="10">
        <v>56.1</v>
      </c>
      <c r="E2732" s="16">
        <v>10.65</v>
      </c>
      <c r="F2732">
        <v>4550</v>
      </c>
      <c r="G2732" s="5">
        <v>43153</v>
      </c>
    </row>
    <row r="2733" spans="1:7" x14ac:dyDescent="0.4">
      <c r="A2733">
        <v>32</v>
      </c>
      <c r="B2733" t="s">
        <v>123</v>
      </c>
      <c r="C2733" s="10">
        <v>5.86</v>
      </c>
      <c r="D2733" s="10">
        <v>0.54</v>
      </c>
      <c r="E2733" s="16">
        <v>10.15</v>
      </c>
      <c r="F2733">
        <v>198840</v>
      </c>
      <c r="G2733" s="5">
        <v>43153</v>
      </c>
    </row>
    <row r="2734" spans="1:7" x14ac:dyDescent="0.4">
      <c r="A2734">
        <v>33</v>
      </c>
      <c r="B2734" t="s">
        <v>1550</v>
      </c>
      <c r="C2734" s="10">
        <v>3.16</v>
      </c>
      <c r="D2734" s="10">
        <v>0.28999999999999998</v>
      </c>
      <c r="E2734" s="16">
        <v>10.1</v>
      </c>
      <c r="F2734">
        <v>2848702</v>
      </c>
      <c r="G2734" s="5">
        <v>43153</v>
      </c>
    </row>
    <row r="2735" spans="1:7" x14ac:dyDescent="0.4">
      <c r="A2735">
        <v>34</v>
      </c>
      <c r="B2735" t="s">
        <v>1551</v>
      </c>
      <c r="C2735" s="10">
        <v>39.93</v>
      </c>
      <c r="D2735" s="10">
        <v>3.64</v>
      </c>
      <c r="E2735" s="16">
        <v>10.029999999999999</v>
      </c>
      <c r="F2735">
        <v>2491507</v>
      </c>
      <c r="G2735" s="5">
        <v>43153</v>
      </c>
    </row>
    <row r="2736" spans="1:7" x14ac:dyDescent="0.4">
      <c r="A2736">
        <v>35</v>
      </c>
      <c r="B2736" t="s">
        <v>317</v>
      </c>
      <c r="C2736" s="10">
        <v>13.86</v>
      </c>
      <c r="D2736" s="10">
        <v>1.26</v>
      </c>
      <c r="E2736" s="16">
        <v>10.01</v>
      </c>
      <c r="F2736">
        <v>2200</v>
      </c>
      <c r="G2736" s="5">
        <v>43153</v>
      </c>
    </row>
    <row r="2737" spans="1:7" x14ac:dyDescent="0.4">
      <c r="A2737">
        <v>36</v>
      </c>
      <c r="B2737" t="s">
        <v>1552</v>
      </c>
      <c r="C2737" s="10">
        <v>66.3</v>
      </c>
      <c r="D2737" s="10">
        <v>6.01</v>
      </c>
      <c r="E2737" s="16">
        <v>9.9700000000000006</v>
      </c>
      <c r="F2737">
        <v>1479178</v>
      </c>
      <c r="G2737" s="5">
        <v>43153</v>
      </c>
    </row>
    <row r="2738" spans="1:7" x14ac:dyDescent="0.4">
      <c r="A2738">
        <v>37</v>
      </c>
      <c r="B2738" t="s">
        <v>236</v>
      </c>
      <c r="C2738" s="10">
        <v>7.3</v>
      </c>
      <c r="D2738" s="10">
        <v>0.66</v>
      </c>
      <c r="E2738" s="16">
        <v>9.94</v>
      </c>
      <c r="F2738">
        <v>1059315</v>
      </c>
      <c r="G2738" s="5">
        <v>43153</v>
      </c>
    </row>
    <row r="2739" spans="1:7" x14ac:dyDescent="0.4">
      <c r="A2739">
        <v>38</v>
      </c>
      <c r="B2739" t="s">
        <v>1553</v>
      </c>
      <c r="C2739" s="10">
        <v>58.77</v>
      </c>
      <c r="D2739" s="10">
        <v>5.15</v>
      </c>
      <c r="E2739" s="16">
        <v>9.6</v>
      </c>
      <c r="F2739">
        <v>709685</v>
      </c>
      <c r="G2739" s="5">
        <v>43153</v>
      </c>
    </row>
    <row r="2740" spans="1:7" x14ac:dyDescent="0.4">
      <c r="A2740">
        <v>39</v>
      </c>
      <c r="B2740" t="s">
        <v>1278</v>
      </c>
      <c r="C2740" s="10">
        <v>18.45</v>
      </c>
      <c r="D2740" s="10">
        <v>1.6</v>
      </c>
      <c r="E2740" s="16">
        <v>9.5</v>
      </c>
      <c r="F2740">
        <v>2023700</v>
      </c>
      <c r="G2740" s="5">
        <v>43153</v>
      </c>
    </row>
    <row r="2741" spans="1:7" x14ac:dyDescent="0.4">
      <c r="A2741">
        <v>40</v>
      </c>
      <c r="B2741" t="s">
        <v>283</v>
      </c>
      <c r="C2741" s="10">
        <v>4.99</v>
      </c>
      <c r="D2741" s="10">
        <v>0.43</v>
      </c>
      <c r="E2741" s="16">
        <v>9.43</v>
      </c>
      <c r="F2741">
        <v>18853</v>
      </c>
      <c r="G2741" s="5">
        <v>43153</v>
      </c>
    </row>
    <row r="2742" spans="1:7" x14ac:dyDescent="0.4">
      <c r="A2742">
        <v>41</v>
      </c>
      <c r="B2742" t="s">
        <v>170</v>
      </c>
      <c r="C2742" s="10">
        <v>16.07</v>
      </c>
      <c r="D2742" s="10">
        <v>1.37</v>
      </c>
      <c r="E2742" s="16">
        <v>9.32</v>
      </c>
      <c r="F2742">
        <v>161638</v>
      </c>
      <c r="G2742" s="5">
        <v>43153</v>
      </c>
    </row>
    <row r="2743" spans="1:7" x14ac:dyDescent="0.4">
      <c r="A2743">
        <v>42</v>
      </c>
      <c r="B2743" t="s">
        <v>830</v>
      </c>
      <c r="C2743" s="10">
        <v>4.91</v>
      </c>
      <c r="D2743" s="10">
        <v>0.41</v>
      </c>
      <c r="E2743" s="16">
        <v>9.11</v>
      </c>
      <c r="F2743">
        <v>12151470</v>
      </c>
      <c r="G2743" s="5">
        <v>43153</v>
      </c>
    </row>
    <row r="2744" spans="1:7" x14ac:dyDescent="0.4">
      <c r="A2744">
        <v>43</v>
      </c>
      <c r="B2744" t="s">
        <v>1438</v>
      </c>
      <c r="C2744" s="10">
        <v>59.88</v>
      </c>
      <c r="D2744" s="10">
        <v>4.95</v>
      </c>
      <c r="E2744" s="16">
        <v>9.01</v>
      </c>
      <c r="F2744">
        <v>3349871</v>
      </c>
      <c r="G2744" s="5">
        <v>43153</v>
      </c>
    </row>
    <row r="2745" spans="1:7" x14ac:dyDescent="0.4">
      <c r="A2745">
        <v>44</v>
      </c>
      <c r="B2745" t="s">
        <v>1554</v>
      </c>
      <c r="C2745" s="10">
        <v>46.99</v>
      </c>
      <c r="D2745" s="10">
        <v>3.81</v>
      </c>
      <c r="E2745" s="16">
        <v>8.82</v>
      </c>
      <c r="F2745">
        <v>889907</v>
      </c>
      <c r="G2745" s="5">
        <v>43153</v>
      </c>
    </row>
    <row r="2746" spans="1:7" x14ac:dyDescent="0.4">
      <c r="A2746">
        <v>45</v>
      </c>
      <c r="B2746" t="s">
        <v>1483</v>
      </c>
      <c r="C2746" s="10">
        <v>7.23</v>
      </c>
      <c r="D2746" s="10">
        <v>0.57999999999999996</v>
      </c>
      <c r="E2746" s="16">
        <v>8.7200000000000006</v>
      </c>
      <c r="F2746">
        <v>302731</v>
      </c>
      <c r="G2746" s="5">
        <v>43153</v>
      </c>
    </row>
    <row r="2747" spans="1:7" x14ac:dyDescent="0.4">
      <c r="A2747">
        <v>46</v>
      </c>
      <c r="B2747" t="s">
        <v>1555</v>
      </c>
      <c r="C2747" s="10">
        <v>99.72</v>
      </c>
      <c r="D2747" s="10">
        <v>7.8</v>
      </c>
      <c r="E2747" s="16">
        <v>8.49</v>
      </c>
      <c r="F2747">
        <v>503980</v>
      </c>
      <c r="G2747" s="5">
        <v>43153</v>
      </c>
    </row>
    <row r="2748" spans="1:7" x14ac:dyDescent="0.4">
      <c r="A2748">
        <v>47</v>
      </c>
      <c r="B2748" t="s">
        <v>1556</v>
      </c>
      <c r="C2748" s="10">
        <v>8.85</v>
      </c>
      <c r="D2748" s="10">
        <v>0.69</v>
      </c>
      <c r="E2748" s="16">
        <v>8.4600000000000009</v>
      </c>
      <c r="F2748">
        <v>944881</v>
      </c>
      <c r="G2748" s="5">
        <v>43153</v>
      </c>
    </row>
    <row r="2749" spans="1:7" x14ac:dyDescent="0.4">
      <c r="A2749">
        <v>48</v>
      </c>
      <c r="B2749" t="s">
        <v>1557</v>
      </c>
      <c r="C2749" s="10">
        <v>25.04</v>
      </c>
      <c r="D2749" s="10">
        <v>1.94</v>
      </c>
      <c r="E2749" s="16">
        <v>8.4</v>
      </c>
      <c r="F2749">
        <v>10865344</v>
      </c>
      <c r="G2749" s="5">
        <v>43153</v>
      </c>
    </row>
    <row r="2750" spans="1:7" x14ac:dyDescent="0.4">
      <c r="A2750">
        <v>49</v>
      </c>
      <c r="B2750" t="s">
        <v>713</v>
      </c>
      <c r="C2750" s="10">
        <v>5.66</v>
      </c>
      <c r="D2750" s="10">
        <v>0.43</v>
      </c>
      <c r="E2750" s="16">
        <v>8.2200000000000006</v>
      </c>
      <c r="F2750">
        <v>19066</v>
      </c>
      <c r="G2750" s="5">
        <v>43153</v>
      </c>
    </row>
    <row r="2751" spans="1:7" x14ac:dyDescent="0.4">
      <c r="A2751">
        <v>50</v>
      </c>
      <c r="B2751" t="s">
        <v>320</v>
      </c>
      <c r="C2751" s="10">
        <v>3.56</v>
      </c>
      <c r="D2751" s="10">
        <v>0.27</v>
      </c>
      <c r="E2751" s="16">
        <v>8.2100000000000009</v>
      </c>
      <c r="F2751">
        <v>1219629</v>
      </c>
      <c r="G2751" s="5">
        <v>43153</v>
      </c>
    </row>
    <row r="2752" spans="1:7" x14ac:dyDescent="0.4">
      <c r="A2752">
        <v>51</v>
      </c>
      <c r="B2752" t="s">
        <v>1558</v>
      </c>
      <c r="C2752" s="10">
        <v>39.18</v>
      </c>
      <c r="D2752" s="10">
        <v>2.95</v>
      </c>
      <c r="E2752" s="16">
        <v>8.14</v>
      </c>
      <c r="F2752">
        <v>2530699</v>
      </c>
      <c r="G2752" s="5">
        <v>43153</v>
      </c>
    </row>
    <row r="2753" spans="1:7" x14ac:dyDescent="0.4">
      <c r="A2753">
        <v>52</v>
      </c>
      <c r="B2753" t="s">
        <v>1559</v>
      </c>
      <c r="C2753" s="10">
        <v>78.989999999999995</v>
      </c>
      <c r="D2753" s="10">
        <v>5.92</v>
      </c>
      <c r="E2753" s="16">
        <v>8.1</v>
      </c>
      <c r="F2753">
        <v>111008</v>
      </c>
      <c r="G2753" s="5">
        <v>43153</v>
      </c>
    </row>
    <row r="2754" spans="1:7" x14ac:dyDescent="0.4">
      <c r="A2754">
        <v>53</v>
      </c>
      <c r="B2754" t="s">
        <v>1560</v>
      </c>
      <c r="C2754" s="10">
        <v>59.31</v>
      </c>
      <c r="D2754" s="10">
        <v>4.3899999999999997</v>
      </c>
      <c r="E2754" s="16">
        <v>7.99</v>
      </c>
      <c r="F2754">
        <v>130029</v>
      </c>
      <c r="G2754" s="5">
        <v>43153</v>
      </c>
    </row>
    <row r="2755" spans="1:7" x14ac:dyDescent="0.4">
      <c r="A2755">
        <v>54</v>
      </c>
      <c r="B2755" t="s">
        <v>1470</v>
      </c>
      <c r="C2755" s="10">
        <v>2.98</v>
      </c>
      <c r="D2755" s="10">
        <v>0.22</v>
      </c>
      <c r="E2755" s="16">
        <v>7.97</v>
      </c>
      <c r="F2755">
        <v>3964507</v>
      </c>
      <c r="G2755" s="5">
        <v>43153</v>
      </c>
    </row>
    <row r="2756" spans="1:7" x14ac:dyDescent="0.4">
      <c r="A2756">
        <v>55</v>
      </c>
      <c r="B2756" t="s">
        <v>1561</v>
      </c>
      <c r="C2756" s="10">
        <v>34.979999999999997</v>
      </c>
      <c r="D2756" s="10">
        <v>2.58</v>
      </c>
      <c r="E2756" s="16">
        <v>7.96</v>
      </c>
      <c r="F2756">
        <v>622643</v>
      </c>
      <c r="G2756" s="5">
        <v>43153</v>
      </c>
    </row>
    <row r="2757" spans="1:7" x14ac:dyDescent="0.4">
      <c r="A2757">
        <v>56</v>
      </c>
      <c r="B2757" t="s">
        <v>1562</v>
      </c>
      <c r="C2757" s="10">
        <v>23.75</v>
      </c>
      <c r="D2757" s="10">
        <v>1.73</v>
      </c>
      <c r="E2757" s="16">
        <v>7.86</v>
      </c>
      <c r="F2757">
        <v>3476350</v>
      </c>
      <c r="G2757" s="5">
        <v>43153</v>
      </c>
    </row>
    <row r="2758" spans="1:7" x14ac:dyDescent="0.4">
      <c r="A2758">
        <v>57</v>
      </c>
      <c r="B2758" t="s">
        <v>1563</v>
      </c>
      <c r="C2758" s="10">
        <v>43.6</v>
      </c>
      <c r="D2758" s="10">
        <v>3.15</v>
      </c>
      <c r="E2758" s="16">
        <v>7.79</v>
      </c>
      <c r="F2758">
        <v>1148892</v>
      </c>
      <c r="G2758" s="5">
        <v>43153</v>
      </c>
    </row>
    <row r="2759" spans="1:7" x14ac:dyDescent="0.4">
      <c r="A2759">
        <v>58</v>
      </c>
      <c r="B2759" t="s">
        <v>534</v>
      </c>
      <c r="C2759" s="10">
        <v>42</v>
      </c>
      <c r="D2759" s="10">
        <v>3</v>
      </c>
      <c r="E2759" s="16">
        <v>7.69</v>
      </c>
      <c r="F2759">
        <v>147168</v>
      </c>
      <c r="G2759" s="5">
        <v>43153</v>
      </c>
    </row>
    <row r="2760" spans="1:7" x14ac:dyDescent="0.4">
      <c r="A2760">
        <v>59</v>
      </c>
      <c r="B2760" t="s">
        <v>535</v>
      </c>
      <c r="C2760" s="10">
        <v>27.62</v>
      </c>
      <c r="D2760" s="10">
        <v>1.97</v>
      </c>
      <c r="E2760" s="16">
        <v>7.68</v>
      </c>
      <c r="F2760">
        <v>2237988</v>
      </c>
      <c r="G2760" s="5">
        <v>43153</v>
      </c>
    </row>
    <row r="2761" spans="1:7" x14ac:dyDescent="0.4">
      <c r="A2761">
        <v>60</v>
      </c>
      <c r="B2761" t="s">
        <v>615</v>
      </c>
      <c r="C2761" s="10">
        <v>8.3699999999999992</v>
      </c>
      <c r="D2761" s="10">
        <v>0.59</v>
      </c>
      <c r="E2761" s="16">
        <v>7.58</v>
      </c>
      <c r="F2761">
        <v>10765515</v>
      </c>
      <c r="G2761" s="5">
        <v>43153</v>
      </c>
    </row>
    <row r="2762" spans="1:7" x14ac:dyDescent="0.4">
      <c r="A2762">
        <v>61</v>
      </c>
      <c r="B2762" t="s">
        <v>1071</v>
      </c>
      <c r="C2762" s="10">
        <v>5.76</v>
      </c>
      <c r="D2762" s="10">
        <v>0.4</v>
      </c>
      <c r="E2762" s="16">
        <v>7.46</v>
      </c>
      <c r="F2762">
        <v>10512</v>
      </c>
      <c r="G2762" s="5">
        <v>43153</v>
      </c>
    </row>
    <row r="2763" spans="1:7" x14ac:dyDescent="0.4">
      <c r="A2763">
        <v>62</v>
      </c>
      <c r="B2763" t="s">
        <v>26</v>
      </c>
      <c r="C2763" s="10">
        <v>3.78</v>
      </c>
      <c r="D2763" s="10">
        <v>0.26</v>
      </c>
      <c r="E2763" s="16">
        <v>7.38</v>
      </c>
      <c r="F2763">
        <v>36934</v>
      </c>
      <c r="G2763" s="5">
        <v>43153</v>
      </c>
    </row>
    <row r="2764" spans="1:7" x14ac:dyDescent="0.4">
      <c r="A2764">
        <v>63</v>
      </c>
      <c r="B2764" t="s">
        <v>1564</v>
      </c>
      <c r="C2764" s="10">
        <v>4.78</v>
      </c>
      <c r="D2764" s="10">
        <v>0.33</v>
      </c>
      <c r="E2764" s="16">
        <v>7.37</v>
      </c>
      <c r="F2764">
        <v>2842</v>
      </c>
      <c r="G2764" s="5">
        <v>43153</v>
      </c>
    </row>
    <row r="2765" spans="1:7" x14ac:dyDescent="0.4">
      <c r="A2765">
        <v>64</v>
      </c>
      <c r="B2765" t="s">
        <v>859</v>
      </c>
      <c r="C2765" s="10">
        <v>31.06</v>
      </c>
      <c r="D2765" s="10">
        <v>2.12</v>
      </c>
      <c r="E2765" s="16">
        <v>7.33</v>
      </c>
      <c r="F2765">
        <v>665179</v>
      </c>
      <c r="G2765" s="5">
        <v>43153</v>
      </c>
    </row>
    <row r="2766" spans="1:7" x14ac:dyDescent="0.4">
      <c r="A2766">
        <v>65</v>
      </c>
      <c r="B2766" t="s">
        <v>1343</v>
      </c>
      <c r="C2766" s="10">
        <v>2.2000000000000002</v>
      </c>
      <c r="D2766" s="10">
        <v>0.15</v>
      </c>
      <c r="E2766" s="16">
        <v>7.32</v>
      </c>
      <c r="F2766">
        <v>252436</v>
      </c>
      <c r="G2766" s="5">
        <v>43153</v>
      </c>
    </row>
    <row r="2767" spans="1:7" x14ac:dyDescent="0.4">
      <c r="A2767">
        <v>66</v>
      </c>
      <c r="B2767" t="s">
        <v>520</v>
      </c>
      <c r="C2767" s="10">
        <v>26.59</v>
      </c>
      <c r="D2767" s="10">
        <v>1.8</v>
      </c>
      <c r="E2767" s="16">
        <v>7.28</v>
      </c>
      <c r="F2767">
        <v>6974</v>
      </c>
      <c r="G2767" s="5">
        <v>43153</v>
      </c>
    </row>
    <row r="2768" spans="1:7" x14ac:dyDescent="0.4">
      <c r="A2768">
        <v>67</v>
      </c>
      <c r="B2768" t="s">
        <v>344</v>
      </c>
      <c r="C2768" s="10">
        <v>8.98</v>
      </c>
      <c r="D2768" s="10">
        <v>0.6</v>
      </c>
      <c r="E2768" s="16">
        <v>7.16</v>
      </c>
      <c r="F2768">
        <v>1098612</v>
      </c>
      <c r="G2768" s="5">
        <v>43153</v>
      </c>
    </row>
    <row r="2769" spans="1:7" x14ac:dyDescent="0.4">
      <c r="A2769">
        <v>68</v>
      </c>
      <c r="B2769" t="s">
        <v>705</v>
      </c>
      <c r="C2769" s="10">
        <v>2.73</v>
      </c>
      <c r="D2769" s="10">
        <v>0.18</v>
      </c>
      <c r="E2769" s="16">
        <v>7.1</v>
      </c>
      <c r="F2769">
        <v>26418</v>
      </c>
      <c r="G2769" s="5">
        <v>43153</v>
      </c>
    </row>
    <row r="2770" spans="1:7" x14ac:dyDescent="0.4">
      <c r="A2770">
        <v>69</v>
      </c>
      <c r="B2770" t="s">
        <v>1565</v>
      </c>
      <c r="C2770" s="10">
        <v>2.73</v>
      </c>
      <c r="D2770" s="10">
        <v>0.18</v>
      </c>
      <c r="E2770" s="16">
        <v>7.06</v>
      </c>
      <c r="F2770">
        <v>207084</v>
      </c>
      <c r="G2770" s="5">
        <v>43153</v>
      </c>
    </row>
    <row r="2771" spans="1:7" x14ac:dyDescent="0.4">
      <c r="A2771">
        <v>70</v>
      </c>
      <c r="B2771" t="s">
        <v>1149</v>
      </c>
      <c r="C2771" s="10">
        <v>14.27</v>
      </c>
      <c r="D2771" s="10">
        <v>0.93</v>
      </c>
      <c r="E2771" s="16">
        <v>6.97</v>
      </c>
      <c r="F2771">
        <v>1179747</v>
      </c>
      <c r="G2771" s="5">
        <v>43153</v>
      </c>
    </row>
    <row r="2772" spans="1:7" x14ac:dyDescent="0.4">
      <c r="A2772">
        <v>71</v>
      </c>
      <c r="B2772" t="s">
        <v>1566</v>
      </c>
      <c r="C2772" s="10">
        <v>3.85</v>
      </c>
      <c r="D2772" s="10">
        <v>0.25</v>
      </c>
      <c r="E2772" s="16">
        <v>6.94</v>
      </c>
      <c r="F2772">
        <v>985772</v>
      </c>
      <c r="G2772" s="5">
        <v>43153</v>
      </c>
    </row>
    <row r="2773" spans="1:7" x14ac:dyDescent="0.4">
      <c r="A2773">
        <v>72</v>
      </c>
      <c r="B2773" t="s">
        <v>899</v>
      </c>
      <c r="C2773" s="10">
        <v>21.58</v>
      </c>
      <c r="D2773" s="10">
        <v>1.4</v>
      </c>
      <c r="E2773" s="16">
        <v>6.94</v>
      </c>
      <c r="F2773">
        <v>581136</v>
      </c>
      <c r="G2773" s="5">
        <v>43153</v>
      </c>
    </row>
    <row r="2774" spans="1:7" x14ac:dyDescent="0.4">
      <c r="A2774">
        <v>73</v>
      </c>
      <c r="B2774" t="s">
        <v>19</v>
      </c>
      <c r="C2774" s="10">
        <v>6.47</v>
      </c>
      <c r="D2774" s="10">
        <v>0.42</v>
      </c>
      <c r="E2774" s="16">
        <v>6.93</v>
      </c>
      <c r="F2774">
        <v>4916</v>
      </c>
      <c r="G2774" s="5">
        <v>43153</v>
      </c>
    </row>
    <row r="2775" spans="1:7" x14ac:dyDescent="0.4">
      <c r="A2775">
        <v>74</v>
      </c>
      <c r="B2775" t="s">
        <v>1567</v>
      </c>
      <c r="C2775" s="10">
        <v>35.549999999999997</v>
      </c>
      <c r="D2775" s="10">
        <v>2.2000000000000002</v>
      </c>
      <c r="E2775" s="16">
        <v>6.6</v>
      </c>
      <c r="F2775">
        <v>1139622</v>
      </c>
      <c r="G2775" s="5">
        <v>43153</v>
      </c>
    </row>
    <row r="2776" spans="1:7" x14ac:dyDescent="0.4">
      <c r="A2776">
        <v>75</v>
      </c>
      <c r="B2776" t="s">
        <v>1568</v>
      </c>
      <c r="C2776" s="10">
        <v>4.07</v>
      </c>
      <c r="D2776" s="10">
        <v>0.25</v>
      </c>
      <c r="E2776" s="16">
        <v>6.54</v>
      </c>
      <c r="F2776">
        <v>2557089</v>
      </c>
      <c r="G2776" s="5">
        <v>43153</v>
      </c>
    </row>
    <row r="2777" spans="1:7" x14ac:dyDescent="0.4">
      <c r="A2777">
        <v>76</v>
      </c>
      <c r="B2777" t="s">
        <v>147</v>
      </c>
      <c r="C2777" s="10">
        <v>2.8</v>
      </c>
      <c r="D2777" s="10">
        <v>0.17</v>
      </c>
      <c r="E2777" s="16">
        <v>6.46</v>
      </c>
      <c r="F2777">
        <v>1029746</v>
      </c>
      <c r="G2777" s="5">
        <v>43153</v>
      </c>
    </row>
    <row r="2778" spans="1:7" x14ac:dyDescent="0.4">
      <c r="A2778">
        <v>77</v>
      </c>
      <c r="B2778" t="s">
        <v>155</v>
      </c>
      <c r="C2778" s="10">
        <v>12.19</v>
      </c>
      <c r="D2778" s="10">
        <v>0.74</v>
      </c>
      <c r="E2778" s="16">
        <v>6.46</v>
      </c>
      <c r="F2778">
        <v>115674</v>
      </c>
      <c r="G2778" s="5">
        <v>43153</v>
      </c>
    </row>
    <row r="2779" spans="1:7" x14ac:dyDescent="0.4">
      <c r="A2779">
        <v>78</v>
      </c>
      <c r="B2779" t="s">
        <v>1569</v>
      </c>
      <c r="C2779" s="10">
        <v>56.85</v>
      </c>
      <c r="D2779" s="10">
        <v>3.4</v>
      </c>
      <c r="E2779" s="16">
        <v>6.36</v>
      </c>
      <c r="F2779">
        <v>99492</v>
      </c>
      <c r="G2779" s="5">
        <v>43153</v>
      </c>
    </row>
    <row r="2780" spans="1:7" x14ac:dyDescent="0.4">
      <c r="A2780">
        <v>79</v>
      </c>
      <c r="B2780" t="s">
        <v>1570</v>
      </c>
      <c r="C2780" s="10">
        <v>17.600000000000001</v>
      </c>
      <c r="D2780" s="10">
        <v>1.05</v>
      </c>
      <c r="E2780" s="16">
        <v>6.34</v>
      </c>
      <c r="F2780">
        <v>514898</v>
      </c>
      <c r="G2780" s="5">
        <v>43153</v>
      </c>
    </row>
    <row r="2781" spans="1:7" x14ac:dyDescent="0.4">
      <c r="A2781">
        <v>80</v>
      </c>
      <c r="B2781" t="s">
        <v>596</v>
      </c>
      <c r="C2781" s="10">
        <v>13.15</v>
      </c>
      <c r="D2781" s="10">
        <v>0.78</v>
      </c>
      <c r="E2781" s="16">
        <v>6.31</v>
      </c>
      <c r="F2781">
        <v>2661541</v>
      </c>
      <c r="G2781" s="5">
        <v>43153</v>
      </c>
    </row>
    <row r="2782" spans="1:7" x14ac:dyDescent="0.4">
      <c r="A2782">
        <v>81</v>
      </c>
      <c r="B2782" t="s">
        <v>1571</v>
      </c>
      <c r="C2782" s="10">
        <v>43.05</v>
      </c>
      <c r="D2782" s="10">
        <v>2.5499999999999998</v>
      </c>
      <c r="E2782" s="16">
        <v>6.3</v>
      </c>
      <c r="F2782">
        <v>331533</v>
      </c>
      <c r="G2782" s="5">
        <v>43153</v>
      </c>
    </row>
    <row r="2783" spans="1:7" x14ac:dyDescent="0.4">
      <c r="A2783">
        <v>82</v>
      </c>
      <c r="B2783" t="s">
        <v>259</v>
      </c>
      <c r="C2783" s="10">
        <v>6.8</v>
      </c>
      <c r="D2783" s="10">
        <v>0.4</v>
      </c>
      <c r="E2783" s="16">
        <v>6.25</v>
      </c>
      <c r="F2783">
        <v>1748305</v>
      </c>
      <c r="G2783" s="5">
        <v>43153</v>
      </c>
    </row>
    <row r="2784" spans="1:7" x14ac:dyDescent="0.4">
      <c r="A2784">
        <v>83</v>
      </c>
      <c r="B2784" t="s">
        <v>1572</v>
      </c>
      <c r="C2784" s="10">
        <v>5.36</v>
      </c>
      <c r="D2784" s="10">
        <v>0.31</v>
      </c>
      <c r="E2784" s="16">
        <v>6.24</v>
      </c>
      <c r="F2784">
        <v>45351</v>
      </c>
      <c r="G2784" s="5">
        <v>43153</v>
      </c>
    </row>
    <row r="2785" spans="1:7" x14ac:dyDescent="0.4">
      <c r="A2785">
        <v>84</v>
      </c>
      <c r="B2785" t="s">
        <v>632</v>
      </c>
      <c r="C2785" s="10">
        <v>4.26</v>
      </c>
      <c r="D2785" s="10">
        <v>0.25</v>
      </c>
      <c r="E2785" s="16">
        <v>6.23</v>
      </c>
      <c r="F2785">
        <v>4419718</v>
      </c>
      <c r="G2785" s="5">
        <v>43153</v>
      </c>
    </row>
    <row r="2786" spans="1:7" x14ac:dyDescent="0.4">
      <c r="A2786">
        <v>85</v>
      </c>
      <c r="B2786" t="s">
        <v>1573</v>
      </c>
      <c r="C2786" s="10">
        <v>8.48</v>
      </c>
      <c r="D2786" s="10">
        <v>0.49</v>
      </c>
      <c r="E2786" s="16">
        <v>6.13</v>
      </c>
      <c r="F2786">
        <v>90461</v>
      </c>
      <c r="G2786" s="5">
        <v>43153</v>
      </c>
    </row>
    <row r="2787" spans="1:7" x14ac:dyDescent="0.4">
      <c r="A2787">
        <v>86</v>
      </c>
      <c r="B2787" t="s">
        <v>1574</v>
      </c>
      <c r="C2787" s="10">
        <v>25.1</v>
      </c>
      <c r="D2787" s="10">
        <v>1.45</v>
      </c>
      <c r="E2787" s="16">
        <v>6.13</v>
      </c>
      <c r="F2787">
        <v>800951</v>
      </c>
      <c r="G2787" s="5">
        <v>43153</v>
      </c>
    </row>
    <row r="2788" spans="1:7" x14ac:dyDescent="0.4">
      <c r="A2788">
        <v>87</v>
      </c>
      <c r="B2788" t="s">
        <v>1575</v>
      </c>
      <c r="C2788" s="10">
        <v>29.5</v>
      </c>
      <c r="D2788" s="10">
        <v>1.7</v>
      </c>
      <c r="E2788" s="16">
        <v>6.12</v>
      </c>
      <c r="F2788">
        <v>185031</v>
      </c>
      <c r="G2788" s="5">
        <v>43153</v>
      </c>
    </row>
    <row r="2789" spans="1:7" x14ac:dyDescent="0.4">
      <c r="A2789">
        <v>88</v>
      </c>
      <c r="B2789" t="s">
        <v>120</v>
      </c>
      <c r="C2789" s="10">
        <v>8.94</v>
      </c>
      <c r="D2789" s="10">
        <v>0.51</v>
      </c>
      <c r="E2789" s="16">
        <v>6.11</v>
      </c>
      <c r="F2789">
        <v>6898</v>
      </c>
      <c r="G2789" s="5">
        <v>43153</v>
      </c>
    </row>
    <row r="2790" spans="1:7" x14ac:dyDescent="0.4">
      <c r="A2790">
        <v>89</v>
      </c>
      <c r="B2790" t="s">
        <v>1576</v>
      </c>
      <c r="C2790" s="10">
        <v>49.18</v>
      </c>
      <c r="D2790" s="10">
        <v>2.83</v>
      </c>
      <c r="E2790" s="16">
        <v>6.11</v>
      </c>
      <c r="F2790">
        <v>455987</v>
      </c>
      <c r="G2790" s="5">
        <v>43153</v>
      </c>
    </row>
    <row r="2791" spans="1:7" x14ac:dyDescent="0.4">
      <c r="A2791">
        <v>90</v>
      </c>
      <c r="B2791" t="s">
        <v>564</v>
      </c>
      <c r="C2791" s="10">
        <v>21.41</v>
      </c>
      <c r="D2791" s="10">
        <v>1.23</v>
      </c>
      <c r="E2791" s="16">
        <v>6.1</v>
      </c>
      <c r="F2791">
        <v>1325110</v>
      </c>
      <c r="G2791" s="5">
        <v>43153</v>
      </c>
    </row>
    <row r="2792" spans="1:7" x14ac:dyDescent="0.4">
      <c r="A2792">
        <v>91</v>
      </c>
      <c r="B2792" t="s">
        <v>1577</v>
      </c>
      <c r="C2792" s="10">
        <v>29.52</v>
      </c>
      <c r="D2792" s="10">
        <v>1.69</v>
      </c>
      <c r="E2792" s="16">
        <v>6.07</v>
      </c>
      <c r="F2792">
        <v>1515170</v>
      </c>
      <c r="G2792" s="5">
        <v>43153</v>
      </c>
    </row>
    <row r="2793" spans="1:7" x14ac:dyDescent="0.4">
      <c r="A2793">
        <v>92</v>
      </c>
      <c r="B2793" t="s">
        <v>631</v>
      </c>
      <c r="C2793" s="10">
        <v>5.09</v>
      </c>
      <c r="D2793" s="10">
        <v>0.28999999999999998</v>
      </c>
      <c r="E2793" s="16">
        <v>6.04</v>
      </c>
      <c r="F2793">
        <v>13374770</v>
      </c>
      <c r="G2793" s="5">
        <v>43153</v>
      </c>
    </row>
    <row r="2794" spans="1:7" x14ac:dyDescent="0.4">
      <c r="A2794">
        <v>93</v>
      </c>
      <c r="B2794" t="s">
        <v>641</v>
      </c>
      <c r="C2794" s="10">
        <v>7.33</v>
      </c>
      <c r="D2794" s="10">
        <v>0.42</v>
      </c>
      <c r="E2794" s="16">
        <v>6.04</v>
      </c>
      <c r="F2794">
        <v>3467</v>
      </c>
      <c r="G2794" s="5">
        <v>43153</v>
      </c>
    </row>
    <row r="2795" spans="1:7" x14ac:dyDescent="0.4">
      <c r="A2795">
        <v>94</v>
      </c>
      <c r="B2795" t="s">
        <v>573</v>
      </c>
      <c r="C2795" s="10">
        <v>3.54</v>
      </c>
      <c r="D2795" s="10">
        <v>0.2</v>
      </c>
      <c r="E2795" s="16">
        <v>5.99</v>
      </c>
      <c r="F2795">
        <v>3094487</v>
      </c>
      <c r="G2795" s="5">
        <v>43153</v>
      </c>
    </row>
    <row r="2796" spans="1:7" x14ac:dyDescent="0.4">
      <c r="A2796">
        <v>95</v>
      </c>
      <c r="B2796" t="s">
        <v>1578</v>
      </c>
      <c r="C2796" s="10">
        <v>14.34</v>
      </c>
      <c r="D2796" s="10">
        <v>0.8</v>
      </c>
      <c r="E2796" s="16">
        <v>5.91</v>
      </c>
      <c r="F2796">
        <v>10435925</v>
      </c>
      <c r="G2796" s="5">
        <v>43153</v>
      </c>
    </row>
    <row r="2797" spans="1:7" x14ac:dyDescent="0.4">
      <c r="A2797">
        <v>96</v>
      </c>
      <c r="B2797" t="s">
        <v>618</v>
      </c>
      <c r="C2797" s="10">
        <v>68.209999999999994</v>
      </c>
      <c r="D2797" s="10">
        <v>3.79</v>
      </c>
      <c r="E2797" s="16">
        <v>5.88</v>
      </c>
      <c r="F2797">
        <v>429182</v>
      </c>
      <c r="G2797" s="5">
        <v>43153</v>
      </c>
    </row>
    <row r="2798" spans="1:7" x14ac:dyDescent="0.4">
      <c r="A2798">
        <v>97</v>
      </c>
      <c r="B2798" t="s">
        <v>186</v>
      </c>
      <c r="C2798" s="10">
        <v>10.27</v>
      </c>
      <c r="D2798" s="10">
        <v>0.56999999999999995</v>
      </c>
      <c r="E2798" s="16">
        <v>5.88</v>
      </c>
      <c r="F2798">
        <v>237439</v>
      </c>
      <c r="G2798" s="5">
        <v>43153</v>
      </c>
    </row>
    <row r="2799" spans="1:7" x14ac:dyDescent="0.4">
      <c r="A2799">
        <v>98</v>
      </c>
      <c r="B2799" t="s">
        <v>1579</v>
      </c>
      <c r="C2799" s="10">
        <v>42.82</v>
      </c>
      <c r="D2799" s="10">
        <v>2.37</v>
      </c>
      <c r="E2799" s="16">
        <v>5.86</v>
      </c>
      <c r="F2799">
        <v>20051</v>
      </c>
      <c r="G2799" s="5">
        <v>43153</v>
      </c>
    </row>
    <row r="2800" spans="1:7" x14ac:dyDescent="0.4">
      <c r="A2800">
        <v>99</v>
      </c>
      <c r="B2800" t="s">
        <v>1580</v>
      </c>
      <c r="C2800" s="10">
        <v>8.5399999999999991</v>
      </c>
      <c r="D2800" s="10">
        <v>0.47</v>
      </c>
      <c r="E2800" s="16">
        <v>5.82</v>
      </c>
      <c r="F2800">
        <v>834864</v>
      </c>
      <c r="G2800" s="5">
        <v>43153</v>
      </c>
    </row>
    <row r="2801" spans="1:7" x14ac:dyDescent="0.4">
      <c r="A2801">
        <v>100</v>
      </c>
      <c r="B2801" t="s">
        <v>1581</v>
      </c>
      <c r="C2801" s="10">
        <v>12.9</v>
      </c>
      <c r="D2801" s="10">
        <v>0.7</v>
      </c>
      <c r="E2801" s="16">
        <v>5.74</v>
      </c>
      <c r="F2801">
        <v>3038123</v>
      </c>
      <c r="G2801" s="5">
        <v>43153</v>
      </c>
    </row>
    <row r="2802" spans="1:7" x14ac:dyDescent="0.4">
      <c r="A2802">
        <v>1</v>
      </c>
      <c r="B2802" t="s">
        <v>296</v>
      </c>
      <c r="C2802" s="10">
        <v>6.36</v>
      </c>
      <c r="D2802" s="10">
        <v>1.67</v>
      </c>
      <c r="E2802" s="16">
        <v>35.61</v>
      </c>
      <c r="F2802">
        <v>380913</v>
      </c>
      <c r="G2802" s="5">
        <v>43152</v>
      </c>
    </row>
    <row r="2803" spans="1:7" x14ac:dyDescent="0.4">
      <c r="A2803">
        <v>2</v>
      </c>
      <c r="B2803" t="s">
        <v>1577</v>
      </c>
      <c r="C2803" s="10">
        <v>27.83</v>
      </c>
      <c r="D2803" s="10">
        <v>5.78</v>
      </c>
      <c r="E2803" s="16">
        <v>26.21</v>
      </c>
      <c r="F2803">
        <v>2036416</v>
      </c>
      <c r="G2803" s="5">
        <v>43152</v>
      </c>
    </row>
    <row r="2804" spans="1:7" x14ac:dyDescent="0.4">
      <c r="A2804">
        <v>3</v>
      </c>
      <c r="B2804" t="s">
        <v>304</v>
      </c>
      <c r="C2804" s="10">
        <v>4.26</v>
      </c>
      <c r="D2804" s="10">
        <v>0.68</v>
      </c>
      <c r="E2804" s="16">
        <v>19.010000000000002</v>
      </c>
      <c r="F2804">
        <v>42668</v>
      </c>
      <c r="G2804" s="5">
        <v>43152</v>
      </c>
    </row>
    <row r="2805" spans="1:7" x14ac:dyDescent="0.4">
      <c r="A2805">
        <v>4</v>
      </c>
      <c r="B2805" t="s">
        <v>452</v>
      </c>
      <c r="C2805" s="10">
        <v>12.78</v>
      </c>
      <c r="D2805" s="10">
        <v>1.99</v>
      </c>
      <c r="E2805" s="16">
        <v>18.440000000000001</v>
      </c>
      <c r="F2805">
        <v>53447</v>
      </c>
      <c r="G2805" s="5">
        <v>43152</v>
      </c>
    </row>
    <row r="2806" spans="1:7" x14ac:dyDescent="0.4">
      <c r="A2806">
        <v>5</v>
      </c>
      <c r="B2806" t="s">
        <v>1179</v>
      </c>
      <c r="C2806" s="10">
        <v>10.59</v>
      </c>
      <c r="D2806" s="10">
        <v>1.42</v>
      </c>
      <c r="E2806" s="16">
        <v>15.49</v>
      </c>
      <c r="F2806">
        <v>1488465</v>
      </c>
      <c r="G2806" s="5">
        <v>43152</v>
      </c>
    </row>
    <row r="2807" spans="1:7" x14ac:dyDescent="0.4">
      <c r="A2807">
        <v>6</v>
      </c>
      <c r="B2807" t="s">
        <v>1502</v>
      </c>
      <c r="C2807" s="10">
        <v>27.32</v>
      </c>
      <c r="D2807" s="10">
        <v>3.66</v>
      </c>
      <c r="E2807" s="16">
        <v>15.47</v>
      </c>
      <c r="F2807">
        <v>1196426</v>
      </c>
      <c r="G2807" s="5">
        <v>43152</v>
      </c>
    </row>
    <row r="2808" spans="1:7" x14ac:dyDescent="0.4">
      <c r="A2808">
        <v>7</v>
      </c>
      <c r="B2808" t="s">
        <v>213</v>
      </c>
      <c r="C2808" s="10">
        <v>5.04</v>
      </c>
      <c r="D2808" s="10">
        <v>0.61</v>
      </c>
      <c r="E2808" s="16">
        <v>13.77</v>
      </c>
      <c r="F2808">
        <v>33876</v>
      </c>
      <c r="G2808" s="5">
        <v>43152</v>
      </c>
    </row>
    <row r="2809" spans="1:7" x14ac:dyDescent="0.4">
      <c r="A2809">
        <v>8</v>
      </c>
      <c r="B2809" t="s">
        <v>1582</v>
      </c>
      <c r="C2809" s="10">
        <v>22.05</v>
      </c>
      <c r="D2809" s="10">
        <v>2.6</v>
      </c>
      <c r="E2809" s="16">
        <v>13.37</v>
      </c>
      <c r="F2809">
        <v>398364</v>
      </c>
      <c r="G2809" s="5">
        <v>43152</v>
      </c>
    </row>
    <row r="2810" spans="1:7" x14ac:dyDescent="0.4">
      <c r="A2810">
        <v>9</v>
      </c>
      <c r="B2810" t="s">
        <v>592</v>
      </c>
      <c r="C2810" s="10">
        <v>2.89</v>
      </c>
      <c r="D2810" s="10">
        <v>0.33</v>
      </c>
      <c r="E2810" s="16">
        <v>12.89</v>
      </c>
      <c r="F2810">
        <v>944521</v>
      </c>
      <c r="G2810" s="5">
        <v>43152</v>
      </c>
    </row>
    <row r="2811" spans="1:7" x14ac:dyDescent="0.4">
      <c r="A2811">
        <v>10</v>
      </c>
      <c r="B2811" t="s">
        <v>243</v>
      </c>
      <c r="C2811" s="10">
        <v>17.87</v>
      </c>
      <c r="D2811" s="10">
        <v>1.96</v>
      </c>
      <c r="E2811" s="16">
        <v>12.32</v>
      </c>
      <c r="F2811">
        <v>64349</v>
      </c>
      <c r="G2811" s="5">
        <v>43152</v>
      </c>
    </row>
    <row r="2812" spans="1:7" x14ac:dyDescent="0.4">
      <c r="A2812">
        <v>11</v>
      </c>
      <c r="B2812" t="s">
        <v>1575</v>
      </c>
      <c r="C2812" s="10">
        <v>27.8</v>
      </c>
      <c r="D2812" s="10">
        <v>2.95</v>
      </c>
      <c r="E2812" s="16">
        <v>11.87</v>
      </c>
      <c r="F2812">
        <v>232009</v>
      </c>
      <c r="G2812" s="5">
        <v>43152</v>
      </c>
    </row>
    <row r="2813" spans="1:7" x14ac:dyDescent="0.4">
      <c r="A2813">
        <v>12</v>
      </c>
      <c r="B2813" t="s">
        <v>40</v>
      </c>
      <c r="C2813" s="10">
        <v>3.5</v>
      </c>
      <c r="D2813" s="10">
        <v>0.37</v>
      </c>
      <c r="E2813" s="16">
        <v>11.82</v>
      </c>
      <c r="F2813">
        <v>7426</v>
      </c>
      <c r="G2813" s="5">
        <v>43152</v>
      </c>
    </row>
    <row r="2814" spans="1:7" x14ac:dyDescent="0.4">
      <c r="A2814">
        <v>13</v>
      </c>
      <c r="B2814" t="s">
        <v>1583</v>
      </c>
      <c r="C2814" s="10">
        <v>17.86</v>
      </c>
      <c r="D2814" s="10">
        <v>1.87</v>
      </c>
      <c r="E2814" s="16">
        <v>11.69</v>
      </c>
      <c r="F2814">
        <v>7111291</v>
      </c>
      <c r="G2814" s="5">
        <v>43152</v>
      </c>
    </row>
    <row r="2815" spans="1:7" x14ac:dyDescent="0.4">
      <c r="A2815">
        <v>14</v>
      </c>
      <c r="B2815" t="s">
        <v>1356</v>
      </c>
      <c r="C2815" s="10">
        <v>2.4</v>
      </c>
      <c r="D2815" s="10">
        <v>0.25</v>
      </c>
      <c r="E2815" s="16">
        <v>11.63</v>
      </c>
      <c r="F2815">
        <v>195259</v>
      </c>
      <c r="G2815" s="5">
        <v>43152</v>
      </c>
    </row>
    <row r="2816" spans="1:7" x14ac:dyDescent="0.4">
      <c r="A2816">
        <v>15</v>
      </c>
      <c r="B2816" t="s">
        <v>1139</v>
      </c>
      <c r="C2816" s="10">
        <v>18.05</v>
      </c>
      <c r="D2816" s="10">
        <v>1.8</v>
      </c>
      <c r="E2816" s="16">
        <v>11.08</v>
      </c>
      <c r="F2816">
        <v>79311</v>
      </c>
      <c r="G2816" s="5">
        <v>43152</v>
      </c>
    </row>
    <row r="2817" spans="1:7" x14ac:dyDescent="0.4">
      <c r="A2817">
        <v>16</v>
      </c>
      <c r="B2817" t="s">
        <v>550</v>
      </c>
      <c r="C2817" s="10">
        <v>149.91999999999999</v>
      </c>
      <c r="D2817" s="10">
        <v>14.26</v>
      </c>
      <c r="E2817" s="16">
        <v>10.51</v>
      </c>
      <c r="F2817">
        <v>472705</v>
      </c>
      <c r="G2817" s="5">
        <v>43152</v>
      </c>
    </row>
    <row r="2818" spans="1:7" x14ac:dyDescent="0.4">
      <c r="A2818">
        <v>17</v>
      </c>
      <c r="B2818" t="s">
        <v>1584</v>
      </c>
      <c r="C2818" s="10">
        <v>18.39</v>
      </c>
      <c r="D2818" s="10">
        <v>1.73</v>
      </c>
      <c r="E2818" s="16">
        <v>10.38</v>
      </c>
      <c r="F2818">
        <v>344644</v>
      </c>
      <c r="G2818" s="5">
        <v>43152</v>
      </c>
    </row>
    <row r="2819" spans="1:7" x14ac:dyDescent="0.4">
      <c r="A2819">
        <v>18</v>
      </c>
      <c r="B2819" t="s">
        <v>1585</v>
      </c>
      <c r="C2819" s="10">
        <v>52.65</v>
      </c>
      <c r="D2819" s="10">
        <v>4.95</v>
      </c>
      <c r="E2819" s="16">
        <v>10.38</v>
      </c>
      <c r="F2819">
        <v>215645</v>
      </c>
      <c r="G2819" s="5">
        <v>43152</v>
      </c>
    </row>
    <row r="2820" spans="1:7" x14ac:dyDescent="0.4">
      <c r="A2820">
        <v>19</v>
      </c>
      <c r="B2820" t="s">
        <v>359</v>
      </c>
      <c r="C2820" s="10">
        <v>12.58</v>
      </c>
      <c r="D2820" s="10">
        <v>1.18</v>
      </c>
      <c r="E2820" s="16">
        <v>10.35</v>
      </c>
      <c r="F2820">
        <v>138803</v>
      </c>
      <c r="G2820" s="5">
        <v>43152</v>
      </c>
    </row>
    <row r="2821" spans="1:7" x14ac:dyDescent="0.4">
      <c r="A2821">
        <v>20</v>
      </c>
      <c r="B2821" t="s">
        <v>996</v>
      </c>
      <c r="C2821" s="10">
        <v>3.75</v>
      </c>
      <c r="D2821" s="10">
        <v>0.35</v>
      </c>
      <c r="E2821" s="16">
        <v>10.29</v>
      </c>
      <c r="F2821">
        <v>311937</v>
      </c>
      <c r="G2821" s="5">
        <v>43152</v>
      </c>
    </row>
    <row r="2822" spans="1:7" x14ac:dyDescent="0.4">
      <c r="A2822">
        <v>21</v>
      </c>
      <c r="B2822" t="s">
        <v>1007</v>
      </c>
      <c r="C2822" s="10">
        <v>3.19</v>
      </c>
      <c r="D2822" s="10">
        <v>0.28999999999999998</v>
      </c>
      <c r="E2822" s="16">
        <v>10</v>
      </c>
      <c r="F2822">
        <v>5476</v>
      </c>
      <c r="G2822" s="5">
        <v>43152</v>
      </c>
    </row>
    <row r="2823" spans="1:7" x14ac:dyDescent="0.4">
      <c r="A2823">
        <v>22</v>
      </c>
      <c r="B2823" t="s">
        <v>426</v>
      </c>
      <c r="C2823" s="10">
        <v>3.87</v>
      </c>
      <c r="D2823" s="10">
        <v>0.35</v>
      </c>
      <c r="E2823" s="16">
        <v>9.94</v>
      </c>
      <c r="F2823">
        <v>457532</v>
      </c>
      <c r="G2823" s="5">
        <v>43152</v>
      </c>
    </row>
    <row r="2824" spans="1:7" x14ac:dyDescent="0.4">
      <c r="A2824">
        <v>23</v>
      </c>
      <c r="B2824" t="s">
        <v>730</v>
      </c>
      <c r="C2824" s="10">
        <v>2.99</v>
      </c>
      <c r="D2824" s="10">
        <v>0.27</v>
      </c>
      <c r="E2824" s="16">
        <v>9.93</v>
      </c>
      <c r="F2824">
        <v>3088763</v>
      </c>
      <c r="G2824" s="5">
        <v>43152</v>
      </c>
    </row>
    <row r="2825" spans="1:7" x14ac:dyDescent="0.4">
      <c r="A2825">
        <v>24</v>
      </c>
      <c r="B2825" t="s">
        <v>1018</v>
      </c>
      <c r="C2825" s="10">
        <v>13.85</v>
      </c>
      <c r="D2825" s="10">
        <v>1.25</v>
      </c>
      <c r="E2825" s="16">
        <v>9.92</v>
      </c>
      <c r="F2825">
        <v>3805319</v>
      </c>
      <c r="G2825" s="5">
        <v>43152</v>
      </c>
    </row>
    <row r="2826" spans="1:7" x14ac:dyDescent="0.4">
      <c r="A2826">
        <v>25</v>
      </c>
      <c r="B2826" t="s">
        <v>883</v>
      </c>
      <c r="C2826" s="10">
        <v>31.75</v>
      </c>
      <c r="D2826" s="10">
        <v>2.85</v>
      </c>
      <c r="E2826" s="16">
        <v>9.86</v>
      </c>
      <c r="F2826">
        <v>1243231</v>
      </c>
      <c r="G2826" s="5">
        <v>43152</v>
      </c>
    </row>
    <row r="2827" spans="1:7" x14ac:dyDescent="0.4">
      <c r="A2827">
        <v>26</v>
      </c>
      <c r="B2827" t="s">
        <v>1484</v>
      </c>
      <c r="C2827" s="10">
        <v>8.08</v>
      </c>
      <c r="D2827" s="10">
        <v>0.72</v>
      </c>
      <c r="E2827" s="16">
        <v>9.7799999999999994</v>
      </c>
      <c r="F2827">
        <v>1513607</v>
      </c>
      <c r="G2827" s="5">
        <v>43152</v>
      </c>
    </row>
    <row r="2828" spans="1:7" x14ac:dyDescent="0.4">
      <c r="A2828">
        <v>27</v>
      </c>
      <c r="B2828" t="s">
        <v>1248</v>
      </c>
      <c r="C2828" s="10">
        <v>13.5</v>
      </c>
      <c r="D2828" s="10">
        <v>1.2</v>
      </c>
      <c r="E2828" s="16">
        <v>9.76</v>
      </c>
      <c r="F2828">
        <v>195561</v>
      </c>
      <c r="G2828" s="5">
        <v>43152</v>
      </c>
    </row>
    <row r="2829" spans="1:7" x14ac:dyDescent="0.4">
      <c r="A2829">
        <v>28</v>
      </c>
      <c r="B2829" t="s">
        <v>1302</v>
      </c>
      <c r="C2829" s="10">
        <v>6.99</v>
      </c>
      <c r="D2829" s="10">
        <v>0.62</v>
      </c>
      <c r="E2829" s="16">
        <v>9.73</v>
      </c>
      <c r="F2829">
        <v>1408245</v>
      </c>
      <c r="G2829" s="5">
        <v>43152</v>
      </c>
    </row>
    <row r="2830" spans="1:7" x14ac:dyDescent="0.4">
      <c r="A2830">
        <v>29</v>
      </c>
      <c r="B2830" t="s">
        <v>386</v>
      </c>
      <c r="C2830" s="10">
        <v>2.75</v>
      </c>
      <c r="D2830" s="10">
        <v>0.24</v>
      </c>
      <c r="E2830" s="16">
        <v>9.56</v>
      </c>
      <c r="F2830">
        <v>888250</v>
      </c>
      <c r="G2830" s="5">
        <v>43152</v>
      </c>
    </row>
    <row r="2831" spans="1:7" x14ac:dyDescent="0.4">
      <c r="A2831">
        <v>30</v>
      </c>
      <c r="B2831" t="s">
        <v>1586</v>
      </c>
      <c r="C2831" s="10">
        <v>14.35</v>
      </c>
      <c r="D2831" s="10">
        <v>1.25</v>
      </c>
      <c r="E2831" s="16">
        <v>9.5399999999999991</v>
      </c>
      <c r="F2831">
        <v>2093079</v>
      </c>
      <c r="G2831" s="5">
        <v>43152</v>
      </c>
    </row>
    <row r="2832" spans="1:7" x14ac:dyDescent="0.4">
      <c r="A2832">
        <v>31</v>
      </c>
      <c r="B2832" t="s">
        <v>706</v>
      </c>
      <c r="C2832" s="10">
        <v>26.12</v>
      </c>
      <c r="D2832" s="10">
        <v>2.2599999999999998</v>
      </c>
      <c r="E2832" s="16">
        <v>9.4700000000000006</v>
      </c>
      <c r="F2832">
        <v>259416</v>
      </c>
      <c r="G2832" s="5">
        <v>43152</v>
      </c>
    </row>
    <row r="2833" spans="1:7" x14ac:dyDescent="0.4">
      <c r="A2833">
        <v>32</v>
      </c>
      <c r="B2833" t="s">
        <v>1341</v>
      </c>
      <c r="C2833" s="10">
        <v>2.2799999999999998</v>
      </c>
      <c r="D2833" s="10">
        <v>0.19</v>
      </c>
      <c r="E2833" s="16">
        <v>9.2799999999999994</v>
      </c>
      <c r="F2833">
        <v>142933</v>
      </c>
      <c r="G2833" s="5">
        <v>43152</v>
      </c>
    </row>
    <row r="2834" spans="1:7" x14ac:dyDescent="0.4">
      <c r="A2834">
        <v>33</v>
      </c>
      <c r="B2834" t="s">
        <v>1081</v>
      </c>
      <c r="C2834" s="10">
        <v>4.49</v>
      </c>
      <c r="D2834" s="10">
        <v>0.38</v>
      </c>
      <c r="E2834" s="16">
        <v>9.27</v>
      </c>
      <c r="F2834">
        <v>22757</v>
      </c>
      <c r="G2834" s="5">
        <v>43152</v>
      </c>
    </row>
    <row r="2835" spans="1:7" x14ac:dyDescent="0.4">
      <c r="A2835">
        <v>34</v>
      </c>
      <c r="B2835" t="s">
        <v>985</v>
      </c>
      <c r="C2835" s="10">
        <v>2.75</v>
      </c>
      <c r="D2835" s="10">
        <v>0.23</v>
      </c>
      <c r="E2835" s="16">
        <v>9.1300000000000008</v>
      </c>
      <c r="F2835">
        <v>32118</v>
      </c>
      <c r="G2835" s="5">
        <v>43152</v>
      </c>
    </row>
    <row r="2836" spans="1:7" x14ac:dyDescent="0.4">
      <c r="A2836">
        <v>35</v>
      </c>
      <c r="B2836" t="s">
        <v>1587</v>
      </c>
      <c r="C2836" s="10">
        <v>5.77</v>
      </c>
      <c r="D2836" s="10">
        <v>0.48</v>
      </c>
      <c r="E2836" s="16">
        <v>9.07</v>
      </c>
      <c r="F2836">
        <v>497631</v>
      </c>
      <c r="G2836" s="5">
        <v>43152</v>
      </c>
    </row>
    <row r="2837" spans="1:7" x14ac:dyDescent="0.4">
      <c r="A2837">
        <v>36</v>
      </c>
      <c r="B2837" t="s">
        <v>1588</v>
      </c>
      <c r="C2837" s="10">
        <v>2.5299999999999998</v>
      </c>
      <c r="D2837" s="10">
        <v>0.21</v>
      </c>
      <c r="E2837" s="16">
        <v>9.0500000000000007</v>
      </c>
      <c r="F2837">
        <v>108400</v>
      </c>
      <c r="G2837" s="5">
        <v>43152</v>
      </c>
    </row>
    <row r="2838" spans="1:7" x14ac:dyDescent="0.4">
      <c r="A2838">
        <v>37</v>
      </c>
      <c r="B2838" t="s">
        <v>1029</v>
      </c>
      <c r="C2838" s="10">
        <v>12.87</v>
      </c>
      <c r="D2838" s="10">
        <v>1.06</v>
      </c>
      <c r="E2838" s="16">
        <v>9</v>
      </c>
      <c r="F2838">
        <v>85617</v>
      </c>
      <c r="G2838" s="5">
        <v>43152</v>
      </c>
    </row>
    <row r="2839" spans="1:7" x14ac:dyDescent="0.4">
      <c r="A2839">
        <v>38</v>
      </c>
      <c r="B2839" t="s">
        <v>363</v>
      </c>
      <c r="C2839" s="10">
        <v>8</v>
      </c>
      <c r="D2839" s="10">
        <v>0.66</v>
      </c>
      <c r="E2839" s="16">
        <v>8.99</v>
      </c>
      <c r="F2839">
        <v>161784</v>
      </c>
      <c r="G2839" s="5">
        <v>43152</v>
      </c>
    </row>
    <row r="2840" spans="1:7" x14ac:dyDescent="0.4">
      <c r="A2840">
        <v>39</v>
      </c>
      <c r="B2840" t="s">
        <v>1589</v>
      </c>
      <c r="C2840" s="10">
        <v>154.30000000000001</v>
      </c>
      <c r="D2840" s="10">
        <v>12.71</v>
      </c>
      <c r="E2840" s="16">
        <v>8.98</v>
      </c>
      <c r="F2840">
        <v>940408</v>
      </c>
      <c r="G2840" s="5">
        <v>43152</v>
      </c>
    </row>
    <row r="2841" spans="1:7" x14ac:dyDescent="0.4">
      <c r="A2841">
        <v>40</v>
      </c>
      <c r="B2841" t="s">
        <v>1590</v>
      </c>
      <c r="C2841" s="10">
        <v>20.399999999999999</v>
      </c>
      <c r="D2841" s="10">
        <v>1.66</v>
      </c>
      <c r="E2841" s="16">
        <v>8.86</v>
      </c>
      <c r="F2841">
        <v>941443</v>
      </c>
      <c r="G2841" s="5">
        <v>43152</v>
      </c>
    </row>
    <row r="2842" spans="1:7" x14ac:dyDescent="0.4">
      <c r="A2842">
        <v>41</v>
      </c>
      <c r="B2842" t="s">
        <v>957</v>
      </c>
      <c r="C2842" s="10">
        <v>17.97</v>
      </c>
      <c r="D2842" s="10">
        <v>1.42</v>
      </c>
      <c r="E2842" s="16">
        <v>8.58</v>
      </c>
      <c r="F2842">
        <v>125535</v>
      </c>
      <c r="G2842" s="5">
        <v>43152</v>
      </c>
    </row>
    <row r="2843" spans="1:7" x14ac:dyDescent="0.4">
      <c r="A2843">
        <v>42</v>
      </c>
      <c r="B2843" t="s">
        <v>1320</v>
      </c>
      <c r="C2843" s="10">
        <v>3.85</v>
      </c>
      <c r="D2843" s="10">
        <v>0.3</v>
      </c>
      <c r="E2843" s="16">
        <v>8.4499999999999993</v>
      </c>
      <c r="F2843">
        <v>358996</v>
      </c>
      <c r="G2843" s="5">
        <v>43152</v>
      </c>
    </row>
    <row r="2844" spans="1:7" x14ac:dyDescent="0.4">
      <c r="A2844">
        <v>43</v>
      </c>
      <c r="B2844" t="s">
        <v>1591</v>
      </c>
      <c r="C2844" s="10">
        <v>12.42</v>
      </c>
      <c r="D2844" s="10">
        <v>0.96</v>
      </c>
      <c r="E2844" s="16">
        <v>8.3800000000000008</v>
      </c>
      <c r="F2844">
        <v>127135</v>
      </c>
      <c r="G2844" s="5">
        <v>43152</v>
      </c>
    </row>
    <row r="2845" spans="1:7" x14ac:dyDescent="0.4">
      <c r="A2845">
        <v>44</v>
      </c>
      <c r="B2845" t="s">
        <v>589</v>
      </c>
      <c r="C2845" s="10">
        <v>5.85</v>
      </c>
      <c r="D2845" s="10">
        <v>0.45</v>
      </c>
      <c r="E2845" s="16">
        <v>8.33</v>
      </c>
      <c r="F2845">
        <v>407246</v>
      </c>
      <c r="G2845" s="5">
        <v>43152</v>
      </c>
    </row>
    <row r="2846" spans="1:7" x14ac:dyDescent="0.4">
      <c r="A2846">
        <v>45</v>
      </c>
      <c r="B2846" t="s">
        <v>1592</v>
      </c>
      <c r="C2846" s="10">
        <v>15.37</v>
      </c>
      <c r="D2846" s="10">
        <v>1.18</v>
      </c>
      <c r="E2846" s="16">
        <v>8.32</v>
      </c>
      <c r="F2846">
        <v>1825511</v>
      </c>
      <c r="G2846" s="5">
        <v>43152</v>
      </c>
    </row>
    <row r="2847" spans="1:7" x14ac:dyDescent="0.4">
      <c r="A2847">
        <v>46</v>
      </c>
      <c r="B2847" t="s">
        <v>120</v>
      </c>
      <c r="C2847" s="10">
        <v>8.42</v>
      </c>
      <c r="D2847" s="10">
        <v>0.64</v>
      </c>
      <c r="E2847" s="16">
        <v>8.25</v>
      </c>
      <c r="F2847">
        <v>12622</v>
      </c>
      <c r="G2847" s="5">
        <v>43152</v>
      </c>
    </row>
    <row r="2848" spans="1:7" x14ac:dyDescent="0.4">
      <c r="A2848">
        <v>47</v>
      </c>
      <c r="B2848" t="s">
        <v>1593</v>
      </c>
      <c r="C2848" s="10">
        <v>114</v>
      </c>
      <c r="D2848" s="10">
        <v>8.65</v>
      </c>
      <c r="E2848" s="16">
        <v>8.2100000000000009</v>
      </c>
      <c r="F2848">
        <v>5144649</v>
      </c>
      <c r="G2848" s="5">
        <v>43152</v>
      </c>
    </row>
    <row r="2849" spans="1:7" x14ac:dyDescent="0.4">
      <c r="A2849">
        <v>48</v>
      </c>
      <c r="B2849" t="s">
        <v>1594</v>
      </c>
      <c r="C2849" s="10">
        <v>31.1</v>
      </c>
      <c r="D2849" s="10">
        <v>2.35</v>
      </c>
      <c r="E2849" s="16">
        <v>8.17</v>
      </c>
      <c r="F2849">
        <v>676617</v>
      </c>
      <c r="G2849" s="5">
        <v>43152</v>
      </c>
    </row>
    <row r="2850" spans="1:7" x14ac:dyDescent="0.4">
      <c r="A2850">
        <v>49</v>
      </c>
      <c r="B2850" t="s">
        <v>814</v>
      </c>
      <c r="C2850" s="10">
        <v>8.5</v>
      </c>
      <c r="D2850" s="10">
        <v>0.64</v>
      </c>
      <c r="E2850" s="16">
        <v>8.14</v>
      </c>
      <c r="F2850">
        <v>35069</v>
      </c>
      <c r="G2850" s="5">
        <v>43152</v>
      </c>
    </row>
    <row r="2851" spans="1:7" x14ac:dyDescent="0.4">
      <c r="A2851">
        <v>50</v>
      </c>
      <c r="B2851" t="s">
        <v>318</v>
      </c>
      <c r="C2851" s="10">
        <v>31.26</v>
      </c>
      <c r="D2851" s="10">
        <v>2.3199999999999998</v>
      </c>
      <c r="E2851" s="16">
        <v>8.02</v>
      </c>
      <c r="F2851">
        <v>17879</v>
      </c>
      <c r="G2851" s="5">
        <v>43152</v>
      </c>
    </row>
    <row r="2852" spans="1:7" x14ac:dyDescent="0.4">
      <c r="A2852">
        <v>51</v>
      </c>
      <c r="B2852" t="s">
        <v>942</v>
      </c>
      <c r="C2852" s="10">
        <v>2.91</v>
      </c>
      <c r="D2852" s="10">
        <v>0.21</v>
      </c>
      <c r="E2852" s="16">
        <v>7.77</v>
      </c>
      <c r="F2852">
        <v>21959</v>
      </c>
      <c r="G2852" s="5">
        <v>43152</v>
      </c>
    </row>
    <row r="2853" spans="1:7" x14ac:dyDescent="0.4">
      <c r="A2853">
        <v>52</v>
      </c>
      <c r="B2853" t="s">
        <v>438</v>
      </c>
      <c r="C2853" s="10">
        <v>9.31</v>
      </c>
      <c r="D2853" s="10">
        <v>0.67</v>
      </c>
      <c r="E2853" s="16">
        <v>7.75</v>
      </c>
      <c r="F2853">
        <v>176047</v>
      </c>
      <c r="G2853" s="5">
        <v>43152</v>
      </c>
    </row>
    <row r="2854" spans="1:7" x14ac:dyDescent="0.4">
      <c r="A2854">
        <v>53</v>
      </c>
      <c r="B2854" t="s">
        <v>1430</v>
      </c>
      <c r="C2854" s="10">
        <v>2.81</v>
      </c>
      <c r="D2854" s="10">
        <v>0.2</v>
      </c>
      <c r="E2854" s="16">
        <v>7.66</v>
      </c>
      <c r="F2854">
        <v>240889</v>
      </c>
      <c r="G2854" s="5">
        <v>43152</v>
      </c>
    </row>
    <row r="2855" spans="1:7" x14ac:dyDescent="0.4">
      <c r="A2855">
        <v>54</v>
      </c>
      <c r="B2855" t="s">
        <v>525</v>
      </c>
      <c r="C2855" s="10">
        <v>2.85</v>
      </c>
      <c r="D2855" s="10">
        <v>0.2</v>
      </c>
      <c r="E2855" s="16">
        <v>7.55</v>
      </c>
      <c r="F2855">
        <v>23753</v>
      </c>
      <c r="G2855" s="5">
        <v>43152</v>
      </c>
    </row>
    <row r="2856" spans="1:7" x14ac:dyDescent="0.4">
      <c r="A2856">
        <v>55</v>
      </c>
      <c r="B2856" t="s">
        <v>1595</v>
      </c>
      <c r="C2856" s="10">
        <v>77.66</v>
      </c>
      <c r="D2856" s="10">
        <v>5.39</v>
      </c>
      <c r="E2856" s="16">
        <v>7.46</v>
      </c>
      <c r="F2856">
        <v>383088</v>
      </c>
      <c r="G2856" s="5">
        <v>43152</v>
      </c>
    </row>
    <row r="2857" spans="1:7" x14ac:dyDescent="0.4">
      <c r="A2857">
        <v>56</v>
      </c>
      <c r="B2857" t="s">
        <v>445</v>
      </c>
      <c r="C2857" s="10">
        <v>15.84</v>
      </c>
      <c r="D2857" s="10">
        <v>1.08</v>
      </c>
      <c r="E2857" s="16">
        <v>7.32</v>
      </c>
      <c r="F2857">
        <v>914859</v>
      </c>
      <c r="G2857" s="5">
        <v>43152</v>
      </c>
    </row>
    <row r="2858" spans="1:7" x14ac:dyDescent="0.4">
      <c r="A2858">
        <v>57</v>
      </c>
      <c r="B2858" t="s">
        <v>1596</v>
      </c>
      <c r="C2858" s="10">
        <v>25.39</v>
      </c>
      <c r="D2858" s="10">
        <v>1.72</v>
      </c>
      <c r="E2858" s="16">
        <v>7.27</v>
      </c>
      <c r="F2858">
        <v>660051</v>
      </c>
      <c r="G2858" s="5">
        <v>43152</v>
      </c>
    </row>
    <row r="2859" spans="1:7" x14ac:dyDescent="0.4">
      <c r="A2859">
        <v>58</v>
      </c>
      <c r="B2859" t="s">
        <v>1597</v>
      </c>
      <c r="C2859" s="10">
        <v>7.83</v>
      </c>
      <c r="D2859" s="10">
        <v>0.53</v>
      </c>
      <c r="E2859" s="16">
        <v>7.19</v>
      </c>
      <c r="F2859">
        <v>990312</v>
      </c>
      <c r="G2859" s="5">
        <v>43152</v>
      </c>
    </row>
    <row r="2860" spans="1:7" x14ac:dyDescent="0.4">
      <c r="A2860">
        <v>59</v>
      </c>
      <c r="B2860" t="s">
        <v>697</v>
      </c>
      <c r="C2860" s="10">
        <v>2.2999999999999998</v>
      </c>
      <c r="D2860" s="10">
        <v>0.15</v>
      </c>
      <c r="E2860" s="16">
        <v>7.19</v>
      </c>
      <c r="F2860">
        <v>10961</v>
      </c>
      <c r="G2860" s="5">
        <v>43152</v>
      </c>
    </row>
    <row r="2861" spans="1:7" x14ac:dyDescent="0.4">
      <c r="A2861">
        <v>60</v>
      </c>
      <c r="B2861" t="s">
        <v>1188</v>
      </c>
      <c r="C2861" s="10">
        <v>9</v>
      </c>
      <c r="D2861" s="10">
        <v>0.6</v>
      </c>
      <c r="E2861" s="16">
        <v>7.14</v>
      </c>
      <c r="F2861">
        <v>242864</v>
      </c>
      <c r="G2861" s="5">
        <v>43152</v>
      </c>
    </row>
    <row r="2862" spans="1:7" x14ac:dyDescent="0.4">
      <c r="A2862">
        <v>61</v>
      </c>
      <c r="B2862" t="s">
        <v>717</v>
      </c>
      <c r="C2862" s="10">
        <v>10.220000000000001</v>
      </c>
      <c r="D2862" s="10">
        <v>0.68</v>
      </c>
      <c r="E2862" s="16">
        <v>7.13</v>
      </c>
      <c r="F2862">
        <v>1922633</v>
      </c>
      <c r="G2862" s="5">
        <v>43152</v>
      </c>
    </row>
    <row r="2863" spans="1:7" x14ac:dyDescent="0.4">
      <c r="A2863">
        <v>62</v>
      </c>
      <c r="B2863" t="s">
        <v>1598</v>
      </c>
      <c r="C2863" s="10">
        <v>34.979999999999997</v>
      </c>
      <c r="D2863" s="10">
        <v>2.31</v>
      </c>
      <c r="E2863" s="16">
        <v>7.07</v>
      </c>
      <c r="F2863">
        <v>4157869</v>
      </c>
      <c r="G2863" s="5">
        <v>43152</v>
      </c>
    </row>
    <row r="2864" spans="1:7" x14ac:dyDescent="0.4">
      <c r="A2864">
        <v>63</v>
      </c>
      <c r="B2864" t="s">
        <v>1100</v>
      </c>
      <c r="C2864" s="10">
        <v>10.6</v>
      </c>
      <c r="D2864" s="10">
        <v>0.7</v>
      </c>
      <c r="E2864" s="16">
        <v>7.07</v>
      </c>
      <c r="F2864">
        <v>16427</v>
      </c>
      <c r="G2864" s="5">
        <v>43152</v>
      </c>
    </row>
    <row r="2865" spans="1:7" x14ac:dyDescent="0.4">
      <c r="A2865">
        <v>64</v>
      </c>
      <c r="B2865" t="s">
        <v>824</v>
      </c>
      <c r="C2865" s="10">
        <v>3.03</v>
      </c>
      <c r="D2865" s="10">
        <v>0.2</v>
      </c>
      <c r="E2865" s="16">
        <v>7.07</v>
      </c>
      <c r="F2865">
        <v>20106</v>
      </c>
      <c r="G2865" s="5">
        <v>43152</v>
      </c>
    </row>
    <row r="2866" spans="1:7" x14ac:dyDescent="0.4">
      <c r="A2866">
        <v>65</v>
      </c>
      <c r="B2866" t="s">
        <v>374</v>
      </c>
      <c r="C2866" s="10">
        <v>4.25</v>
      </c>
      <c r="D2866" s="10">
        <v>0.28000000000000003</v>
      </c>
      <c r="E2866" s="16">
        <v>7.05</v>
      </c>
      <c r="F2866">
        <v>28800</v>
      </c>
      <c r="G2866" s="5">
        <v>43152</v>
      </c>
    </row>
    <row r="2867" spans="1:7" x14ac:dyDescent="0.4">
      <c r="A2867">
        <v>66</v>
      </c>
      <c r="B2867" t="s">
        <v>150</v>
      </c>
      <c r="C2867" s="10">
        <v>2.2999999999999998</v>
      </c>
      <c r="D2867" s="10">
        <v>0.15</v>
      </c>
      <c r="E2867" s="16">
        <v>6.98</v>
      </c>
      <c r="F2867">
        <v>15450</v>
      </c>
      <c r="G2867" s="5">
        <v>43152</v>
      </c>
    </row>
    <row r="2868" spans="1:7" x14ac:dyDescent="0.4">
      <c r="A2868">
        <v>67</v>
      </c>
      <c r="B2868" t="s">
        <v>291</v>
      </c>
      <c r="C2868" s="10">
        <v>21.37</v>
      </c>
      <c r="D2868" s="10">
        <v>1.39</v>
      </c>
      <c r="E2868" s="16">
        <v>6.96</v>
      </c>
      <c r="F2868">
        <v>142183</v>
      </c>
      <c r="G2868" s="5">
        <v>43152</v>
      </c>
    </row>
    <row r="2869" spans="1:7" x14ac:dyDescent="0.4">
      <c r="A2869">
        <v>68</v>
      </c>
      <c r="B2869" t="s">
        <v>1174</v>
      </c>
      <c r="C2869" s="10">
        <v>2.94</v>
      </c>
      <c r="D2869" s="10">
        <v>0.19</v>
      </c>
      <c r="E2869" s="16">
        <v>6.91</v>
      </c>
      <c r="F2869">
        <v>49351</v>
      </c>
      <c r="G2869" s="5">
        <v>43152</v>
      </c>
    </row>
    <row r="2870" spans="1:7" x14ac:dyDescent="0.4">
      <c r="A2870">
        <v>69</v>
      </c>
      <c r="B2870" t="s">
        <v>1365</v>
      </c>
      <c r="C2870" s="10">
        <v>87.49</v>
      </c>
      <c r="D2870" s="10">
        <v>5.65</v>
      </c>
      <c r="E2870" s="16">
        <v>6.9</v>
      </c>
      <c r="F2870">
        <v>635178</v>
      </c>
      <c r="G2870" s="5">
        <v>43152</v>
      </c>
    </row>
    <row r="2871" spans="1:7" x14ac:dyDescent="0.4">
      <c r="A2871">
        <v>70</v>
      </c>
      <c r="B2871" t="s">
        <v>995</v>
      </c>
      <c r="C2871" s="10">
        <v>23.38</v>
      </c>
      <c r="D2871" s="10">
        <v>1.49</v>
      </c>
      <c r="E2871" s="16">
        <v>6.81</v>
      </c>
      <c r="F2871">
        <v>174681</v>
      </c>
      <c r="G2871" s="5">
        <v>43152</v>
      </c>
    </row>
    <row r="2872" spans="1:7" x14ac:dyDescent="0.4">
      <c r="A2872">
        <v>71</v>
      </c>
      <c r="B2872" t="s">
        <v>1599</v>
      </c>
      <c r="C2872" s="10">
        <v>10.45</v>
      </c>
      <c r="D2872" s="10">
        <v>0.66</v>
      </c>
      <c r="E2872" s="16">
        <v>6.7</v>
      </c>
      <c r="F2872">
        <v>3144</v>
      </c>
      <c r="G2872" s="5">
        <v>43152</v>
      </c>
    </row>
    <row r="2873" spans="1:7" x14ac:dyDescent="0.4">
      <c r="A2873">
        <v>72</v>
      </c>
      <c r="B2873" t="s">
        <v>1600</v>
      </c>
      <c r="C2873" s="10">
        <v>24</v>
      </c>
      <c r="D2873" s="10">
        <v>1.5</v>
      </c>
      <c r="E2873" s="16">
        <v>6.67</v>
      </c>
      <c r="F2873">
        <v>457177</v>
      </c>
      <c r="G2873" s="5">
        <v>43152</v>
      </c>
    </row>
    <row r="2874" spans="1:7" x14ac:dyDescent="0.4">
      <c r="A2874">
        <v>73</v>
      </c>
      <c r="B2874" t="s">
        <v>292</v>
      </c>
      <c r="C2874" s="10">
        <v>3.2</v>
      </c>
      <c r="D2874" s="10">
        <v>0.2</v>
      </c>
      <c r="E2874" s="16">
        <v>6.67</v>
      </c>
      <c r="F2874">
        <v>539646</v>
      </c>
      <c r="G2874" s="5">
        <v>43152</v>
      </c>
    </row>
    <row r="2875" spans="1:7" x14ac:dyDescent="0.4">
      <c r="A2875">
        <v>74</v>
      </c>
      <c r="B2875" t="s">
        <v>188</v>
      </c>
      <c r="C2875" s="10">
        <v>3.25</v>
      </c>
      <c r="D2875" s="10">
        <v>0.2</v>
      </c>
      <c r="E2875" s="16">
        <v>6.56</v>
      </c>
      <c r="F2875">
        <v>380358</v>
      </c>
      <c r="G2875" s="5">
        <v>43152</v>
      </c>
    </row>
    <row r="2876" spans="1:7" x14ac:dyDescent="0.4">
      <c r="A2876">
        <v>75</v>
      </c>
      <c r="B2876" t="s">
        <v>1500</v>
      </c>
      <c r="C2876" s="10">
        <v>13.85</v>
      </c>
      <c r="D2876" s="10">
        <v>0.85</v>
      </c>
      <c r="E2876" s="16">
        <v>6.54</v>
      </c>
      <c r="F2876">
        <v>375414</v>
      </c>
      <c r="G2876" s="5">
        <v>43152</v>
      </c>
    </row>
    <row r="2877" spans="1:7" x14ac:dyDescent="0.4">
      <c r="A2877">
        <v>76</v>
      </c>
      <c r="B2877" t="s">
        <v>1601</v>
      </c>
      <c r="C2877" s="10">
        <v>9</v>
      </c>
      <c r="D2877" s="10">
        <v>0.55000000000000004</v>
      </c>
      <c r="E2877" s="16">
        <v>6.51</v>
      </c>
      <c r="F2877">
        <v>68315</v>
      </c>
      <c r="G2877" s="5">
        <v>43152</v>
      </c>
    </row>
    <row r="2878" spans="1:7" x14ac:dyDescent="0.4">
      <c r="A2878">
        <v>77</v>
      </c>
      <c r="B2878" t="s">
        <v>1164</v>
      </c>
      <c r="C2878" s="10">
        <v>3.46</v>
      </c>
      <c r="D2878" s="10">
        <v>0.21</v>
      </c>
      <c r="E2878" s="16">
        <v>6.46</v>
      </c>
      <c r="F2878">
        <v>560458</v>
      </c>
      <c r="G2878" s="5">
        <v>43152</v>
      </c>
    </row>
    <row r="2879" spans="1:7" x14ac:dyDescent="0.4">
      <c r="A2879">
        <v>78</v>
      </c>
      <c r="B2879" t="s">
        <v>311</v>
      </c>
      <c r="C2879" s="10">
        <v>4.46</v>
      </c>
      <c r="D2879" s="10">
        <v>0.27</v>
      </c>
      <c r="E2879" s="16">
        <v>6.44</v>
      </c>
      <c r="F2879">
        <v>359101</v>
      </c>
      <c r="G2879" s="5">
        <v>43152</v>
      </c>
    </row>
    <row r="2880" spans="1:7" x14ac:dyDescent="0.4">
      <c r="A2880">
        <v>79</v>
      </c>
      <c r="B2880" t="s">
        <v>388</v>
      </c>
      <c r="C2880" s="10">
        <v>14.66</v>
      </c>
      <c r="D2880" s="10">
        <v>0.88</v>
      </c>
      <c r="E2880" s="16">
        <v>6.39</v>
      </c>
      <c r="F2880">
        <v>184201</v>
      </c>
      <c r="G2880" s="5">
        <v>43152</v>
      </c>
    </row>
    <row r="2881" spans="1:7" x14ac:dyDescent="0.4">
      <c r="A2881">
        <v>80</v>
      </c>
      <c r="B2881" t="s">
        <v>481</v>
      </c>
      <c r="C2881" s="10">
        <v>20</v>
      </c>
      <c r="D2881" s="10">
        <v>1.2</v>
      </c>
      <c r="E2881" s="16">
        <v>6.38</v>
      </c>
      <c r="F2881">
        <v>17917</v>
      </c>
      <c r="G2881" s="5">
        <v>43152</v>
      </c>
    </row>
    <row r="2882" spans="1:7" x14ac:dyDescent="0.4">
      <c r="A2882">
        <v>81</v>
      </c>
      <c r="B2882" t="s">
        <v>50</v>
      </c>
      <c r="C2882" s="10">
        <v>3.2</v>
      </c>
      <c r="D2882" s="10">
        <v>0.19</v>
      </c>
      <c r="E2882" s="16">
        <v>6.31</v>
      </c>
      <c r="F2882">
        <v>386932</v>
      </c>
      <c r="G2882" s="5">
        <v>43152</v>
      </c>
    </row>
    <row r="2883" spans="1:7" x14ac:dyDescent="0.4">
      <c r="A2883">
        <v>82</v>
      </c>
      <c r="B2883" t="s">
        <v>1602</v>
      </c>
      <c r="C2883" s="10">
        <v>4.55</v>
      </c>
      <c r="D2883" s="10">
        <v>0.27</v>
      </c>
      <c r="E2883" s="16">
        <v>6.31</v>
      </c>
      <c r="F2883">
        <v>210574</v>
      </c>
      <c r="G2883" s="5">
        <v>43152</v>
      </c>
    </row>
    <row r="2884" spans="1:7" x14ac:dyDescent="0.4">
      <c r="A2884">
        <v>83</v>
      </c>
      <c r="B2884" t="s">
        <v>54</v>
      </c>
      <c r="C2884" s="10">
        <v>2.87</v>
      </c>
      <c r="D2884" s="10">
        <v>0.17</v>
      </c>
      <c r="E2884" s="16">
        <v>6.3</v>
      </c>
      <c r="F2884">
        <v>117793</v>
      </c>
      <c r="G2884" s="5">
        <v>43152</v>
      </c>
    </row>
    <row r="2885" spans="1:7" x14ac:dyDescent="0.4">
      <c r="A2885">
        <v>84</v>
      </c>
      <c r="B2885" t="s">
        <v>230</v>
      </c>
      <c r="C2885" s="10">
        <v>12.85</v>
      </c>
      <c r="D2885" s="10">
        <v>0.75</v>
      </c>
      <c r="E2885" s="16">
        <v>6.2</v>
      </c>
      <c r="F2885">
        <v>125585</v>
      </c>
      <c r="G2885" s="5">
        <v>43152</v>
      </c>
    </row>
    <row r="2886" spans="1:7" x14ac:dyDescent="0.4">
      <c r="A2886">
        <v>85</v>
      </c>
      <c r="B2886" t="s">
        <v>160</v>
      </c>
      <c r="C2886" s="10">
        <v>3.63</v>
      </c>
      <c r="D2886" s="10">
        <v>0.21</v>
      </c>
      <c r="E2886" s="16">
        <v>6.14</v>
      </c>
      <c r="F2886">
        <v>127270</v>
      </c>
      <c r="G2886" s="5">
        <v>43152</v>
      </c>
    </row>
    <row r="2887" spans="1:7" x14ac:dyDescent="0.4">
      <c r="A2887">
        <v>86</v>
      </c>
      <c r="B2887" t="s">
        <v>1603</v>
      </c>
      <c r="C2887" s="10">
        <v>49.66</v>
      </c>
      <c r="D2887" s="10">
        <v>2.86</v>
      </c>
      <c r="E2887" s="16">
        <v>6.11</v>
      </c>
      <c r="F2887">
        <v>79239</v>
      </c>
      <c r="G2887" s="5">
        <v>43152</v>
      </c>
    </row>
    <row r="2888" spans="1:7" x14ac:dyDescent="0.4">
      <c r="A2888">
        <v>87</v>
      </c>
      <c r="B2888" t="s">
        <v>339</v>
      </c>
      <c r="C2888" s="10">
        <v>21.75</v>
      </c>
      <c r="D2888" s="10">
        <v>1.25</v>
      </c>
      <c r="E2888" s="16">
        <v>6.09</v>
      </c>
      <c r="F2888">
        <v>98968</v>
      </c>
      <c r="G2888" s="5">
        <v>43152</v>
      </c>
    </row>
    <row r="2889" spans="1:7" x14ac:dyDescent="0.4">
      <c r="A2889">
        <v>88</v>
      </c>
      <c r="B2889" t="s">
        <v>1604</v>
      </c>
      <c r="C2889" s="10">
        <v>5.3</v>
      </c>
      <c r="D2889" s="10">
        <v>0.3</v>
      </c>
      <c r="E2889" s="16">
        <v>6</v>
      </c>
      <c r="F2889">
        <v>24506</v>
      </c>
      <c r="G2889" s="5">
        <v>43152</v>
      </c>
    </row>
    <row r="2890" spans="1:7" x14ac:dyDescent="0.4">
      <c r="A2890">
        <v>89</v>
      </c>
      <c r="B2890" t="s">
        <v>247</v>
      </c>
      <c r="C2890" s="10">
        <v>58.25</v>
      </c>
      <c r="D2890" s="10">
        <v>3.25</v>
      </c>
      <c r="E2890" s="16">
        <v>5.91</v>
      </c>
      <c r="F2890">
        <v>326984</v>
      </c>
      <c r="G2890" s="5">
        <v>43152</v>
      </c>
    </row>
    <row r="2891" spans="1:7" x14ac:dyDescent="0.4">
      <c r="A2891">
        <v>90</v>
      </c>
      <c r="B2891" t="s">
        <v>1383</v>
      </c>
      <c r="C2891" s="10">
        <v>6.82</v>
      </c>
      <c r="D2891" s="10">
        <v>0.38</v>
      </c>
      <c r="E2891" s="16">
        <v>5.9</v>
      </c>
      <c r="F2891">
        <v>2244012</v>
      </c>
      <c r="G2891" s="5">
        <v>43152</v>
      </c>
    </row>
    <row r="2892" spans="1:7" x14ac:dyDescent="0.4">
      <c r="A2892">
        <v>91</v>
      </c>
      <c r="B2892" t="s">
        <v>1566</v>
      </c>
      <c r="C2892" s="10">
        <v>3.6</v>
      </c>
      <c r="D2892" s="10">
        <v>0.2</v>
      </c>
      <c r="E2892" s="16">
        <v>5.88</v>
      </c>
      <c r="F2892">
        <v>171507</v>
      </c>
      <c r="G2892" s="5">
        <v>43152</v>
      </c>
    </row>
    <row r="2893" spans="1:7" x14ac:dyDescent="0.4">
      <c r="A2893">
        <v>92</v>
      </c>
      <c r="B2893" t="s">
        <v>364</v>
      </c>
      <c r="C2893" s="10">
        <v>5.59</v>
      </c>
      <c r="D2893" s="10">
        <v>0.31</v>
      </c>
      <c r="E2893" s="16">
        <v>5.87</v>
      </c>
      <c r="F2893">
        <v>668643</v>
      </c>
      <c r="G2893" s="5">
        <v>43152</v>
      </c>
    </row>
    <row r="2894" spans="1:7" x14ac:dyDescent="0.4">
      <c r="A2894">
        <v>93</v>
      </c>
      <c r="B2894" t="s">
        <v>72</v>
      </c>
      <c r="C2894" s="10">
        <v>5.07</v>
      </c>
      <c r="D2894" s="10">
        <v>0.28000000000000003</v>
      </c>
      <c r="E2894" s="16">
        <v>5.85</v>
      </c>
      <c r="F2894">
        <v>429351</v>
      </c>
      <c r="G2894" s="5">
        <v>43152</v>
      </c>
    </row>
    <row r="2895" spans="1:7" x14ac:dyDescent="0.4">
      <c r="A2895">
        <v>94</v>
      </c>
      <c r="B2895" t="s">
        <v>321</v>
      </c>
      <c r="C2895" s="10">
        <v>15.79</v>
      </c>
      <c r="D2895" s="10">
        <v>0.87</v>
      </c>
      <c r="E2895" s="16">
        <v>5.83</v>
      </c>
      <c r="F2895">
        <v>54518</v>
      </c>
      <c r="G2895" s="5">
        <v>43152</v>
      </c>
    </row>
    <row r="2896" spans="1:7" x14ac:dyDescent="0.4">
      <c r="A2896">
        <v>95</v>
      </c>
      <c r="B2896" t="s">
        <v>42</v>
      </c>
      <c r="C2896" s="10">
        <v>2.2000000000000002</v>
      </c>
      <c r="D2896" s="10">
        <v>0.12</v>
      </c>
      <c r="E2896" s="16">
        <v>5.77</v>
      </c>
      <c r="F2896">
        <v>3838215</v>
      </c>
      <c r="G2896" s="5">
        <v>43152</v>
      </c>
    </row>
    <row r="2897" spans="1:7" x14ac:dyDescent="0.4">
      <c r="A2897">
        <v>96</v>
      </c>
      <c r="B2897" t="s">
        <v>1141</v>
      </c>
      <c r="C2897" s="10">
        <v>6.5</v>
      </c>
      <c r="D2897" s="10">
        <v>0.35</v>
      </c>
      <c r="E2897" s="16">
        <v>5.69</v>
      </c>
      <c r="F2897">
        <v>89765</v>
      </c>
      <c r="G2897" s="5">
        <v>43152</v>
      </c>
    </row>
    <row r="2898" spans="1:7" x14ac:dyDescent="0.4">
      <c r="A2898">
        <v>97</v>
      </c>
      <c r="B2898" t="s">
        <v>1471</v>
      </c>
      <c r="C2898" s="10">
        <v>67.03</v>
      </c>
      <c r="D2898" s="10">
        <v>3.59</v>
      </c>
      <c r="E2898" s="16">
        <v>5.66</v>
      </c>
      <c r="F2898">
        <v>1377483</v>
      </c>
      <c r="G2898" s="5">
        <v>43152</v>
      </c>
    </row>
    <row r="2899" spans="1:7" x14ac:dyDescent="0.4">
      <c r="A2899">
        <v>98</v>
      </c>
      <c r="B2899" t="s">
        <v>1605</v>
      </c>
      <c r="C2899" s="10">
        <v>2.4300000000000002</v>
      </c>
      <c r="D2899" s="10">
        <v>0.13</v>
      </c>
      <c r="E2899" s="16">
        <v>5.65</v>
      </c>
      <c r="F2899">
        <v>86284</v>
      </c>
      <c r="G2899" s="5">
        <v>43152</v>
      </c>
    </row>
    <row r="2900" spans="1:7" x14ac:dyDescent="0.4">
      <c r="A2900">
        <v>99</v>
      </c>
      <c r="B2900" t="s">
        <v>1429</v>
      </c>
      <c r="C2900" s="10">
        <v>7.5</v>
      </c>
      <c r="D2900" s="10">
        <v>0.4</v>
      </c>
      <c r="E2900" s="16">
        <v>5.63</v>
      </c>
      <c r="F2900">
        <v>104345</v>
      </c>
      <c r="G2900" s="5">
        <v>43152</v>
      </c>
    </row>
    <row r="2901" spans="1:7" x14ac:dyDescent="0.4">
      <c r="A2901">
        <v>100</v>
      </c>
      <c r="B2901" t="s">
        <v>1606</v>
      </c>
      <c r="C2901" s="10">
        <v>3.2</v>
      </c>
      <c r="D2901" s="10">
        <v>0.17</v>
      </c>
      <c r="E2901" s="16">
        <v>5.61</v>
      </c>
      <c r="F2901">
        <v>92012</v>
      </c>
      <c r="G2901" s="5">
        <v>43152</v>
      </c>
    </row>
    <row r="2902" spans="1:7" x14ac:dyDescent="0.4">
      <c r="A2902">
        <v>1</v>
      </c>
      <c r="B2902" t="s">
        <v>1607</v>
      </c>
      <c r="C2902" s="10">
        <v>15.55</v>
      </c>
      <c r="D2902" s="10">
        <v>3</v>
      </c>
      <c r="E2902" s="16">
        <v>23.9</v>
      </c>
      <c r="F2902">
        <v>1512981</v>
      </c>
      <c r="G2902" s="5">
        <v>43151</v>
      </c>
    </row>
    <row r="2903" spans="1:7" x14ac:dyDescent="0.4">
      <c r="A2903">
        <v>2</v>
      </c>
      <c r="B2903" t="s">
        <v>1502</v>
      </c>
      <c r="C2903" s="10">
        <v>23.66</v>
      </c>
      <c r="D2903" s="10">
        <v>4.3</v>
      </c>
      <c r="E2903" s="16">
        <v>22.21</v>
      </c>
      <c r="F2903">
        <v>1324729</v>
      </c>
      <c r="G2903" s="5">
        <v>43151</v>
      </c>
    </row>
    <row r="2904" spans="1:7" x14ac:dyDescent="0.4">
      <c r="A2904">
        <v>3</v>
      </c>
      <c r="B2904" t="s">
        <v>339</v>
      </c>
      <c r="C2904" s="10">
        <v>20.5</v>
      </c>
      <c r="D2904" s="10">
        <v>2.85</v>
      </c>
      <c r="E2904" s="16">
        <v>16.149999999999999</v>
      </c>
      <c r="F2904">
        <v>128584</v>
      </c>
      <c r="G2904" s="5">
        <v>43151</v>
      </c>
    </row>
    <row r="2905" spans="1:7" x14ac:dyDescent="0.4">
      <c r="A2905">
        <v>4</v>
      </c>
      <c r="B2905" t="s">
        <v>1471</v>
      </c>
      <c r="C2905" s="10">
        <v>63.44</v>
      </c>
      <c r="D2905" s="10">
        <v>8.77</v>
      </c>
      <c r="E2905" s="16">
        <v>16.04</v>
      </c>
      <c r="F2905">
        <v>2827970</v>
      </c>
      <c r="G2905" s="5">
        <v>43151</v>
      </c>
    </row>
    <row r="2906" spans="1:7" x14ac:dyDescent="0.4">
      <c r="A2906">
        <v>5</v>
      </c>
      <c r="B2906" t="s">
        <v>591</v>
      </c>
      <c r="C2906" s="10">
        <v>61.51</v>
      </c>
      <c r="D2906" s="10">
        <v>8.24</v>
      </c>
      <c r="E2906" s="16">
        <v>15.47</v>
      </c>
      <c r="F2906">
        <v>617044</v>
      </c>
      <c r="G2906" s="5">
        <v>43151</v>
      </c>
    </row>
    <row r="2907" spans="1:7" x14ac:dyDescent="0.4">
      <c r="A2907">
        <v>6</v>
      </c>
      <c r="B2907" t="s">
        <v>967</v>
      </c>
      <c r="C2907" s="10">
        <v>7.74</v>
      </c>
      <c r="D2907" s="10">
        <v>0.91</v>
      </c>
      <c r="E2907" s="16">
        <v>13.32</v>
      </c>
      <c r="F2907">
        <v>563747</v>
      </c>
      <c r="G2907" s="5">
        <v>43151</v>
      </c>
    </row>
    <row r="2908" spans="1:7" x14ac:dyDescent="0.4">
      <c r="A2908">
        <v>7</v>
      </c>
      <c r="B2908" t="s">
        <v>811</v>
      </c>
      <c r="C2908" s="10">
        <v>20.54</v>
      </c>
      <c r="D2908" s="10">
        <v>2.36</v>
      </c>
      <c r="E2908" s="16">
        <v>12.98</v>
      </c>
      <c r="F2908">
        <v>2349875</v>
      </c>
      <c r="G2908" s="5">
        <v>43151</v>
      </c>
    </row>
    <row r="2909" spans="1:7" x14ac:dyDescent="0.4">
      <c r="A2909">
        <v>8</v>
      </c>
      <c r="B2909" t="s">
        <v>907</v>
      </c>
      <c r="C2909" s="10">
        <v>5.25</v>
      </c>
      <c r="D2909" s="10">
        <v>0.6</v>
      </c>
      <c r="E2909" s="16">
        <v>12.9</v>
      </c>
      <c r="F2909">
        <v>646349</v>
      </c>
      <c r="G2909" s="5">
        <v>43151</v>
      </c>
    </row>
    <row r="2910" spans="1:7" x14ac:dyDescent="0.4">
      <c r="A2910">
        <v>9</v>
      </c>
      <c r="B2910" t="s">
        <v>1608</v>
      </c>
      <c r="C2910" s="10">
        <v>17.600000000000001</v>
      </c>
      <c r="D2910" s="10">
        <v>2</v>
      </c>
      <c r="E2910" s="16">
        <v>12.82</v>
      </c>
      <c r="F2910">
        <v>828581</v>
      </c>
      <c r="G2910" s="5">
        <v>43151</v>
      </c>
    </row>
    <row r="2911" spans="1:7" x14ac:dyDescent="0.4">
      <c r="A2911">
        <v>10</v>
      </c>
      <c r="B2911" t="s">
        <v>433</v>
      </c>
      <c r="C2911" s="10">
        <v>11.26</v>
      </c>
      <c r="D2911" s="10">
        <v>1.27</v>
      </c>
      <c r="E2911" s="16">
        <v>12.71</v>
      </c>
      <c r="F2911">
        <v>352788</v>
      </c>
      <c r="G2911" s="5">
        <v>43151</v>
      </c>
    </row>
    <row r="2912" spans="1:7" x14ac:dyDescent="0.4">
      <c r="A2912">
        <v>11</v>
      </c>
      <c r="B2912" t="s">
        <v>431</v>
      </c>
      <c r="C2912" s="10">
        <v>11.74</v>
      </c>
      <c r="D2912" s="10">
        <v>1.3</v>
      </c>
      <c r="E2912" s="16">
        <v>12.51</v>
      </c>
      <c r="F2912">
        <v>5064</v>
      </c>
      <c r="G2912" s="5">
        <v>43151</v>
      </c>
    </row>
    <row r="2913" spans="1:7" x14ac:dyDescent="0.4">
      <c r="A2913">
        <v>12</v>
      </c>
      <c r="B2913" t="s">
        <v>78</v>
      </c>
      <c r="C2913" s="10">
        <v>3.57</v>
      </c>
      <c r="D2913" s="10">
        <v>0.39</v>
      </c>
      <c r="E2913" s="16">
        <v>12.26</v>
      </c>
      <c r="F2913">
        <v>1583280</v>
      </c>
      <c r="G2913" s="5">
        <v>43151</v>
      </c>
    </row>
    <row r="2914" spans="1:7" x14ac:dyDescent="0.4">
      <c r="A2914">
        <v>13</v>
      </c>
      <c r="B2914" t="s">
        <v>730</v>
      </c>
      <c r="C2914" s="10">
        <v>2.72</v>
      </c>
      <c r="D2914" s="10">
        <v>0.28999999999999998</v>
      </c>
      <c r="E2914" s="16">
        <v>11.93</v>
      </c>
      <c r="F2914">
        <v>1596663</v>
      </c>
      <c r="G2914" s="5">
        <v>43151</v>
      </c>
    </row>
    <row r="2915" spans="1:7" x14ac:dyDescent="0.4">
      <c r="A2915">
        <v>14</v>
      </c>
      <c r="B2915" t="s">
        <v>592</v>
      </c>
      <c r="C2915" s="10">
        <v>2.56</v>
      </c>
      <c r="D2915" s="10">
        <v>0.27</v>
      </c>
      <c r="E2915" s="16">
        <v>11.79</v>
      </c>
      <c r="F2915">
        <v>571117</v>
      </c>
      <c r="G2915" s="5">
        <v>43151</v>
      </c>
    </row>
    <row r="2916" spans="1:7" x14ac:dyDescent="0.4">
      <c r="A2916">
        <v>15</v>
      </c>
      <c r="B2916" t="s">
        <v>1095</v>
      </c>
      <c r="C2916" s="10">
        <v>17.45</v>
      </c>
      <c r="D2916" s="10">
        <v>1.81</v>
      </c>
      <c r="E2916" s="16">
        <v>11.57</v>
      </c>
      <c r="F2916">
        <v>487552</v>
      </c>
      <c r="G2916" s="5">
        <v>43151</v>
      </c>
    </row>
    <row r="2917" spans="1:7" x14ac:dyDescent="0.4">
      <c r="A2917">
        <v>16</v>
      </c>
      <c r="B2917" t="s">
        <v>211</v>
      </c>
      <c r="C2917" s="10">
        <v>7.3</v>
      </c>
      <c r="D2917" s="10">
        <v>0.75</v>
      </c>
      <c r="E2917" s="16">
        <v>11.45</v>
      </c>
      <c r="F2917">
        <v>424302</v>
      </c>
      <c r="G2917" s="5">
        <v>43151</v>
      </c>
    </row>
    <row r="2918" spans="1:7" x14ac:dyDescent="0.4">
      <c r="A2918">
        <v>17</v>
      </c>
      <c r="B2918" t="s">
        <v>299</v>
      </c>
      <c r="C2918" s="10">
        <v>6.85</v>
      </c>
      <c r="D2918" s="10">
        <v>0.7</v>
      </c>
      <c r="E2918" s="16">
        <v>11.38</v>
      </c>
      <c r="F2918">
        <v>310312</v>
      </c>
      <c r="G2918" s="5">
        <v>43151</v>
      </c>
    </row>
    <row r="2919" spans="1:7" x14ac:dyDescent="0.4">
      <c r="A2919">
        <v>18</v>
      </c>
      <c r="B2919" t="s">
        <v>937</v>
      </c>
      <c r="C2919" s="10">
        <v>11.82</v>
      </c>
      <c r="D2919" s="10">
        <v>1.19</v>
      </c>
      <c r="E2919" s="16">
        <v>11.19</v>
      </c>
      <c r="F2919">
        <v>902467</v>
      </c>
      <c r="G2919" s="5">
        <v>43151</v>
      </c>
    </row>
    <row r="2920" spans="1:7" x14ac:dyDescent="0.4">
      <c r="A2920">
        <v>19</v>
      </c>
      <c r="B2920" t="s">
        <v>1609</v>
      </c>
      <c r="C2920" s="10">
        <v>18.5</v>
      </c>
      <c r="D2920" s="10">
        <v>1.85</v>
      </c>
      <c r="E2920" s="16">
        <v>11.11</v>
      </c>
      <c r="F2920">
        <v>1321069</v>
      </c>
      <c r="G2920" s="5">
        <v>43151</v>
      </c>
    </row>
    <row r="2921" spans="1:7" x14ac:dyDescent="0.4">
      <c r="A2921">
        <v>20</v>
      </c>
      <c r="B2921" t="s">
        <v>1610</v>
      </c>
      <c r="C2921" s="10">
        <v>29.12</v>
      </c>
      <c r="D2921" s="10">
        <v>2.84</v>
      </c>
      <c r="E2921" s="16">
        <v>10.81</v>
      </c>
      <c r="F2921">
        <v>16034112</v>
      </c>
      <c r="G2921" s="5">
        <v>43151</v>
      </c>
    </row>
    <row r="2922" spans="1:7" x14ac:dyDescent="0.4">
      <c r="A2922">
        <v>21</v>
      </c>
      <c r="B2922" t="s">
        <v>326</v>
      </c>
      <c r="C2922" s="10">
        <v>4.47</v>
      </c>
      <c r="D2922" s="10">
        <v>0.43</v>
      </c>
      <c r="E2922" s="16">
        <v>10.64</v>
      </c>
      <c r="F2922">
        <v>3019227</v>
      </c>
      <c r="G2922" s="5">
        <v>43151</v>
      </c>
    </row>
    <row r="2923" spans="1:7" x14ac:dyDescent="0.4">
      <c r="A2923">
        <v>22</v>
      </c>
      <c r="B2923" t="s">
        <v>213</v>
      </c>
      <c r="C2923" s="10">
        <v>4.43</v>
      </c>
      <c r="D2923" s="10">
        <v>0.42</v>
      </c>
      <c r="E2923" s="16">
        <v>10.47</v>
      </c>
      <c r="F2923">
        <v>37436</v>
      </c>
      <c r="G2923" s="5">
        <v>43151</v>
      </c>
    </row>
    <row r="2924" spans="1:7" x14ac:dyDescent="0.4">
      <c r="A2924">
        <v>23</v>
      </c>
      <c r="B2924" t="s">
        <v>702</v>
      </c>
      <c r="C2924" s="10">
        <v>2.95</v>
      </c>
      <c r="D2924" s="10">
        <v>0.28000000000000003</v>
      </c>
      <c r="E2924" s="16">
        <v>10.28</v>
      </c>
      <c r="F2924">
        <v>12252</v>
      </c>
      <c r="G2924" s="5">
        <v>43151</v>
      </c>
    </row>
    <row r="2925" spans="1:7" x14ac:dyDescent="0.4">
      <c r="A2925">
        <v>24</v>
      </c>
      <c r="B2925" t="s">
        <v>219</v>
      </c>
      <c r="C2925" s="10">
        <v>8.15</v>
      </c>
      <c r="D2925" s="10">
        <v>0.75</v>
      </c>
      <c r="E2925" s="16">
        <v>10.14</v>
      </c>
      <c r="F2925">
        <v>9689</v>
      </c>
      <c r="G2925" s="5">
        <v>43151</v>
      </c>
    </row>
    <row r="2926" spans="1:7" x14ac:dyDescent="0.4">
      <c r="A2926">
        <v>25</v>
      </c>
      <c r="B2926" t="s">
        <v>1483</v>
      </c>
      <c r="C2926" s="10">
        <v>6.45</v>
      </c>
      <c r="D2926" s="10">
        <v>0.57999999999999996</v>
      </c>
      <c r="E2926" s="16">
        <v>9.8800000000000008</v>
      </c>
      <c r="F2926">
        <v>461238</v>
      </c>
      <c r="G2926" s="5">
        <v>43151</v>
      </c>
    </row>
    <row r="2927" spans="1:7" x14ac:dyDescent="0.4">
      <c r="A2927">
        <v>26</v>
      </c>
      <c r="B2927" t="s">
        <v>948</v>
      </c>
      <c r="C2927" s="10">
        <v>15.19</v>
      </c>
      <c r="D2927" s="10">
        <v>1.34</v>
      </c>
      <c r="E2927" s="16">
        <v>9.68</v>
      </c>
      <c r="F2927">
        <v>37201</v>
      </c>
      <c r="G2927" s="5">
        <v>43151</v>
      </c>
    </row>
    <row r="2928" spans="1:7" x14ac:dyDescent="0.4">
      <c r="A2928">
        <v>27</v>
      </c>
      <c r="B2928" t="s">
        <v>1124</v>
      </c>
      <c r="C2928" s="10">
        <v>7.77</v>
      </c>
      <c r="D2928" s="10">
        <v>0.67</v>
      </c>
      <c r="E2928" s="16">
        <v>9.44</v>
      </c>
      <c r="F2928">
        <v>553569</v>
      </c>
      <c r="G2928" s="5">
        <v>43151</v>
      </c>
    </row>
    <row r="2929" spans="1:7" x14ac:dyDescent="0.4">
      <c r="A2929">
        <v>28</v>
      </c>
      <c r="B2929" t="s">
        <v>759</v>
      </c>
      <c r="C2929" s="10">
        <v>9.9499999999999993</v>
      </c>
      <c r="D2929" s="10">
        <v>0.85</v>
      </c>
      <c r="E2929" s="16">
        <v>9.34</v>
      </c>
      <c r="F2929">
        <v>764468</v>
      </c>
      <c r="G2929" s="5">
        <v>43151</v>
      </c>
    </row>
    <row r="2930" spans="1:7" x14ac:dyDescent="0.4">
      <c r="A2930">
        <v>29</v>
      </c>
      <c r="B2930" t="s">
        <v>1611</v>
      </c>
      <c r="C2930" s="10">
        <v>9.2899999999999991</v>
      </c>
      <c r="D2930" s="10">
        <v>0.79</v>
      </c>
      <c r="E2930" s="16">
        <v>9.2899999999999991</v>
      </c>
      <c r="F2930">
        <v>1397412</v>
      </c>
      <c r="G2930" s="5">
        <v>43151</v>
      </c>
    </row>
    <row r="2931" spans="1:7" x14ac:dyDescent="0.4">
      <c r="A2931">
        <v>30</v>
      </c>
      <c r="B2931" t="s">
        <v>1564</v>
      </c>
      <c r="C2931" s="10">
        <v>4.8</v>
      </c>
      <c r="D2931" s="10">
        <v>0.4</v>
      </c>
      <c r="E2931" s="16">
        <v>9.1199999999999992</v>
      </c>
      <c r="F2931">
        <v>2983</v>
      </c>
      <c r="G2931" s="5">
        <v>43151</v>
      </c>
    </row>
    <row r="2932" spans="1:7" x14ac:dyDescent="0.4">
      <c r="A2932">
        <v>31</v>
      </c>
      <c r="B2932" t="s">
        <v>1612</v>
      </c>
      <c r="C2932" s="10">
        <v>20.45</v>
      </c>
      <c r="D2932" s="10">
        <v>1.7</v>
      </c>
      <c r="E2932" s="16">
        <v>9.07</v>
      </c>
      <c r="F2932">
        <v>966089</v>
      </c>
      <c r="G2932" s="5">
        <v>43151</v>
      </c>
    </row>
    <row r="2933" spans="1:7" x14ac:dyDescent="0.4">
      <c r="A2933">
        <v>32</v>
      </c>
      <c r="B2933" t="s">
        <v>1184</v>
      </c>
      <c r="C2933" s="10">
        <v>3.25</v>
      </c>
      <c r="D2933" s="10">
        <v>0.27</v>
      </c>
      <c r="E2933" s="16">
        <v>9.06</v>
      </c>
      <c r="F2933">
        <v>122380</v>
      </c>
      <c r="G2933" s="5">
        <v>43151</v>
      </c>
    </row>
    <row r="2934" spans="1:7" x14ac:dyDescent="0.4">
      <c r="A2934">
        <v>33</v>
      </c>
      <c r="B2934" t="s">
        <v>1458</v>
      </c>
      <c r="C2934" s="10">
        <v>12.05</v>
      </c>
      <c r="D2934" s="10">
        <v>0.98</v>
      </c>
      <c r="E2934" s="16">
        <v>8.9</v>
      </c>
      <c r="F2934">
        <v>2393829</v>
      </c>
      <c r="G2934" s="5">
        <v>43151</v>
      </c>
    </row>
    <row r="2935" spans="1:7" x14ac:dyDescent="0.4">
      <c r="A2935">
        <v>34</v>
      </c>
      <c r="B2935" t="s">
        <v>71</v>
      </c>
      <c r="C2935" s="10">
        <v>31.4</v>
      </c>
      <c r="D2935" s="10">
        <v>2.54</v>
      </c>
      <c r="E2935" s="16">
        <v>8.8000000000000007</v>
      </c>
      <c r="F2935">
        <v>22747</v>
      </c>
      <c r="G2935" s="5">
        <v>43151</v>
      </c>
    </row>
    <row r="2936" spans="1:7" x14ac:dyDescent="0.4">
      <c r="A2936">
        <v>35</v>
      </c>
      <c r="B2936" t="s">
        <v>429</v>
      </c>
      <c r="C2936" s="10">
        <v>8.6300000000000008</v>
      </c>
      <c r="D2936" s="10">
        <v>0.68</v>
      </c>
      <c r="E2936" s="16">
        <v>8.5500000000000007</v>
      </c>
      <c r="F2936">
        <v>27807984</v>
      </c>
      <c r="G2936" s="5">
        <v>43151</v>
      </c>
    </row>
    <row r="2937" spans="1:7" x14ac:dyDescent="0.4">
      <c r="A2937">
        <v>36</v>
      </c>
      <c r="B2937" t="s">
        <v>73</v>
      </c>
      <c r="C2937" s="10">
        <v>3.73</v>
      </c>
      <c r="D2937" s="10">
        <v>0.28999999999999998</v>
      </c>
      <c r="E2937" s="16">
        <v>8.43</v>
      </c>
      <c r="F2937">
        <v>19038</v>
      </c>
      <c r="G2937" s="5">
        <v>43151</v>
      </c>
    </row>
    <row r="2938" spans="1:7" x14ac:dyDescent="0.4">
      <c r="A2938">
        <v>37</v>
      </c>
      <c r="B2938" t="s">
        <v>829</v>
      </c>
      <c r="C2938" s="10">
        <v>59.2</v>
      </c>
      <c r="D2938" s="10">
        <v>4.57</v>
      </c>
      <c r="E2938" s="16">
        <v>8.3699999999999992</v>
      </c>
      <c r="F2938">
        <v>1630955</v>
      </c>
      <c r="G2938" s="5">
        <v>43151</v>
      </c>
    </row>
    <row r="2939" spans="1:7" x14ac:dyDescent="0.4">
      <c r="A2939">
        <v>38</v>
      </c>
      <c r="B2939" t="s">
        <v>686</v>
      </c>
      <c r="C2939" s="10">
        <v>26.84</v>
      </c>
      <c r="D2939" s="10">
        <v>2.0499999999999998</v>
      </c>
      <c r="E2939" s="16">
        <v>8.27</v>
      </c>
      <c r="F2939">
        <v>4856677</v>
      </c>
      <c r="G2939" s="5">
        <v>43151</v>
      </c>
    </row>
    <row r="2940" spans="1:7" x14ac:dyDescent="0.4">
      <c r="A2940">
        <v>39</v>
      </c>
      <c r="B2940" t="s">
        <v>430</v>
      </c>
      <c r="C2940" s="10">
        <v>17.52</v>
      </c>
      <c r="D2940" s="10">
        <v>1.33</v>
      </c>
      <c r="E2940" s="16">
        <v>8.2100000000000009</v>
      </c>
      <c r="F2940">
        <v>33390673</v>
      </c>
      <c r="G2940" s="5">
        <v>43151</v>
      </c>
    </row>
    <row r="2941" spans="1:7" x14ac:dyDescent="0.4">
      <c r="A2941">
        <v>40</v>
      </c>
      <c r="B2941" t="s">
        <v>415</v>
      </c>
      <c r="C2941" s="10">
        <v>10.41</v>
      </c>
      <c r="D2941" s="10">
        <v>0.78</v>
      </c>
      <c r="E2941" s="16">
        <v>8.1</v>
      </c>
      <c r="F2941">
        <v>43022</v>
      </c>
      <c r="G2941" s="5">
        <v>43151</v>
      </c>
    </row>
    <row r="2942" spans="1:7" x14ac:dyDescent="0.4">
      <c r="A2942">
        <v>41</v>
      </c>
      <c r="B2942" t="s">
        <v>210</v>
      </c>
      <c r="C2942" s="10">
        <v>3.48</v>
      </c>
      <c r="D2942" s="10">
        <v>0.26</v>
      </c>
      <c r="E2942" s="16">
        <v>8.07</v>
      </c>
      <c r="F2942">
        <v>54824</v>
      </c>
      <c r="G2942" s="5">
        <v>43151</v>
      </c>
    </row>
    <row r="2943" spans="1:7" x14ac:dyDescent="0.4">
      <c r="A2943">
        <v>42</v>
      </c>
      <c r="B2943" t="s">
        <v>1613</v>
      </c>
      <c r="C2943" s="10">
        <v>4.7</v>
      </c>
      <c r="D2943" s="10">
        <v>0.35</v>
      </c>
      <c r="E2943" s="16">
        <v>8.0500000000000007</v>
      </c>
      <c r="F2943">
        <v>4157352</v>
      </c>
      <c r="G2943" s="5">
        <v>43151</v>
      </c>
    </row>
    <row r="2944" spans="1:7" x14ac:dyDescent="0.4">
      <c r="A2944">
        <v>43</v>
      </c>
      <c r="B2944" t="s">
        <v>913</v>
      </c>
      <c r="C2944" s="10">
        <v>4.21</v>
      </c>
      <c r="D2944" s="10">
        <v>0.31</v>
      </c>
      <c r="E2944" s="16">
        <v>7.95</v>
      </c>
      <c r="F2944">
        <v>23109</v>
      </c>
      <c r="G2944" s="5">
        <v>43151</v>
      </c>
    </row>
    <row r="2945" spans="1:7" x14ac:dyDescent="0.4">
      <c r="A2945">
        <v>44</v>
      </c>
      <c r="B2945" t="s">
        <v>118</v>
      </c>
      <c r="C2945" s="10">
        <v>3.13</v>
      </c>
      <c r="D2945" s="10">
        <v>0.23</v>
      </c>
      <c r="E2945" s="16">
        <v>7.93</v>
      </c>
      <c r="F2945">
        <v>2217938</v>
      </c>
      <c r="G2945" s="5">
        <v>43151</v>
      </c>
    </row>
    <row r="2946" spans="1:7" x14ac:dyDescent="0.4">
      <c r="A2946">
        <v>45</v>
      </c>
      <c r="B2946" t="s">
        <v>1031</v>
      </c>
      <c r="C2946" s="10">
        <v>19.25</v>
      </c>
      <c r="D2946" s="10">
        <v>1.41</v>
      </c>
      <c r="E2946" s="16">
        <v>7.9</v>
      </c>
      <c r="F2946">
        <v>4382546</v>
      </c>
      <c r="G2946" s="5">
        <v>43151</v>
      </c>
    </row>
    <row r="2947" spans="1:7" x14ac:dyDescent="0.4">
      <c r="A2947">
        <v>46</v>
      </c>
      <c r="B2947" t="s">
        <v>1209</v>
      </c>
      <c r="C2947" s="10">
        <v>6.75</v>
      </c>
      <c r="D2947" s="10">
        <v>0.49</v>
      </c>
      <c r="E2947" s="16">
        <v>7.83</v>
      </c>
      <c r="F2947">
        <v>117599</v>
      </c>
      <c r="G2947" s="5">
        <v>43151</v>
      </c>
    </row>
    <row r="2948" spans="1:7" x14ac:dyDescent="0.4">
      <c r="A2948">
        <v>47</v>
      </c>
      <c r="B2948" t="s">
        <v>1417</v>
      </c>
      <c r="C2948" s="10">
        <v>3.05</v>
      </c>
      <c r="D2948" s="10">
        <v>0.22</v>
      </c>
      <c r="E2948" s="16">
        <v>7.77</v>
      </c>
      <c r="F2948">
        <v>10270529</v>
      </c>
      <c r="G2948" s="5">
        <v>43151</v>
      </c>
    </row>
    <row r="2949" spans="1:7" x14ac:dyDescent="0.4">
      <c r="A2949">
        <v>48</v>
      </c>
      <c r="B2949" t="s">
        <v>1614</v>
      </c>
      <c r="C2949" s="10">
        <v>10.14</v>
      </c>
      <c r="D2949" s="10">
        <v>0.72</v>
      </c>
      <c r="E2949" s="16">
        <v>7.64</v>
      </c>
      <c r="F2949">
        <v>2511</v>
      </c>
      <c r="G2949" s="5">
        <v>43151</v>
      </c>
    </row>
    <row r="2950" spans="1:7" x14ac:dyDescent="0.4">
      <c r="A2950">
        <v>49</v>
      </c>
      <c r="B2950" t="s">
        <v>192</v>
      </c>
      <c r="C2950" s="10">
        <v>2.58</v>
      </c>
      <c r="D2950" s="10">
        <v>0.18</v>
      </c>
      <c r="E2950" s="16">
        <v>7.5</v>
      </c>
      <c r="F2950">
        <v>6276</v>
      </c>
      <c r="G2950" s="5">
        <v>43151</v>
      </c>
    </row>
    <row r="2951" spans="1:7" x14ac:dyDescent="0.4">
      <c r="A2951">
        <v>50</v>
      </c>
      <c r="B2951" t="s">
        <v>1132</v>
      </c>
      <c r="C2951" s="10">
        <v>16.71</v>
      </c>
      <c r="D2951" s="10">
        <v>1.1599999999999999</v>
      </c>
      <c r="E2951" s="16">
        <v>7.46</v>
      </c>
      <c r="F2951">
        <v>159727</v>
      </c>
      <c r="G2951" s="5">
        <v>43151</v>
      </c>
    </row>
    <row r="2952" spans="1:7" x14ac:dyDescent="0.4">
      <c r="A2952">
        <v>51</v>
      </c>
      <c r="B2952" t="s">
        <v>1345</v>
      </c>
      <c r="C2952" s="10">
        <v>6.17</v>
      </c>
      <c r="D2952" s="10">
        <v>0.42</v>
      </c>
      <c r="E2952" s="16">
        <v>7.3</v>
      </c>
      <c r="F2952">
        <v>46705</v>
      </c>
      <c r="G2952" s="5">
        <v>43151</v>
      </c>
    </row>
    <row r="2953" spans="1:7" x14ac:dyDescent="0.4">
      <c r="A2953">
        <v>52</v>
      </c>
      <c r="B2953" t="s">
        <v>505</v>
      </c>
      <c r="C2953" s="10">
        <v>23.91</v>
      </c>
      <c r="D2953" s="10">
        <v>1.62</v>
      </c>
      <c r="E2953" s="16">
        <v>7.27</v>
      </c>
      <c r="F2953">
        <v>78041</v>
      </c>
      <c r="G2953" s="5">
        <v>43151</v>
      </c>
    </row>
    <row r="2954" spans="1:7" x14ac:dyDescent="0.4">
      <c r="A2954">
        <v>53</v>
      </c>
      <c r="B2954" t="s">
        <v>44</v>
      </c>
      <c r="C2954" s="10">
        <v>20.67</v>
      </c>
      <c r="D2954" s="10">
        <v>1.4</v>
      </c>
      <c r="E2954" s="16">
        <v>7.27</v>
      </c>
      <c r="F2954">
        <v>207938</v>
      </c>
      <c r="G2954" s="5">
        <v>43151</v>
      </c>
    </row>
    <row r="2955" spans="1:7" x14ac:dyDescent="0.4">
      <c r="A2955">
        <v>54</v>
      </c>
      <c r="B2955" t="s">
        <v>1615</v>
      </c>
      <c r="C2955" s="10">
        <v>218.02</v>
      </c>
      <c r="D2955" s="10">
        <v>14.7</v>
      </c>
      <c r="E2955" s="16">
        <v>7.23</v>
      </c>
      <c r="F2955">
        <v>13124</v>
      </c>
      <c r="G2955" s="5">
        <v>43151</v>
      </c>
    </row>
    <row r="2956" spans="1:7" x14ac:dyDescent="0.4">
      <c r="A2956">
        <v>55</v>
      </c>
      <c r="B2956" t="s">
        <v>144</v>
      </c>
      <c r="C2956" s="10">
        <v>15.25</v>
      </c>
      <c r="D2956" s="10">
        <v>1.02</v>
      </c>
      <c r="E2956" s="16">
        <v>7.17</v>
      </c>
      <c r="F2956">
        <v>92170</v>
      </c>
      <c r="G2956" s="5">
        <v>43151</v>
      </c>
    </row>
    <row r="2957" spans="1:7" x14ac:dyDescent="0.4">
      <c r="A2957">
        <v>56</v>
      </c>
      <c r="B2957" t="s">
        <v>1545</v>
      </c>
      <c r="C2957" s="10">
        <v>17.45</v>
      </c>
      <c r="D2957" s="10">
        <v>1.1499999999999999</v>
      </c>
      <c r="E2957" s="16">
        <v>7.06</v>
      </c>
      <c r="F2957">
        <v>456581</v>
      </c>
      <c r="G2957" s="5">
        <v>43151</v>
      </c>
    </row>
    <row r="2958" spans="1:7" x14ac:dyDescent="0.4">
      <c r="A2958">
        <v>57</v>
      </c>
      <c r="B2958" t="s">
        <v>1616</v>
      </c>
      <c r="C2958" s="10">
        <v>30.35</v>
      </c>
      <c r="D2958" s="10">
        <v>2</v>
      </c>
      <c r="E2958" s="16">
        <v>7.05</v>
      </c>
      <c r="F2958">
        <v>1226675</v>
      </c>
      <c r="G2958" s="5">
        <v>43151</v>
      </c>
    </row>
    <row r="2959" spans="1:7" x14ac:dyDescent="0.4">
      <c r="A2959">
        <v>58</v>
      </c>
      <c r="B2959" t="s">
        <v>49</v>
      </c>
      <c r="C2959" s="10">
        <v>3.81</v>
      </c>
      <c r="D2959" s="10">
        <v>0.25</v>
      </c>
      <c r="E2959" s="16">
        <v>7.02</v>
      </c>
      <c r="F2959">
        <v>428824</v>
      </c>
      <c r="G2959" s="5">
        <v>43151</v>
      </c>
    </row>
    <row r="2960" spans="1:7" x14ac:dyDescent="0.4">
      <c r="A2960">
        <v>59</v>
      </c>
      <c r="B2960" t="s">
        <v>233</v>
      </c>
      <c r="C2960" s="10">
        <v>46.55</v>
      </c>
      <c r="D2960" s="10">
        <v>3.05</v>
      </c>
      <c r="E2960" s="16">
        <v>7.01</v>
      </c>
      <c r="F2960">
        <v>1055452</v>
      </c>
      <c r="G2960" s="5">
        <v>43151</v>
      </c>
    </row>
    <row r="2961" spans="1:7" x14ac:dyDescent="0.4">
      <c r="A2961">
        <v>60</v>
      </c>
      <c r="B2961" t="s">
        <v>572</v>
      </c>
      <c r="C2961" s="10">
        <v>7.9</v>
      </c>
      <c r="D2961" s="10">
        <v>0.5</v>
      </c>
      <c r="E2961" s="16">
        <v>6.76</v>
      </c>
      <c r="F2961">
        <v>22273</v>
      </c>
      <c r="G2961" s="5">
        <v>43151</v>
      </c>
    </row>
    <row r="2962" spans="1:7" x14ac:dyDescent="0.4">
      <c r="A2962">
        <v>61</v>
      </c>
      <c r="B2962" t="s">
        <v>1617</v>
      </c>
      <c r="C2962" s="10">
        <v>55.7</v>
      </c>
      <c r="D2962" s="10">
        <v>3.5</v>
      </c>
      <c r="E2962" s="16">
        <v>6.7</v>
      </c>
      <c r="F2962">
        <v>3332159</v>
      </c>
      <c r="G2962" s="5">
        <v>43151</v>
      </c>
    </row>
    <row r="2963" spans="1:7" x14ac:dyDescent="0.4">
      <c r="A2963">
        <v>62</v>
      </c>
      <c r="B2963" t="s">
        <v>1302</v>
      </c>
      <c r="C2963" s="10">
        <v>6.37</v>
      </c>
      <c r="D2963" s="10">
        <v>0.4</v>
      </c>
      <c r="E2963" s="16">
        <v>6.7</v>
      </c>
      <c r="F2963">
        <v>180711</v>
      </c>
      <c r="G2963" s="5">
        <v>43151</v>
      </c>
    </row>
    <row r="2964" spans="1:7" x14ac:dyDescent="0.4">
      <c r="A2964">
        <v>63</v>
      </c>
      <c r="B2964" t="s">
        <v>1368</v>
      </c>
      <c r="C2964" s="10">
        <v>3.73</v>
      </c>
      <c r="D2964" s="10">
        <v>0.23</v>
      </c>
      <c r="E2964" s="16">
        <v>6.57</v>
      </c>
      <c r="F2964">
        <v>1053230</v>
      </c>
      <c r="G2964" s="5">
        <v>43151</v>
      </c>
    </row>
    <row r="2965" spans="1:7" x14ac:dyDescent="0.4">
      <c r="A2965">
        <v>64</v>
      </c>
      <c r="B2965" t="s">
        <v>1618</v>
      </c>
      <c r="C2965" s="10">
        <v>9.31</v>
      </c>
      <c r="D2965" s="10">
        <v>0.56999999999999995</v>
      </c>
      <c r="E2965" s="16">
        <v>6.46</v>
      </c>
      <c r="F2965">
        <v>539931</v>
      </c>
      <c r="G2965" s="5">
        <v>43151</v>
      </c>
    </row>
    <row r="2966" spans="1:7" x14ac:dyDescent="0.4">
      <c r="A2966">
        <v>65</v>
      </c>
      <c r="B2966" t="s">
        <v>772</v>
      </c>
      <c r="C2966" s="10">
        <v>51.18</v>
      </c>
      <c r="D2966" s="10">
        <v>3.05</v>
      </c>
      <c r="E2966" s="16">
        <v>6.34</v>
      </c>
      <c r="F2966">
        <v>7483058</v>
      </c>
      <c r="G2966" s="5">
        <v>43151</v>
      </c>
    </row>
    <row r="2967" spans="1:7" x14ac:dyDescent="0.4">
      <c r="A2967">
        <v>66</v>
      </c>
      <c r="B2967" t="s">
        <v>1619</v>
      </c>
      <c r="C2967" s="10">
        <v>13.44</v>
      </c>
      <c r="D2967" s="10">
        <v>0.8</v>
      </c>
      <c r="E2967" s="16">
        <v>6.33</v>
      </c>
      <c r="F2967">
        <v>222146</v>
      </c>
      <c r="G2967" s="5">
        <v>43151</v>
      </c>
    </row>
    <row r="2968" spans="1:7" x14ac:dyDescent="0.4">
      <c r="A2968">
        <v>67</v>
      </c>
      <c r="B2968" t="s">
        <v>1029</v>
      </c>
      <c r="C2968" s="10">
        <v>11.8</v>
      </c>
      <c r="D2968" s="10">
        <v>0.69</v>
      </c>
      <c r="E2968" s="16">
        <v>6.24</v>
      </c>
      <c r="F2968">
        <v>34782</v>
      </c>
      <c r="G2968" s="5">
        <v>43151</v>
      </c>
    </row>
    <row r="2969" spans="1:7" x14ac:dyDescent="0.4">
      <c r="A2969">
        <v>68</v>
      </c>
      <c r="B2969" t="s">
        <v>1620</v>
      </c>
      <c r="C2969" s="10">
        <v>6.99</v>
      </c>
      <c r="D2969" s="10">
        <v>0.41</v>
      </c>
      <c r="E2969" s="16">
        <v>6.23</v>
      </c>
      <c r="F2969">
        <v>766502</v>
      </c>
      <c r="G2969" s="5">
        <v>43151</v>
      </c>
    </row>
    <row r="2970" spans="1:7" x14ac:dyDescent="0.4">
      <c r="A2970">
        <v>69</v>
      </c>
      <c r="B2970" t="s">
        <v>642</v>
      </c>
      <c r="C2970" s="10">
        <v>4.8</v>
      </c>
      <c r="D2970" s="10">
        <v>0.28000000000000003</v>
      </c>
      <c r="E2970" s="16">
        <v>6.19</v>
      </c>
      <c r="F2970">
        <v>1338668</v>
      </c>
      <c r="G2970" s="5">
        <v>43151</v>
      </c>
    </row>
    <row r="2971" spans="1:7" x14ac:dyDescent="0.4">
      <c r="A2971">
        <v>70</v>
      </c>
      <c r="B2971" t="s">
        <v>699</v>
      </c>
      <c r="C2971" s="10">
        <v>26.49</v>
      </c>
      <c r="D2971" s="10">
        <v>1.54</v>
      </c>
      <c r="E2971" s="16">
        <v>6.17</v>
      </c>
      <c r="F2971">
        <v>60099</v>
      </c>
      <c r="G2971" s="5">
        <v>43151</v>
      </c>
    </row>
    <row r="2972" spans="1:7" x14ac:dyDescent="0.4">
      <c r="A2972">
        <v>71</v>
      </c>
      <c r="B2972" t="s">
        <v>1621</v>
      </c>
      <c r="C2972" s="10">
        <v>51.14</v>
      </c>
      <c r="D2972" s="10">
        <v>2.94</v>
      </c>
      <c r="E2972" s="16">
        <v>6.1</v>
      </c>
      <c r="F2972">
        <v>182260</v>
      </c>
      <c r="G2972" s="5">
        <v>43151</v>
      </c>
    </row>
    <row r="2973" spans="1:7" x14ac:dyDescent="0.4">
      <c r="A2973">
        <v>72</v>
      </c>
      <c r="B2973" t="s">
        <v>784</v>
      </c>
      <c r="C2973" s="10">
        <v>20.36</v>
      </c>
      <c r="D2973" s="10">
        <v>1.17</v>
      </c>
      <c r="E2973" s="16">
        <v>6.1</v>
      </c>
      <c r="F2973">
        <v>1973431</v>
      </c>
      <c r="G2973" s="5">
        <v>43151</v>
      </c>
    </row>
    <row r="2974" spans="1:7" x14ac:dyDescent="0.4">
      <c r="A2974">
        <v>73</v>
      </c>
      <c r="B2974" t="s">
        <v>22</v>
      </c>
      <c r="C2974" s="10">
        <v>5.29</v>
      </c>
      <c r="D2974" s="10">
        <v>0.3</v>
      </c>
      <c r="E2974" s="16">
        <v>6.01</v>
      </c>
      <c r="F2974">
        <v>22424</v>
      </c>
      <c r="G2974" s="5">
        <v>43151</v>
      </c>
    </row>
    <row r="2975" spans="1:7" x14ac:dyDescent="0.4">
      <c r="A2975">
        <v>74</v>
      </c>
      <c r="B2975" t="s">
        <v>1622</v>
      </c>
      <c r="C2975" s="10">
        <v>125.56</v>
      </c>
      <c r="D2975" s="10">
        <v>7.06</v>
      </c>
      <c r="E2975" s="16">
        <v>5.96</v>
      </c>
      <c r="F2975">
        <v>30963192</v>
      </c>
      <c r="G2975" s="5">
        <v>43151</v>
      </c>
    </row>
    <row r="2976" spans="1:7" x14ac:dyDescent="0.4">
      <c r="A2976">
        <v>75</v>
      </c>
      <c r="B2976" t="s">
        <v>833</v>
      </c>
      <c r="C2976" s="10">
        <v>24.5</v>
      </c>
      <c r="D2976" s="10">
        <v>1.37</v>
      </c>
      <c r="E2976" s="16">
        <v>5.92</v>
      </c>
      <c r="F2976">
        <v>69682</v>
      </c>
      <c r="G2976" s="5">
        <v>43151</v>
      </c>
    </row>
    <row r="2977" spans="1:7" x14ac:dyDescent="0.4">
      <c r="A2977">
        <v>76</v>
      </c>
      <c r="B2977" t="s">
        <v>549</v>
      </c>
      <c r="C2977" s="10">
        <v>12.72</v>
      </c>
      <c r="D2977" s="10">
        <v>0.71</v>
      </c>
      <c r="E2977" s="16">
        <v>5.91</v>
      </c>
      <c r="F2977">
        <v>14555</v>
      </c>
      <c r="G2977" s="5">
        <v>43151</v>
      </c>
    </row>
    <row r="2978" spans="1:7" x14ac:dyDescent="0.4">
      <c r="A2978">
        <v>77</v>
      </c>
      <c r="B2978" t="s">
        <v>1623</v>
      </c>
      <c r="C2978" s="10">
        <v>2.16</v>
      </c>
      <c r="D2978" s="10">
        <v>0.12</v>
      </c>
      <c r="E2978" s="16">
        <v>5.89</v>
      </c>
      <c r="F2978">
        <v>95214</v>
      </c>
      <c r="G2978" s="5">
        <v>43151</v>
      </c>
    </row>
    <row r="2979" spans="1:7" x14ac:dyDescent="0.4">
      <c r="A2979">
        <v>78</v>
      </c>
      <c r="B2979" t="s">
        <v>123</v>
      </c>
      <c r="C2979" s="10">
        <v>5.82</v>
      </c>
      <c r="D2979" s="10">
        <v>0.32</v>
      </c>
      <c r="E2979" s="16">
        <v>5.82</v>
      </c>
      <c r="F2979">
        <v>136729</v>
      </c>
      <c r="G2979" s="5">
        <v>43151</v>
      </c>
    </row>
    <row r="2980" spans="1:7" x14ac:dyDescent="0.4">
      <c r="A2980">
        <v>79</v>
      </c>
      <c r="B2980" t="s">
        <v>1624</v>
      </c>
      <c r="C2980" s="10">
        <v>59</v>
      </c>
      <c r="D2980" s="10">
        <v>3.19</v>
      </c>
      <c r="E2980" s="16">
        <v>5.72</v>
      </c>
      <c r="F2980">
        <v>101882</v>
      </c>
      <c r="G2980" s="5">
        <v>43151</v>
      </c>
    </row>
    <row r="2981" spans="1:7" x14ac:dyDescent="0.4">
      <c r="A2981">
        <v>80</v>
      </c>
      <c r="B2981" t="s">
        <v>1625</v>
      </c>
      <c r="C2981" s="10">
        <v>15.05</v>
      </c>
      <c r="D2981" s="10">
        <v>0.8</v>
      </c>
      <c r="E2981" s="16">
        <v>5.61</v>
      </c>
      <c r="F2981">
        <v>69580</v>
      </c>
      <c r="G2981" s="5">
        <v>43151</v>
      </c>
    </row>
    <row r="2982" spans="1:7" x14ac:dyDescent="0.4">
      <c r="A2982">
        <v>81</v>
      </c>
      <c r="B2982" t="s">
        <v>898</v>
      </c>
      <c r="C2982" s="10">
        <v>6.6</v>
      </c>
      <c r="D2982" s="10">
        <v>0.35</v>
      </c>
      <c r="E2982" s="16">
        <v>5.6</v>
      </c>
      <c r="F2982">
        <v>9720</v>
      </c>
      <c r="G2982" s="5">
        <v>43151</v>
      </c>
    </row>
    <row r="2983" spans="1:7" x14ac:dyDescent="0.4">
      <c r="A2983">
        <v>82</v>
      </c>
      <c r="B2983" t="s">
        <v>86</v>
      </c>
      <c r="C2983" s="10">
        <v>2.87</v>
      </c>
      <c r="D2983" s="10">
        <v>0.15</v>
      </c>
      <c r="E2983" s="16">
        <v>5.51</v>
      </c>
      <c r="F2983">
        <v>59987</v>
      </c>
      <c r="G2983" s="5">
        <v>43151</v>
      </c>
    </row>
    <row r="2984" spans="1:7" x14ac:dyDescent="0.4">
      <c r="A2984">
        <v>83</v>
      </c>
      <c r="B2984" t="s">
        <v>1440</v>
      </c>
      <c r="C2984" s="10">
        <v>15.34</v>
      </c>
      <c r="D2984" s="10">
        <v>0.8</v>
      </c>
      <c r="E2984" s="16">
        <v>5.5</v>
      </c>
      <c r="F2984">
        <v>35386</v>
      </c>
      <c r="G2984" s="5">
        <v>43151</v>
      </c>
    </row>
    <row r="2985" spans="1:7" x14ac:dyDescent="0.4">
      <c r="A2985">
        <v>84</v>
      </c>
      <c r="B2985" t="s">
        <v>475</v>
      </c>
      <c r="C2985" s="10">
        <v>13.46</v>
      </c>
      <c r="D2985" s="10">
        <v>0.7</v>
      </c>
      <c r="E2985" s="16">
        <v>5.5</v>
      </c>
      <c r="F2985">
        <v>10735</v>
      </c>
      <c r="G2985" s="5">
        <v>43151</v>
      </c>
    </row>
    <row r="2986" spans="1:7" x14ac:dyDescent="0.4">
      <c r="A2986">
        <v>85</v>
      </c>
      <c r="B2986" t="s">
        <v>1626</v>
      </c>
      <c r="C2986" s="10">
        <v>40.380000000000003</v>
      </c>
      <c r="D2986" s="10">
        <v>2.1</v>
      </c>
      <c r="E2986" s="16">
        <v>5.49</v>
      </c>
      <c r="F2986">
        <v>1806265</v>
      </c>
      <c r="G2986" s="5">
        <v>43151</v>
      </c>
    </row>
    <row r="2987" spans="1:7" x14ac:dyDescent="0.4">
      <c r="A2987">
        <v>86</v>
      </c>
      <c r="B2987" t="s">
        <v>54</v>
      </c>
      <c r="C2987" s="10">
        <v>2.7</v>
      </c>
      <c r="D2987" s="10">
        <v>0.14000000000000001</v>
      </c>
      <c r="E2987" s="16">
        <v>5.47</v>
      </c>
      <c r="F2987">
        <v>152546</v>
      </c>
      <c r="G2987" s="5">
        <v>43151</v>
      </c>
    </row>
    <row r="2988" spans="1:7" x14ac:dyDescent="0.4">
      <c r="A2988">
        <v>87</v>
      </c>
      <c r="B2988" t="s">
        <v>737</v>
      </c>
      <c r="C2988" s="10">
        <v>13.94</v>
      </c>
      <c r="D2988" s="10">
        <v>0.72</v>
      </c>
      <c r="E2988" s="16">
        <v>5.45</v>
      </c>
      <c r="F2988">
        <v>5945841</v>
      </c>
      <c r="G2988" s="5">
        <v>43151</v>
      </c>
    </row>
    <row r="2989" spans="1:7" x14ac:dyDescent="0.4">
      <c r="A2989">
        <v>88</v>
      </c>
      <c r="B2989" t="s">
        <v>729</v>
      </c>
      <c r="C2989" s="10">
        <v>9.49</v>
      </c>
      <c r="D2989" s="10">
        <v>0.49</v>
      </c>
      <c r="E2989" s="16">
        <v>5.44</v>
      </c>
      <c r="F2989">
        <v>16120</v>
      </c>
      <c r="G2989" s="5">
        <v>43151</v>
      </c>
    </row>
    <row r="2990" spans="1:7" x14ac:dyDescent="0.4">
      <c r="A2990">
        <v>89</v>
      </c>
      <c r="B2990" t="s">
        <v>1627</v>
      </c>
      <c r="C2990" s="10">
        <v>23.09</v>
      </c>
      <c r="D2990" s="10">
        <v>1.19</v>
      </c>
      <c r="E2990" s="16">
        <v>5.43</v>
      </c>
      <c r="F2990">
        <v>772619</v>
      </c>
      <c r="G2990" s="5">
        <v>43151</v>
      </c>
    </row>
    <row r="2991" spans="1:7" x14ac:dyDescent="0.4">
      <c r="A2991">
        <v>90</v>
      </c>
      <c r="B2991" t="s">
        <v>1628</v>
      </c>
      <c r="C2991" s="10">
        <v>3.89</v>
      </c>
      <c r="D2991" s="10">
        <v>0.2</v>
      </c>
      <c r="E2991" s="16">
        <v>5.42</v>
      </c>
      <c r="F2991">
        <v>448214</v>
      </c>
      <c r="G2991" s="5">
        <v>43151</v>
      </c>
    </row>
    <row r="2992" spans="1:7" x14ac:dyDescent="0.4">
      <c r="A2992">
        <v>91</v>
      </c>
      <c r="B2992" t="s">
        <v>1629</v>
      </c>
      <c r="C2992" s="10">
        <v>33.35</v>
      </c>
      <c r="D2992" s="10">
        <v>1.7</v>
      </c>
      <c r="E2992" s="16">
        <v>5.37</v>
      </c>
      <c r="F2992">
        <v>376401</v>
      </c>
      <c r="G2992" s="5">
        <v>43151</v>
      </c>
    </row>
    <row r="2993" spans="1:7" x14ac:dyDescent="0.4">
      <c r="A2993">
        <v>92</v>
      </c>
      <c r="B2993" t="s">
        <v>1168</v>
      </c>
      <c r="C2993" s="10">
        <v>2.57</v>
      </c>
      <c r="D2993" s="10">
        <v>0.13</v>
      </c>
      <c r="E2993" s="16">
        <v>5.33</v>
      </c>
      <c r="F2993">
        <v>139818</v>
      </c>
      <c r="G2993" s="5">
        <v>43151</v>
      </c>
    </row>
    <row r="2994" spans="1:7" x14ac:dyDescent="0.4">
      <c r="A2994">
        <v>93</v>
      </c>
      <c r="B2994" t="s">
        <v>38</v>
      </c>
      <c r="C2994" s="10">
        <v>36.229999999999997</v>
      </c>
      <c r="D2994" s="10">
        <v>1.83</v>
      </c>
      <c r="E2994" s="16">
        <v>5.32</v>
      </c>
      <c r="F2994">
        <v>226699</v>
      </c>
      <c r="G2994" s="5">
        <v>43151</v>
      </c>
    </row>
    <row r="2995" spans="1:7" x14ac:dyDescent="0.4">
      <c r="A2995">
        <v>94</v>
      </c>
      <c r="B2995" t="s">
        <v>1049</v>
      </c>
      <c r="C2995" s="10">
        <v>6.95</v>
      </c>
      <c r="D2995" s="10">
        <v>0.35</v>
      </c>
      <c r="E2995" s="16">
        <v>5.3</v>
      </c>
      <c r="F2995">
        <v>326889</v>
      </c>
      <c r="G2995" s="5">
        <v>43151</v>
      </c>
    </row>
    <row r="2996" spans="1:7" x14ac:dyDescent="0.4">
      <c r="A2996">
        <v>95</v>
      </c>
      <c r="B2996" t="s">
        <v>119</v>
      </c>
      <c r="C2996" s="10">
        <v>14.5</v>
      </c>
      <c r="D2996" s="10">
        <v>0.73</v>
      </c>
      <c r="E2996" s="16">
        <v>5.3</v>
      </c>
      <c r="F2996">
        <v>17849</v>
      </c>
      <c r="G2996" s="5">
        <v>43151</v>
      </c>
    </row>
    <row r="2997" spans="1:7" x14ac:dyDescent="0.4">
      <c r="A2997">
        <v>96</v>
      </c>
      <c r="B2997" t="s">
        <v>1630</v>
      </c>
      <c r="C2997" s="10">
        <v>26.76</v>
      </c>
      <c r="D2997" s="10">
        <v>1.33</v>
      </c>
      <c r="E2997" s="16">
        <v>5.23</v>
      </c>
      <c r="F2997">
        <v>7928162</v>
      </c>
      <c r="G2997" s="5">
        <v>43151</v>
      </c>
    </row>
    <row r="2998" spans="1:7" x14ac:dyDescent="0.4">
      <c r="A2998">
        <v>97</v>
      </c>
      <c r="B2998" t="s">
        <v>1041</v>
      </c>
      <c r="C2998" s="10">
        <v>4.2300000000000004</v>
      </c>
      <c r="D2998" s="10">
        <v>0.21</v>
      </c>
      <c r="E2998" s="16">
        <v>5.22</v>
      </c>
      <c r="F2998">
        <v>134669</v>
      </c>
      <c r="G2998" s="5">
        <v>43151</v>
      </c>
    </row>
    <row r="2999" spans="1:7" x14ac:dyDescent="0.4">
      <c r="A2999">
        <v>98</v>
      </c>
      <c r="B2999" t="s">
        <v>1586</v>
      </c>
      <c r="C2999" s="10">
        <v>13.1</v>
      </c>
      <c r="D2999" s="10">
        <v>0.65</v>
      </c>
      <c r="E2999" s="16">
        <v>5.22</v>
      </c>
      <c r="F2999">
        <v>625000</v>
      </c>
      <c r="G2999" s="5">
        <v>43151</v>
      </c>
    </row>
    <row r="3000" spans="1:7" x14ac:dyDescent="0.4">
      <c r="A3000">
        <v>99</v>
      </c>
      <c r="B3000" t="s">
        <v>351</v>
      </c>
      <c r="C3000" s="10">
        <v>3.43</v>
      </c>
      <c r="D3000" s="10">
        <v>0.17</v>
      </c>
      <c r="E3000" s="16">
        <v>5.21</v>
      </c>
      <c r="F3000">
        <v>8575546</v>
      </c>
      <c r="G3000" s="5">
        <v>43151</v>
      </c>
    </row>
    <row r="3001" spans="1:7" x14ac:dyDescent="0.4">
      <c r="A3001">
        <v>100</v>
      </c>
      <c r="B3001" t="s">
        <v>742</v>
      </c>
      <c r="C3001" s="10">
        <v>161.41</v>
      </c>
      <c r="D3001" s="10">
        <v>7.95</v>
      </c>
      <c r="E3001" s="16">
        <v>5.18</v>
      </c>
      <c r="F3001">
        <v>761528</v>
      </c>
      <c r="G3001" s="5">
        <v>43151</v>
      </c>
    </row>
    <row r="3002" spans="1:7" x14ac:dyDescent="0.4">
      <c r="A3002">
        <v>1</v>
      </c>
      <c r="B3002" t="s">
        <v>211</v>
      </c>
      <c r="C3002" s="10">
        <v>6.55</v>
      </c>
      <c r="D3002" s="10">
        <v>1.8</v>
      </c>
      <c r="E3002" s="16">
        <v>37.89</v>
      </c>
      <c r="F3002">
        <v>831298</v>
      </c>
      <c r="G3002" s="5">
        <v>43147</v>
      </c>
    </row>
    <row r="3003" spans="1:7" x14ac:dyDescent="0.4">
      <c r="A3003">
        <v>2</v>
      </c>
      <c r="B3003" t="s">
        <v>1417</v>
      </c>
      <c r="C3003" s="10">
        <v>2.83</v>
      </c>
      <c r="D3003" s="10">
        <v>0.54</v>
      </c>
      <c r="E3003" s="16">
        <v>23.58</v>
      </c>
      <c r="F3003">
        <v>1147847</v>
      </c>
      <c r="G3003" s="5">
        <v>43147</v>
      </c>
    </row>
    <row r="3004" spans="1:7" x14ac:dyDescent="0.4">
      <c r="A3004">
        <v>3</v>
      </c>
      <c r="B3004" t="s">
        <v>1531</v>
      </c>
      <c r="C3004" s="10">
        <v>9.0500000000000007</v>
      </c>
      <c r="D3004" s="10">
        <v>1.57</v>
      </c>
      <c r="E3004" s="16">
        <v>20.99</v>
      </c>
      <c r="F3004">
        <v>8023406</v>
      </c>
      <c r="G3004" s="5">
        <v>43147</v>
      </c>
    </row>
    <row r="3005" spans="1:7" x14ac:dyDescent="0.4">
      <c r="A3005">
        <v>4</v>
      </c>
      <c r="B3005" t="s">
        <v>438</v>
      </c>
      <c r="C3005" s="10">
        <v>8.58</v>
      </c>
      <c r="D3005" s="10">
        <v>1.36</v>
      </c>
      <c r="E3005" s="16">
        <v>18.84</v>
      </c>
      <c r="F3005">
        <v>256083</v>
      </c>
      <c r="G3005" s="5">
        <v>43147</v>
      </c>
    </row>
    <row r="3006" spans="1:7" x14ac:dyDescent="0.4">
      <c r="A3006">
        <v>5</v>
      </c>
      <c r="B3006" t="s">
        <v>952</v>
      </c>
      <c r="C3006" s="10">
        <v>5.25</v>
      </c>
      <c r="D3006" s="10">
        <v>0.8</v>
      </c>
      <c r="E3006" s="16">
        <v>17.98</v>
      </c>
      <c r="F3006">
        <v>348045</v>
      </c>
      <c r="G3006" s="5">
        <v>43147</v>
      </c>
    </row>
    <row r="3007" spans="1:7" x14ac:dyDescent="0.4">
      <c r="A3007">
        <v>6</v>
      </c>
      <c r="B3007" t="s">
        <v>497</v>
      </c>
      <c r="C3007" s="10">
        <v>30.81</v>
      </c>
      <c r="D3007" s="10">
        <v>4.68</v>
      </c>
      <c r="E3007" s="16">
        <v>17.91</v>
      </c>
      <c r="F3007">
        <v>12135517</v>
      </c>
      <c r="G3007" s="5">
        <v>43147</v>
      </c>
    </row>
    <row r="3008" spans="1:7" x14ac:dyDescent="0.4">
      <c r="A3008">
        <v>7</v>
      </c>
      <c r="B3008" t="s">
        <v>1631</v>
      </c>
      <c r="C3008" s="10">
        <v>59.4</v>
      </c>
      <c r="D3008" s="10">
        <v>8.6999999999999993</v>
      </c>
      <c r="E3008" s="16">
        <v>17.16</v>
      </c>
      <c r="F3008">
        <v>358376</v>
      </c>
      <c r="G3008" s="5">
        <v>43147</v>
      </c>
    </row>
    <row r="3009" spans="1:7" x14ac:dyDescent="0.4">
      <c r="A3009">
        <v>8</v>
      </c>
      <c r="B3009" t="s">
        <v>1043</v>
      </c>
      <c r="C3009" s="10">
        <v>8.1</v>
      </c>
      <c r="D3009" s="10">
        <v>1.1499999999999999</v>
      </c>
      <c r="E3009" s="16">
        <v>16.55</v>
      </c>
      <c r="F3009">
        <v>3519793</v>
      </c>
      <c r="G3009" s="5">
        <v>43147</v>
      </c>
    </row>
    <row r="3010" spans="1:7" x14ac:dyDescent="0.4">
      <c r="A3010">
        <v>9</v>
      </c>
      <c r="B3010" t="s">
        <v>433</v>
      </c>
      <c r="C3010" s="10">
        <v>9.99</v>
      </c>
      <c r="D3010" s="10">
        <v>1.37</v>
      </c>
      <c r="E3010" s="16">
        <v>15.89</v>
      </c>
      <c r="F3010">
        <v>686156</v>
      </c>
      <c r="G3010" s="5">
        <v>43147</v>
      </c>
    </row>
    <row r="3011" spans="1:7" x14ac:dyDescent="0.4">
      <c r="A3011">
        <v>10</v>
      </c>
      <c r="B3011" t="s">
        <v>331</v>
      </c>
      <c r="C3011" s="10">
        <v>19.97</v>
      </c>
      <c r="D3011" s="10">
        <v>2.72</v>
      </c>
      <c r="E3011" s="16">
        <v>15.77</v>
      </c>
      <c r="F3011">
        <v>235958</v>
      </c>
      <c r="G3011" s="5">
        <v>43147</v>
      </c>
    </row>
    <row r="3012" spans="1:7" x14ac:dyDescent="0.4">
      <c r="A3012">
        <v>11</v>
      </c>
      <c r="B3012" t="s">
        <v>1632</v>
      </c>
      <c r="C3012" s="10">
        <v>44.75</v>
      </c>
      <c r="D3012" s="10">
        <v>5.76</v>
      </c>
      <c r="E3012" s="16">
        <v>14.77</v>
      </c>
      <c r="F3012">
        <v>38777788</v>
      </c>
      <c r="G3012" s="5">
        <v>43147</v>
      </c>
    </row>
    <row r="3013" spans="1:7" x14ac:dyDescent="0.4">
      <c r="A3013">
        <v>12</v>
      </c>
      <c r="B3013" t="s">
        <v>1226</v>
      </c>
      <c r="C3013" s="10">
        <v>5.96</v>
      </c>
      <c r="D3013" s="10">
        <v>0.72</v>
      </c>
      <c r="E3013" s="16">
        <v>13.74</v>
      </c>
      <c r="F3013">
        <v>66495057</v>
      </c>
      <c r="G3013" s="5">
        <v>43147</v>
      </c>
    </row>
    <row r="3014" spans="1:7" x14ac:dyDescent="0.4">
      <c r="A3014">
        <v>13</v>
      </c>
      <c r="B3014" t="s">
        <v>1633</v>
      </c>
      <c r="C3014" s="10">
        <v>14.8</v>
      </c>
      <c r="D3014" s="10">
        <v>1.75</v>
      </c>
      <c r="E3014" s="16">
        <v>13.41</v>
      </c>
      <c r="F3014">
        <v>1500168</v>
      </c>
      <c r="G3014" s="5">
        <v>43147</v>
      </c>
    </row>
    <row r="3015" spans="1:7" x14ac:dyDescent="0.4">
      <c r="A3015">
        <v>14</v>
      </c>
      <c r="B3015" t="s">
        <v>1326</v>
      </c>
      <c r="C3015" s="10">
        <v>14.13</v>
      </c>
      <c r="D3015" s="10">
        <v>1.65</v>
      </c>
      <c r="E3015" s="16">
        <v>13.22</v>
      </c>
      <c r="F3015">
        <v>70477</v>
      </c>
      <c r="G3015" s="5">
        <v>43147</v>
      </c>
    </row>
    <row r="3016" spans="1:7" x14ac:dyDescent="0.4">
      <c r="A3016">
        <v>15</v>
      </c>
      <c r="B3016" t="s">
        <v>1634</v>
      </c>
      <c r="C3016" s="10">
        <v>56.85</v>
      </c>
      <c r="D3016" s="10">
        <v>6.6</v>
      </c>
      <c r="E3016" s="16">
        <v>13.13</v>
      </c>
      <c r="F3016">
        <v>210022</v>
      </c>
      <c r="G3016" s="5">
        <v>43147</v>
      </c>
    </row>
    <row r="3017" spans="1:7" x14ac:dyDescent="0.4">
      <c r="A3017">
        <v>16</v>
      </c>
      <c r="B3017" t="s">
        <v>1635</v>
      </c>
      <c r="C3017" s="10">
        <v>10.23</v>
      </c>
      <c r="D3017" s="10">
        <v>1.18</v>
      </c>
      <c r="E3017" s="16">
        <v>13.04</v>
      </c>
      <c r="F3017">
        <v>76578</v>
      </c>
      <c r="G3017" s="5">
        <v>43147</v>
      </c>
    </row>
    <row r="3018" spans="1:7" x14ac:dyDescent="0.4">
      <c r="A3018">
        <v>17</v>
      </c>
      <c r="B3018" t="s">
        <v>1488</v>
      </c>
      <c r="C3018" s="10">
        <v>15.04</v>
      </c>
      <c r="D3018" s="10">
        <v>1.73</v>
      </c>
      <c r="E3018" s="16">
        <v>13</v>
      </c>
      <c r="F3018">
        <v>657890</v>
      </c>
      <c r="G3018" s="5">
        <v>43147</v>
      </c>
    </row>
    <row r="3019" spans="1:7" x14ac:dyDescent="0.4">
      <c r="A3019">
        <v>18</v>
      </c>
      <c r="B3019" t="s">
        <v>144</v>
      </c>
      <c r="C3019" s="10">
        <v>14.23</v>
      </c>
      <c r="D3019" s="10">
        <v>1.63</v>
      </c>
      <c r="E3019" s="16">
        <v>12.94</v>
      </c>
      <c r="F3019">
        <v>127897</v>
      </c>
      <c r="G3019" s="5">
        <v>43147</v>
      </c>
    </row>
    <row r="3020" spans="1:7" x14ac:dyDescent="0.4">
      <c r="A3020">
        <v>19</v>
      </c>
      <c r="B3020" t="s">
        <v>1456</v>
      </c>
      <c r="C3020" s="10">
        <v>39.04</v>
      </c>
      <c r="D3020" s="10">
        <v>4.3899999999999997</v>
      </c>
      <c r="E3020" s="16">
        <v>12.67</v>
      </c>
      <c r="F3020">
        <v>1442774</v>
      </c>
      <c r="G3020" s="5">
        <v>43147</v>
      </c>
    </row>
    <row r="3021" spans="1:7" x14ac:dyDescent="0.4">
      <c r="A3021">
        <v>20</v>
      </c>
      <c r="B3021" t="s">
        <v>221</v>
      </c>
      <c r="C3021" s="10">
        <v>2.68</v>
      </c>
      <c r="D3021" s="10">
        <v>0.3</v>
      </c>
      <c r="E3021" s="16">
        <v>12.61</v>
      </c>
      <c r="F3021">
        <v>2573</v>
      </c>
      <c r="G3021" s="5">
        <v>43147</v>
      </c>
    </row>
    <row r="3022" spans="1:7" x14ac:dyDescent="0.4">
      <c r="A3022">
        <v>21</v>
      </c>
      <c r="B3022" t="s">
        <v>88</v>
      </c>
      <c r="C3022" s="10">
        <v>3</v>
      </c>
      <c r="D3022" s="10">
        <v>0.32</v>
      </c>
      <c r="E3022" s="16">
        <v>11.94</v>
      </c>
      <c r="F3022">
        <v>1265012</v>
      </c>
      <c r="G3022" s="5">
        <v>43147</v>
      </c>
    </row>
    <row r="3023" spans="1:7" x14ac:dyDescent="0.4">
      <c r="A3023">
        <v>22</v>
      </c>
      <c r="B3023" t="s">
        <v>1164</v>
      </c>
      <c r="C3023" s="10">
        <v>3.18</v>
      </c>
      <c r="D3023" s="10">
        <v>0.33</v>
      </c>
      <c r="E3023" s="16">
        <v>11.58</v>
      </c>
      <c r="F3023">
        <v>419056</v>
      </c>
      <c r="G3023" s="5">
        <v>43147</v>
      </c>
    </row>
    <row r="3024" spans="1:7" x14ac:dyDescent="0.4">
      <c r="A3024">
        <v>23</v>
      </c>
      <c r="B3024" t="s">
        <v>726</v>
      </c>
      <c r="C3024" s="10">
        <v>2.2400000000000002</v>
      </c>
      <c r="D3024" s="10">
        <v>0.23</v>
      </c>
      <c r="E3024" s="16">
        <v>11.44</v>
      </c>
      <c r="F3024">
        <v>83658</v>
      </c>
      <c r="G3024" s="5">
        <v>43147</v>
      </c>
    </row>
    <row r="3025" spans="1:7" x14ac:dyDescent="0.4">
      <c r="A3025">
        <v>24</v>
      </c>
      <c r="B3025" t="s">
        <v>1146</v>
      </c>
      <c r="C3025" s="10">
        <v>53.65</v>
      </c>
      <c r="D3025" s="10">
        <v>5.36</v>
      </c>
      <c r="E3025" s="16">
        <v>11.1</v>
      </c>
      <c r="F3025">
        <v>419365</v>
      </c>
      <c r="G3025" s="5">
        <v>43147</v>
      </c>
    </row>
    <row r="3026" spans="1:7" x14ac:dyDescent="0.4">
      <c r="A3026">
        <v>25</v>
      </c>
      <c r="B3026" t="s">
        <v>1483</v>
      </c>
      <c r="C3026" s="10">
        <v>5.87</v>
      </c>
      <c r="D3026" s="10">
        <v>0.57999999999999996</v>
      </c>
      <c r="E3026" s="16">
        <v>10.96</v>
      </c>
      <c r="F3026">
        <v>238648</v>
      </c>
      <c r="G3026" s="5">
        <v>43147</v>
      </c>
    </row>
    <row r="3027" spans="1:7" x14ac:dyDescent="0.4">
      <c r="A3027">
        <v>26</v>
      </c>
      <c r="B3027" t="s">
        <v>1321</v>
      </c>
      <c r="C3027" s="10">
        <v>5.79</v>
      </c>
      <c r="D3027" s="10">
        <v>0.56999999999999995</v>
      </c>
      <c r="E3027" s="16">
        <v>10.94</v>
      </c>
      <c r="F3027">
        <v>26544</v>
      </c>
      <c r="G3027" s="5">
        <v>43147</v>
      </c>
    </row>
    <row r="3028" spans="1:7" x14ac:dyDescent="0.4">
      <c r="A3028">
        <v>27</v>
      </c>
      <c r="B3028" t="s">
        <v>108</v>
      </c>
      <c r="C3028" s="10">
        <v>23.4</v>
      </c>
      <c r="D3028" s="10">
        <v>2.2999999999999998</v>
      </c>
      <c r="E3028" s="16">
        <v>10.9</v>
      </c>
      <c r="F3028">
        <v>100290</v>
      </c>
      <c r="G3028" s="5">
        <v>43147</v>
      </c>
    </row>
    <row r="3029" spans="1:7" x14ac:dyDescent="0.4">
      <c r="A3029">
        <v>28</v>
      </c>
      <c r="B3029" t="s">
        <v>1636</v>
      </c>
      <c r="C3029" s="10">
        <v>6.6</v>
      </c>
      <c r="D3029" s="10">
        <v>0.63</v>
      </c>
      <c r="E3029" s="16">
        <v>10.55</v>
      </c>
      <c r="F3029">
        <v>1212252</v>
      </c>
      <c r="G3029" s="5">
        <v>43147</v>
      </c>
    </row>
    <row r="3030" spans="1:7" x14ac:dyDescent="0.4">
      <c r="A3030">
        <v>29</v>
      </c>
      <c r="B3030" t="s">
        <v>224</v>
      </c>
      <c r="C3030" s="10">
        <v>3.24</v>
      </c>
      <c r="D3030" s="10">
        <v>0.28999999999999998</v>
      </c>
      <c r="E3030" s="16">
        <v>9.83</v>
      </c>
      <c r="F3030">
        <v>100969</v>
      </c>
      <c r="G3030" s="5">
        <v>43147</v>
      </c>
    </row>
    <row r="3031" spans="1:7" x14ac:dyDescent="0.4">
      <c r="A3031">
        <v>30</v>
      </c>
      <c r="B3031" t="s">
        <v>699</v>
      </c>
      <c r="C3031" s="10">
        <v>24.95</v>
      </c>
      <c r="D3031" s="10">
        <v>2.21</v>
      </c>
      <c r="E3031" s="16">
        <v>9.7200000000000006</v>
      </c>
      <c r="F3031">
        <v>100048</v>
      </c>
      <c r="G3031" s="5">
        <v>43147</v>
      </c>
    </row>
    <row r="3032" spans="1:7" x14ac:dyDescent="0.4">
      <c r="A3032">
        <v>31</v>
      </c>
      <c r="B3032" t="s">
        <v>22</v>
      </c>
      <c r="C3032" s="10">
        <v>4.99</v>
      </c>
      <c r="D3032" s="10">
        <v>0.44</v>
      </c>
      <c r="E3032" s="16">
        <v>9.67</v>
      </c>
      <c r="F3032">
        <v>27946</v>
      </c>
      <c r="G3032" s="5">
        <v>43147</v>
      </c>
    </row>
    <row r="3033" spans="1:7" x14ac:dyDescent="0.4">
      <c r="A3033">
        <v>32</v>
      </c>
      <c r="B3033" t="s">
        <v>56</v>
      </c>
      <c r="C3033" s="10">
        <v>5.28</v>
      </c>
      <c r="D3033" s="10">
        <v>0.46</v>
      </c>
      <c r="E3033" s="16">
        <v>9.5399999999999991</v>
      </c>
      <c r="F3033">
        <v>310415</v>
      </c>
      <c r="G3033" s="5">
        <v>43147</v>
      </c>
    </row>
    <row r="3034" spans="1:7" x14ac:dyDescent="0.4">
      <c r="A3034">
        <v>33</v>
      </c>
      <c r="B3034" t="s">
        <v>710</v>
      </c>
      <c r="C3034" s="10">
        <v>3.45</v>
      </c>
      <c r="D3034" s="10">
        <v>0.3</v>
      </c>
      <c r="E3034" s="16">
        <v>9.52</v>
      </c>
      <c r="F3034">
        <v>19687</v>
      </c>
      <c r="G3034" s="5">
        <v>43147</v>
      </c>
    </row>
    <row r="3035" spans="1:7" x14ac:dyDescent="0.4">
      <c r="A3035">
        <v>34</v>
      </c>
      <c r="B3035" t="s">
        <v>1187</v>
      </c>
      <c r="C3035" s="10">
        <v>3.8</v>
      </c>
      <c r="D3035" s="10">
        <v>0.33</v>
      </c>
      <c r="E3035" s="16">
        <v>9.51</v>
      </c>
      <c r="F3035">
        <v>4690</v>
      </c>
      <c r="G3035" s="5">
        <v>43147</v>
      </c>
    </row>
    <row r="3036" spans="1:7" x14ac:dyDescent="0.4">
      <c r="A3036">
        <v>35</v>
      </c>
      <c r="B3036" t="s">
        <v>970</v>
      </c>
      <c r="C3036" s="10">
        <v>3.2</v>
      </c>
      <c r="D3036" s="10">
        <v>0.28000000000000003</v>
      </c>
      <c r="E3036" s="16">
        <v>9.4</v>
      </c>
      <c r="F3036">
        <v>1408469</v>
      </c>
      <c r="G3036" s="5">
        <v>43147</v>
      </c>
    </row>
    <row r="3037" spans="1:7" x14ac:dyDescent="0.4">
      <c r="A3037">
        <v>36</v>
      </c>
      <c r="B3037" t="s">
        <v>531</v>
      </c>
      <c r="C3037" s="10">
        <v>2.94</v>
      </c>
      <c r="D3037" s="10">
        <v>0.25</v>
      </c>
      <c r="E3037" s="16">
        <v>9.2899999999999991</v>
      </c>
      <c r="F3037">
        <v>902912</v>
      </c>
      <c r="G3037" s="5">
        <v>43147</v>
      </c>
    </row>
    <row r="3038" spans="1:7" x14ac:dyDescent="0.4">
      <c r="A3038">
        <v>37</v>
      </c>
      <c r="B3038" t="s">
        <v>829</v>
      </c>
      <c r="C3038" s="10">
        <v>54.63</v>
      </c>
      <c r="D3038" s="10">
        <v>4.63</v>
      </c>
      <c r="E3038" s="16">
        <v>9.26</v>
      </c>
      <c r="F3038">
        <v>2119309</v>
      </c>
      <c r="G3038" s="5">
        <v>43147</v>
      </c>
    </row>
    <row r="3039" spans="1:7" x14ac:dyDescent="0.4">
      <c r="A3039">
        <v>38</v>
      </c>
      <c r="B3039" t="s">
        <v>114</v>
      </c>
      <c r="C3039" s="10">
        <v>23.39</v>
      </c>
      <c r="D3039" s="10">
        <v>1.97</v>
      </c>
      <c r="E3039" s="16">
        <v>9.1999999999999993</v>
      </c>
      <c r="F3039">
        <v>142445</v>
      </c>
      <c r="G3039" s="5">
        <v>43147</v>
      </c>
    </row>
    <row r="3040" spans="1:7" x14ac:dyDescent="0.4">
      <c r="A3040">
        <v>39</v>
      </c>
      <c r="B3040" t="s">
        <v>1637</v>
      </c>
      <c r="C3040" s="10">
        <v>69.849999999999994</v>
      </c>
      <c r="D3040" s="10">
        <v>5.85</v>
      </c>
      <c r="E3040" s="16">
        <v>9.14</v>
      </c>
      <c r="F3040">
        <v>363544</v>
      </c>
      <c r="G3040" s="5">
        <v>43147</v>
      </c>
    </row>
    <row r="3041" spans="1:7" x14ac:dyDescent="0.4">
      <c r="A3041">
        <v>40</v>
      </c>
      <c r="B3041" t="s">
        <v>1638</v>
      </c>
      <c r="C3041" s="10">
        <v>10.35</v>
      </c>
      <c r="D3041" s="10">
        <v>0.86</v>
      </c>
      <c r="E3041" s="16">
        <v>9.06</v>
      </c>
      <c r="F3041">
        <v>615797</v>
      </c>
      <c r="G3041" s="5">
        <v>43147</v>
      </c>
    </row>
    <row r="3042" spans="1:7" x14ac:dyDescent="0.4">
      <c r="A3042">
        <v>41</v>
      </c>
      <c r="B3042" t="s">
        <v>1368</v>
      </c>
      <c r="C3042" s="10">
        <v>3.5</v>
      </c>
      <c r="D3042" s="10">
        <v>0.28999999999999998</v>
      </c>
      <c r="E3042" s="16">
        <v>9.0299999999999994</v>
      </c>
      <c r="F3042">
        <v>1784691</v>
      </c>
      <c r="G3042" s="5">
        <v>43147</v>
      </c>
    </row>
    <row r="3043" spans="1:7" x14ac:dyDescent="0.4">
      <c r="A3043">
        <v>42</v>
      </c>
      <c r="B3043" t="s">
        <v>287</v>
      </c>
      <c r="C3043" s="10">
        <v>4.29</v>
      </c>
      <c r="D3043" s="10">
        <v>0.35</v>
      </c>
      <c r="E3043" s="16">
        <v>9.02</v>
      </c>
      <c r="F3043">
        <v>36148</v>
      </c>
      <c r="G3043" s="5">
        <v>43147</v>
      </c>
    </row>
    <row r="3044" spans="1:7" x14ac:dyDescent="0.4">
      <c r="A3044">
        <v>43</v>
      </c>
      <c r="B3044" t="s">
        <v>1639</v>
      </c>
      <c r="C3044" s="10">
        <v>51.39</v>
      </c>
      <c r="D3044" s="10">
        <v>4.25</v>
      </c>
      <c r="E3044" s="16">
        <v>9.02</v>
      </c>
      <c r="F3044">
        <v>985068</v>
      </c>
      <c r="G3044" s="5">
        <v>43147</v>
      </c>
    </row>
    <row r="3045" spans="1:7" x14ac:dyDescent="0.4">
      <c r="A3045">
        <v>44</v>
      </c>
      <c r="B3045" t="s">
        <v>1640</v>
      </c>
      <c r="C3045" s="10">
        <v>5.6</v>
      </c>
      <c r="D3045" s="10">
        <v>0.45</v>
      </c>
      <c r="E3045" s="16">
        <v>8.74</v>
      </c>
      <c r="F3045">
        <v>389516</v>
      </c>
      <c r="G3045" s="5">
        <v>43147</v>
      </c>
    </row>
    <row r="3046" spans="1:7" x14ac:dyDescent="0.4">
      <c r="A3046">
        <v>45</v>
      </c>
      <c r="B3046" t="s">
        <v>1174</v>
      </c>
      <c r="C3046" s="10">
        <v>2.87</v>
      </c>
      <c r="D3046" s="10">
        <v>0.23</v>
      </c>
      <c r="E3046" s="16">
        <v>8.7100000000000009</v>
      </c>
      <c r="F3046">
        <v>52448</v>
      </c>
      <c r="G3046" s="5">
        <v>43147</v>
      </c>
    </row>
    <row r="3047" spans="1:7" x14ac:dyDescent="0.4">
      <c r="A3047">
        <v>46</v>
      </c>
      <c r="B3047" t="s">
        <v>981</v>
      </c>
      <c r="C3047" s="10">
        <v>74.900000000000006</v>
      </c>
      <c r="D3047" s="10">
        <v>5.95</v>
      </c>
      <c r="E3047" s="16">
        <v>8.6300000000000008</v>
      </c>
      <c r="F3047">
        <v>382752</v>
      </c>
      <c r="G3047" s="5">
        <v>43147</v>
      </c>
    </row>
    <row r="3048" spans="1:7" x14ac:dyDescent="0.4">
      <c r="A3048">
        <v>47</v>
      </c>
      <c r="B3048" t="s">
        <v>817</v>
      </c>
      <c r="C3048" s="10">
        <v>3.78</v>
      </c>
      <c r="D3048" s="10">
        <v>0.3</v>
      </c>
      <c r="E3048" s="16">
        <v>8.6199999999999992</v>
      </c>
      <c r="F3048">
        <v>98383</v>
      </c>
      <c r="G3048" s="5">
        <v>43147</v>
      </c>
    </row>
    <row r="3049" spans="1:7" x14ac:dyDescent="0.4">
      <c r="A3049">
        <v>48</v>
      </c>
      <c r="B3049" t="s">
        <v>1238</v>
      </c>
      <c r="C3049" s="10">
        <v>26.5</v>
      </c>
      <c r="D3049" s="10">
        <v>2.1</v>
      </c>
      <c r="E3049" s="16">
        <v>8.61</v>
      </c>
      <c r="F3049">
        <v>70963</v>
      </c>
      <c r="G3049" s="5">
        <v>43147</v>
      </c>
    </row>
    <row r="3050" spans="1:7" x14ac:dyDescent="0.4">
      <c r="A3050">
        <v>49</v>
      </c>
      <c r="B3050" t="s">
        <v>1050</v>
      </c>
      <c r="C3050" s="10">
        <v>6.44</v>
      </c>
      <c r="D3050" s="10">
        <v>0.51</v>
      </c>
      <c r="E3050" s="16">
        <v>8.6</v>
      </c>
      <c r="F3050">
        <v>471762</v>
      </c>
      <c r="G3050" s="5">
        <v>43147</v>
      </c>
    </row>
    <row r="3051" spans="1:7" x14ac:dyDescent="0.4">
      <c r="A3051">
        <v>50</v>
      </c>
      <c r="B3051" t="s">
        <v>1641</v>
      </c>
      <c r="C3051" s="10">
        <v>8.9</v>
      </c>
      <c r="D3051" s="10">
        <v>0.7</v>
      </c>
      <c r="E3051" s="16">
        <v>8.5399999999999991</v>
      </c>
      <c r="F3051">
        <v>20371</v>
      </c>
      <c r="G3051" s="5">
        <v>43147</v>
      </c>
    </row>
    <row r="3052" spans="1:7" x14ac:dyDescent="0.4">
      <c r="A3052">
        <v>51</v>
      </c>
      <c r="B3052" t="s">
        <v>166</v>
      </c>
      <c r="C3052" s="10">
        <v>4.34</v>
      </c>
      <c r="D3052" s="10">
        <v>0.34</v>
      </c>
      <c r="E3052" s="16">
        <v>8.5</v>
      </c>
      <c r="F3052">
        <v>418646</v>
      </c>
      <c r="G3052" s="5">
        <v>43147</v>
      </c>
    </row>
    <row r="3053" spans="1:7" x14ac:dyDescent="0.4">
      <c r="A3053">
        <v>52</v>
      </c>
      <c r="B3053" t="s">
        <v>1642</v>
      </c>
      <c r="C3053" s="10">
        <v>56.3</v>
      </c>
      <c r="D3053" s="10">
        <v>4.3499999999999996</v>
      </c>
      <c r="E3053" s="16">
        <v>8.3699999999999992</v>
      </c>
      <c r="F3053">
        <v>1473831</v>
      </c>
      <c r="G3053" s="5">
        <v>43147</v>
      </c>
    </row>
    <row r="3054" spans="1:7" x14ac:dyDescent="0.4">
      <c r="A3054">
        <v>53</v>
      </c>
      <c r="B3054" t="s">
        <v>1643</v>
      </c>
      <c r="C3054" s="10">
        <v>2.34</v>
      </c>
      <c r="D3054" s="10">
        <v>0.18</v>
      </c>
      <c r="E3054" s="16">
        <v>8.33</v>
      </c>
      <c r="F3054">
        <v>31042047</v>
      </c>
      <c r="G3054" s="5">
        <v>43147</v>
      </c>
    </row>
    <row r="3055" spans="1:7" x14ac:dyDescent="0.4">
      <c r="A3055">
        <v>54</v>
      </c>
      <c r="B3055" t="s">
        <v>1235</v>
      </c>
      <c r="C3055" s="10">
        <v>24.12</v>
      </c>
      <c r="D3055" s="10">
        <v>1.85</v>
      </c>
      <c r="E3055" s="16">
        <v>8.31</v>
      </c>
      <c r="F3055">
        <v>4962593</v>
      </c>
      <c r="G3055" s="5">
        <v>43147</v>
      </c>
    </row>
    <row r="3056" spans="1:7" x14ac:dyDescent="0.4">
      <c r="A3056">
        <v>55</v>
      </c>
      <c r="B3056" t="s">
        <v>1644</v>
      </c>
      <c r="C3056" s="10">
        <v>20.55</v>
      </c>
      <c r="D3056" s="10">
        <v>1.55</v>
      </c>
      <c r="E3056" s="16">
        <v>8.16</v>
      </c>
      <c r="F3056">
        <v>1381087</v>
      </c>
      <c r="G3056" s="5">
        <v>43147</v>
      </c>
    </row>
    <row r="3057" spans="1:7" x14ac:dyDescent="0.4">
      <c r="A3057">
        <v>56</v>
      </c>
      <c r="B3057" t="s">
        <v>1645</v>
      </c>
      <c r="C3057" s="10">
        <v>22.75</v>
      </c>
      <c r="D3057" s="10">
        <v>1.7</v>
      </c>
      <c r="E3057" s="16">
        <v>8.08</v>
      </c>
      <c r="F3057">
        <v>868719</v>
      </c>
      <c r="G3057" s="5">
        <v>43147</v>
      </c>
    </row>
    <row r="3058" spans="1:7" x14ac:dyDescent="0.4">
      <c r="A3058">
        <v>57</v>
      </c>
      <c r="B3058" t="s">
        <v>1179</v>
      </c>
      <c r="C3058" s="10">
        <v>8.76</v>
      </c>
      <c r="D3058" s="10">
        <v>0.65</v>
      </c>
      <c r="E3058" s="16">
        <v>8.01</v>
      </c>
      <c r="F3058">
        <v>926339</v>
      </c>
      <c r="G3058" s="5">
        <v>43147</v>
      </c>
    </row>
    <row r="3059" spans="1:7" x14ac:dyDescent="0.4">
      <c r="A3059">
        <v>58</v>
      </c>
      <c r="B3059" t="s">
        <v>916</v>
      </c>
      <c r="C3059" s="10">
        <v>4.04</v>
      </c>
      <c r="D3059" s="10">
        <v>0.28999999999999998</v>
      </c>
      <c r="E3059" s="16">
        <v>7.73</v>
      </c>
      <c r="F3059">
        <v>374436</v>
      </c>
      <c r="G3059" s="5">
        <v>43147</v>
      </c>
    </row>
    <row r="3060" spans="1:7" x14ac:dyDescent="0.4">
      <c r="A3060">
        <v>59</v>
      </c>
      <c r="B3060" t="s">
        <v>964</v>
      </c>
      <c r="C3060" s="10">
        <v>3.56</v>
      </c>
      <c r="D3060" s="10">
        <v>0.25</v>
      </c>
      <c r="E3060" s="16">
        <v>7.55</v>
      </c>
      <c r="F3060">
        <v>7982468</v>
      </c>
      <c r="G3060" s="5">
        <v>43147</v>
      </c>
    </row>
    <row r="3061" spans="1:7" x14ac:dyDescent="0.4">
      <c r="A3061">
        <v>60</v>
      </c>
      <c r="B3061" t="s">
        <v>349</v>
      </c>
      <c r="C3061" s="10">
        <v>28.08</v>
      </c>
      <c r="D3061" s="10">
        <v>1.97</v>
      </c>
      <c r="E3061" s="16">
        <v>7.55</v>
      </c>
      <c r="F3061">
        <v>658743</v>
      </c>
      <c r="G3061" s="5">
        <v>43147</v>
      </c>
    </row>
    <row r="3062" spans="1:7" x14ac:dyDescent="0.4">
      <c r="A3062">
        <v>61</v>
      </c>
      <c r="B3062" t="s">
        <v>1223</v>
      </c>
      <c r="C3062" s="10">
        <v>7.92</v>
      </c>
      <c r="D3062" s="10">
        <v>0.55000000000000004</v>
      </c>
      <c r="E3062" s="16">
        <v>7.46</v>
      </c>
      <c r="F3062">
        <v>23314615</v>
      </c>
      <c r="G3062" s="5">
        <v>43147</v>
      </c>
    </row>
    <row r="3063" spans="1:7" x14ac:dyDescent="0.4">
      <c r="A3063">
        <v>62</v>
      </c>
      <c r="B3063" t="s">
        <v>369</v>
      </c>
      <c r="C3063" s="10">
        <v>7.96</v>
      </c>
      <c r="D3063" s="10">
        <v>0.55000000000000004</v>
      </c>
      <c r="E3063" s="16">
        <v>7.42</v>
      </c>
      <c r="F3063">
        <v>502627</v>
      </c>
      <c r="G3063" s="5">
        <v>43147</v>
      </c>
    </row>
    <row r="3064" spans="1:7" x14ac:dyDescent="0.4">
      <c r="A3064">
        <v>63</v>
      </c>
      <c r="B3064" t="s">
        <v>1646</v>
      </c>
      <c r="C3064" s="10">
        <v>17.68</v>
      </c>
      <c r="D3064" s="10">
        <v>1.2</v>
      </c>
      <c r="E3064" s="16">
        <v>7.28</v>
      </c>
      <c r="F3064">
        <v>1097487</v>
      </c>
      <c r="G3064" s="5">
        <v>43147</v>
      </c>
    </row>
    <row r="3065" spans="1:7" x14ac:dyDescent="0.4">
      <c r="A3065">
        <v>64</v>
      </c>
      <c r="B3065" t="s">
        <v>1565</v>
      </c>
      <c r="C3065" s="10">
        <v>2.5099999999999998</v>
      </c>
      <c r="D3065" s="10">
        <v>0.17</v>
      </c>
      <c r="E3065" s="16">
        <v>7.26</v>
      </c>
      <c r="F3065">
        <v>163520</v>
      </c>
      <c r="G3065" s="5">
        <v>43147</v>
      </c>
    </row>
    <row r="3066" spans="1:7" x14ac:dyDescent="0.4">
      <c r="A3066">
        <v>65</v>
      </c>
      <c r="B3066" t="s">
        <v>123</v>
      </c>
      <c r="C3066" s="10">
        <v>5.5</v>
      </c>
      <c r="D3066" s="10">
        <v>0.37</v>
      </c>
      <c r="E3066" s="16">
        <v>7.21</v>
      </c>
      <c r="F3066">
        <v>281720</v>
      </c>
      <c r="G3066" s="5">
        <v>43147</v>
      </c>
    </row>
    <row r="3067" spans="1:7" x14ac:dyDescent="0.4">
      <c r="A3067">
        <v>66</v>
      </c>
      <c r="B3067" t="s">
        <v>281</v>
      </c>
      <c r="C3067" s="10">
        <v>2.25</v>
      </c>
      <c r="D3067" s="10">
        <v>0.15</v>
      </c>
      <c r="E3067" s="16">
        <v>7.14</v>
      </c>
      <c r="F3067">
        <v>306672</v>
      </c>
      <c r="G3067" s="5">
        <v>43147</v>
      </c>
    </row>
    <row r="3068" spans="1:7" x14ac:dyDescent="0.4">
      <c r="A3068">
        <v>67</v>
      </c>
      <c r="B3068" t="s">
        <v>740</v>
      </c>
      <c r="C3068" s="10">
        <v>2.25</v>
      </c>
      <c r="D3068" s="10">
        <v>0.15</v>
      </c>
      <c r="E3068" s="16">
        <v>7.14</v>
      </c>
      <c r="F3068">
        <v>146396</v>
      </c>
      <c r="G3068" s="5">
        <v>43147</v>
      </c>
    </row>
    <row r="3069" spans="1:7" x14ac:dyDescent="0.4">
      <c r="A3069">
        <v>68</v>
      </c>
      <c r="B3069" t="s">
        <v>1294</v>
      </c>
      <c r="C3069" s="10">
        <v>2.46</v>
      </c>
      <c r="D3069" s="10">
        <v>0.16</v>
      </c>
      <c r="E3069" s="16">
        <v>7.14</v>
      </c>
      <c r="F3069">
        <v>34499</v>
      </c>
      <c r="G3069" s="5">
        <v>43147</v>
      </c>
    </row>
    <row r="3070" spans="1:7" x14ac:dyDescent="0.4">
      <c r="A3070">
        <v>69</v>
      </c>
      <c r="B3070" t="s">
        <v>1647</v>
      </c>
      <c r="C3070" s="10">
        <v>91.6</v>
      </c>
      <c r="D3070" s="10">
        <v>5.99</v>
      </c>
      <c r="E3070" s="16">
        <v>7</v>
      </c>
      <c r="F3070">
        <v>1622223</v>
      </c>
      <c r="G3070" s="5">
        <v>43147</v>
      </c>
    </row>
    <row r="3071" spans="1:7" x14ac:dyDescent="0.4">
      <c r="A3071">
        <v>70</v>
      </c>
      <c r="B3071" t="s">
        <v>1320</v>
      </c>
      <c r="C3071" s="10">
        <v>3.85</v>
      </c>
      <c r="D3071" s="10">
        <v>0.25</v>
      </c>
      <c r="E3071" s="16">
        <v>6.94</v>
      </c>
      <c r="F3071">
        <v>411576</v>
      </c>
      <c r="G3071" s="5">
        <v>43147</v>
      </c>
    </row>
    <row r="3072" spans="1:7" x14ac:dyDescent="0.4">
      <c r="A3072">
        <v>71</v>
      </c>
      <c r="B3072" t="s">
        <v>686</v>
      </c>
      <c r="C3072" s="10">
        <v>24.79</v>
      </c>
      <c r="D3072" s="10">
        <v>1.59</v>
      </c>
      <c r="E3072" s="16">
        <v>6.85</v>
      </c>
      <c r="F3072">
        <v>6472718</v>
      </c>
      <c r="G3072" s="5">
        <v>43147</v>
      </c>
    </row>
    <row r="3073" spans="1:7" x14ac:dyDescent="0.4">
      <c r="A3073">
        <v>72</v>
      </c>
      <c r="B3073" t="s">
        <v>1648</v>
      </c>
      <c r="C3073" s="10">
        <v>4.99</v>
      </c>
      <c r="D3073" s="10">
        <v>0.32</v>
      </c>
      <c r="E3073" s="16">
        <v>6.85</v>
      </c>
      <c r="F3073">
        <v>29604245</v>
      </c>
      <c r="G3073" s="5">
        <v>43147</v>
      </c>
    </row>
    <row r="3074" spans="1:7" x14ac:dyDescent="0.4">
      <c r="A3074">
        <v>73</v>
      </c>
      <c r="B3074" t="s">
        <v>1031</v>
      </c>
      <c r="C3074" s="10">
        <v>17.84</v>
      </c>
      <c r="D3074" s="10">
        <v>1.1299999999999999</v>
      </c>
      <c r="E3074" s="16">
        <v>6.76</v>
      </c>
      <c r="F3074">
        <v>4944050</v>
      </c>
      <c r="G3074" s="5">
        <v>43147</v>
      </c>
    </row>
    <row r="3075" spans="1:7" x14ac:dyDescent="0.4">
      <c r="A3075">
        <v>74</v>
      </c>
      <c r="B3075" t="s">
        <v>1192</v>
      </c>
      <c r="C3075" s="10">
        <v>6.08</v>
      </c>
      <c r="D3075" s="10">
        <v>0.38</v>
      </c>
      <c r="E3075" s="16">
        <v>6.67</v>
      </c>
      <c r="F3075">
        <v>33893</v>
      </c>
      <c r="G3075" s="5">
        <v>43147</v>
      </c>
    </row>
    <row r="3076" spans="1:7" x14ac:dyDescent="0.4">
      <c r="A3076">
        <v>75</v>
      </c>
      <c r="B3076" t="s">
        <v>1649</v>
      </c>
      <c r="C3076" s="10">
        <v>305.63</v>
      </c>
      <c r="D3076" s="10">
        <v>18.98</v>
      </c>
      <c r="E3076" s="16">
        <v>6.62</v>
      </c>
      <c r="F3076">
        <v>2721998</v>
      </c>
      <c r="G3076" s="5">
        <v>43147</v>
      </c>
    </row>
    <row r="3077" spans="1:7" x14ac:dyDescent="0.4">
      <c r="A3077">
        <v>76</v>
      </c>
      <c r="B3077" t="s">
        <v>1382</v>
      </c>
      <c r="C3077" s="10">
        <v>3.08</v>
      </c>
      <c r="D3077" s="10">
        <v>0.19</v>
      </c>
      <c r="E3077" s="16">
        <v>6.57</v>
      </c>
      <c r="F3077">
        <v>69434</v>
      </c>
      <c r="G3077" s="5">
        <v>43147</v>
      </c>
    </row>
    <row r="3078" spans="1:7" x14ac:dyDescent="0.4">
      <c r="A3078">
        <v>77</v>
      </c>
      <c r="B3078" t="s">
        <v>1650</v>
      </c>
      <c r="C3078" s="10">
        <v>32.130000000000003</v>
      </c>
      <c r="D3078" s="10">
        <v>1.98</v>
      </c>
      <c r="E3078" s="16">
        <v>6.57</v>
      </c>
      <c r="F3078">
        <v>2010</v>
      </c>
      <c r="G3078" s="5">
        <v>43147</v>
      </c>
    </row>
    <row r="3079" spans="1:7" x14ac:dyDescent="0.4">
      <c r="A3079">
        <v>78</v>
      </c>
      <c r="B3079" t="s">
        <v>1651</v>
      </c>
      <c r="C3079" s="10">
        <v>10.41</v>
      </c>
      <c r="D3079" s="10">
        <v>0.64</v>
      </c>
      <c r="E3079" s="16">
        <v>6.55</v>
      </c>
      <c r="F3079">
        <v>7689471</v>
      </c>
      <c r="G3079" s="5">
        <v>43147</v>
      </c>
    </row>
    <row r="3080" spans="1:7" x14ac:dyDescent="0.4">
      <c r="A3080">
        <v>79</v>
      </c>
      <c r="B3080" t="s">
        <v>1652</v>
      </c>
      <c r="C3080" s="10">
        <v>27.82</v>
      </c>
      <c r="D3080" s="10">
        <v>1.7</v>
      </c>
      <c r="E3080" s="16">
        <v>6.51</v>
      </c>
      <c r="F3080">
        <v>254066</v>
      </c>
      <c r="G3080" s="5">
        <v>43147</v>
      </c>
    </row>
    <row r="3081" spans="1:7" x14ac:dyDescent="0.4">
      <c r="A3081">
        <v>80</v>
      </c>
      <c r="B3081" t="s">
        <v>1653</v>
      </c>
      <c r="C3081" s="10">
        <v>58.85</v>
      </c>
      <c r="D3081" s="10">
        <v>3.59</v>
      </c>
      <c r="E3081" s="16">
        <v>6.5</v>
      </c>
      <c r="F3081">
        <v>731342</v>
      </c>
      <c r="G3081" s="5">
        <v>43147</v>
      </c>
    </row>
    <row r="3082" spans="1:7" x14ac:dyDescent="0.4">
      <c r="A3082">
        <v>81</v>
      </c>
      <c r="B3082" t="s">
        <v>49</v>
      </c>
      <c r="C3082" s="10">
        <v>3.56</v>
      </c>
      <c r="D3082" s="10">
        <v>0.21</v>
      </c>
      <c r="E3082" s="16">
        <v>6.43</v>
      </c>
      <c r="F3082">
        <v>468744</v>
      </c>
      <c r="G3082" s="5">
        <v>43147</v>
      </c>
    </row>
    <row r="3083" spans="1:7" x14ac:dyDescent="0.4">
      <c r="A3083">
        <v>82</v>
      </c>
      <c r="B3083" t="s">
        <v>1654</v>
      </c>
      <c r="C3083" s="10">
        <v>8.76</v>
      </c>
      <c r="D3083" s="10">
        <v>0.52</v>
      </c>
      <c r="E3083" s="16">
        <v>6.31</v>
      </c>
      <c r="F3083">
        <v>4839650</v>
      </c>
      <c r="G3083" s="5">
        <v>43147</v>
      </c>
    </row>
    <row r="3084" spans="1:7" x14ac:dyDescent="0.4">
      <c r="A3084">
        <v>83</v>
      </c>
      <c r="B3084" t="s">
        <v>1200</v>
      </c>
      <c r="C3084" s="10">
        <v>9.1</v>
      </c>
      <c r="D3084" s="10">
        <v>0.54</v>
      </c>
      <c r="E3084" s="16">
        <v>6.31</v>
      </c>
      <c r="F3084">
        <v>127821</v>
      </c>
      <c r="G3084" s="5">
        <v>43147</v>
      </c>
    </row>
    <row r="3085" spans="1:7" x14ac:dyDescent="0.4">
      <c r="A3085">
        <v>84</v>
      </c>
      <c r="B3085" t="s">
        <v>228</v>
      </c>
      <c r="C3085" s="10">
        <v>24.8</v>
      </c>
      <c r="D3085" s="10">
        <v>1.46</v>
      </c>
      <c r="E3085" s="16">
        <v>6.26</v>
      </c>
      <c r="F3085">
        <v>381343</v>
      </c>
      <c r="G3085" s="5">
        <v>43147</v>
      </c>
    </row>
    <row r="3086" spans="1:7" x14ac:dyDescent="0.4">
      <c r="A3086">
        <v>85</v>
      </c>
      <c r="B3086" t="s">
        <v>31</v>
      </c>
      <c r="C3086" s="10">
        <v>9.35</v>
      </c>
      <c r="D3086" s="10">
        <v>0.55000000000000004</v>
      </c>
      <c r="E3086" s="16">
        <v>6.25</v>
      </c>
      <c r="F3086">
        <v>288509</v>
      </c>
      <c r="G3086" s="5">
        <v>43147</v>
      </c>
    </row>
    <row r="3087" spans="1:7" x14ac:dyDescent="0.4">
      <c r="A3087">
        <v>86</v>
      </c>
      <c r="B3087" t="s">
        <v>1597</v>
      </c>
      <c r="C3087" s="10">
        <v>7.67</v>
      </c>
      <c r="D3087" s="10">
        <v>0.45</v>
      </c>
      <c r="E3087" s="16">
        <v>6.23</v>
      </c>
      <c r="F3087">
        <v>136987</v>
      </c>
      <c r="G3087" s="5">
        <v>43147</v>
      </c>
    </row>
    <row r="3088" spans="1:7" x14ac:dyDescent="0.4">
      <c r="A3088">
        <v>87</v>
      </c>
      <c r="B3088" t="s">
        <v>1296</v>
      </c>
      <c r="C3088" s="10">
        <v>2.73</v>
      </c>
      <c r="D3088" s="10">
        <v>0.16</v>
      </c>
      <c r="E3088" s="16">
        <v>6.23</v>
      </c>
      <c r="F3088">
        <v>9953955</v>
      </c>
      <c r="G3088" s="5">
        <v>43147</v>
      </c>
    </row>
    <row r="3089" spans="1:7" x14ac:dyDescent="0.4">
      <c r="A3089">
        <v>88</v>
      </c>
      <c r="B3089" t="s">
        <v>30</v>
      </c>
      <c r="C3089" s="10">
        <v>4.2699999999999996</v>
      </c>
      <c r="D3089" s="10">
        <v>0.25</v>
      </c>
      <c r="E3089" s="16">
        <v>6.22</v>
      </c>
      <c r="F3089">
        <v>29270</v>
      </c>
      <c r="G3089" s="5">
        <v>43147</v>
      </c>
    </row>
    <row r="3090" spans="1:7" x14ac:dyDescent="0.4">
      <c r="A3090">
        <v>89</v>
      </c>
      <c r="B3090" t="s">
        <v>473</v>
      </c>
      <c r="C3090" s="10">
        <v>11.89</v>
      </c>
      <c r="D3090" s="10">
        <v>0.69</v>
      </c>
      <c r="E3090" s="16">
        <v>6.16</v>
      </c>
      <c r="F3090">
        <v>291415</v>
      </c>
      <c r="G3090" s="5">
        <v>43147</v>
      </c>
    </row>
    <row r="3091" spans="1:7" x14ac:dyDescent="0.4">
      <c r="A3091">
        <v>90</v>
      </c>
      <c r="B3091" t="s">
        <v>1655</v>
      </c>
      <c r="C3091" s="10">
        <v>13.78</v>
      </c>
      <c r="D3091" s="10">
        <v>0.77</v>
      </c>
      <c r="E3091" s="16">
        <v>5.92</v>
      </c>
      <c r="F3091">
        <v>299074</v>
      </c>
      <c r="G3091" s="5">
        <v>43147</v>
      </c>
    </row>
    <row r="3092" spans="1:7" x14ac:dyDescent="0.4">
      <c r="A3092">
        <v>91</v>
      </c>
      <c r="B3092" t="s">
        <v>1218</v>
      </c>
      <c r="C3092" s="10">
        <v>6.3</v>
      </c>
      <c r="D3092" s="10">
        <v>0.35</v>
      </c>
      <c r="E3092" s="16">
        <v>5.88</v>
      </c>
      <c r="F3092">
        <v>105239</v>
      </c>
      <c r="G3092" s="5">
        <v>43147</v>
      </c>
    </row>
    <row r="3093" spans="1:7" x14ac:dyDescent="0.4">
      <c r="A3093">
        <v>92</v>
      </c>
      <c r="B3093" t="s">
        <v>696</v>
      </c>
      <c r="C3093" s="10">
        <v>31.89</v>
      </c>
      <c r="D3093" s="10">
        <v>1.77</v>
      </c>
      <c r="E3093" s="16">
        <v>5.88</v>
      </c>
      <c r="F3093">
        <v>312682</v>
      </c>
      <c r="G3093" s="5">
        <v>43147</v>
      </c>
    </row>
    <row r="3094" spans="1:7" x14ac:dyDescent="0.4">
      <c r="A3094">
        <v>93</v>
      </c>
      <c r="B3094" t="s">
        <v>73</v>
      </c>
      <c r="C3094" s="10">
        <v>3.44</v>
      </c>
      <c r="D3094" s="10">
        <v>0.19</v>
      </c>
      <c r="E3094" s="16">
        <v>5.85</v>
      </c>
      <c r="F3094">
        <v>15383</v>
      </c>
      <c r="G3094" s="5">
        <v>43147</v>
      </c>
    </row>
    <row r="3095" spans="1:7" x14ac:dyDescent="0.4">
      <c r="A3095">
        <v>94</v>
      </c>
      <c r="B3095" t="s">
        <v>1656</v>
      </c>
      <c r="C3095" s="10">
        <v>4.08</v>
      </c>
      <c r="D3095" s="10">
        <v>0.23</v>
      </c>
      <c r="E3095" s="16">
        <v>5.84</v>
      </c>
      <c r="F3095">
        <v>273588</v>
      </c>
      <c r="G3095" s="5">
        <v>43147</v>
      </c>
    </row>
    <row r="3096" spans="1:7" x14ac:dyDescent="0.4">
      <c r="A3096">
        <v>95</v>
      </c>
      <c r="B3096" t="s">
        <v>1657</v>
      </c>
      <c r="C3096" s="10">
        <v>25.97</v>
      </c>
      <c r="D3096" s="10">
        <v>1.43</v>
      </c>
      <c r="E3096" s="16">
        <v>5.83</v>
      </c>
      <c r="F3096">
        <v>3391600</v>
      </c>
      <c r="G3096" s="5">
        <v>43147</v>
      </c>
    </row>
    <row r="3097" spans="1:7" x14ac:dyDescent="0.4">
      <c r="A3097">
        <v>96</v>
      </c>
      <c r="B3097" t="s">
        <v>787</v>
      </c>
      <c r="C3097" s="10">
        <v>11.27</v>
      </c>
      <c r="D3097" s="10">
        <v>0.62</v>
      </c>
      <c r="E3097" s="16">
        <v>5.82</v>
      </c>
      <c r="F3097">
        <v>4172499</v>
      </c>
      <c r="G3097" s="5">
        <v>43147</v>
      </c>
    </row>
    <row r="3098" spans="1:7" x14ac:dyDescent="0.4">
      <c r="A3098">
        <v>97</v>
      </c>
      <c r="B3098" t="s">
        <v>867</v>
      </c>
      <c r="C3098" s="10">
        <v>38.25</v>
      </c>
      <c r="D3098" s="10">
        <v>2.1</v>
      </c>
      <c r="E3098" s="16">
        <v>5.81</v>
      </c>
      <c r="F3098">
        <v>13679</v>
      </c>
      <c r="G3098" s="5">
        <v>43147</v>
      </c>
    </row>
    <row r="3099" spans="1:7" x14ac:dyDescent="0.4">
      <c r="A3099">
        <v>98</v>
      </c>
      <c r="B3099" t="s">
        <v>1388</v>
      </c>
      <c r="C3099" s="10">
        <v>20.96</v>
      </c>
      <c r="D3099" s="10">
        <v>1.1499999999999999</v>
      </c>
      <c r="E3099" s="16">
        <v>5.81</v>
      </c>
      <c r="F3099">
        <v>3658911</v>
      </c>
      <c r="G3099" s="5">
        <v>43147</v>
      </c>
    </row>
    <row r="3100" spans="1:7" x14ac:dyDescent="0.4">
      <c r="A3100">
        <v>99</v>
      </c>
      <c r="B3100" t="s">
        <v>1288</v>
      </c>
      <c r="C3100" s="10">
        <v>2.59</v>
      </c>
      <c r="D3100" s="10">
        <v>0.14000000000000001</v>
      </c>
      <c r="E3100" s="16">
        <v>5.71</v>
      </c>
      <c r="F3100">
        <v>1081470</v>
      </c>
      <c r="G3100" s="5">
        <v>43147</v>
      </c>
    </row>
    <row r="3101" spans="1:7" x14ac:dyDescent="0.4">
      <c r="A3101">
        <v>100</v>
      </c>
      <c r="B3101" t="s">
        <v>1147</v>
      </c>
      <c r="C3101" s="10">
        <v>5.03</v>
      </c>
      <c r="D3101" s="10">
        <v>0.27</v>
      </c>
      <c r="E3101" s="16">
        <v>5.69</v>
      </c>
      <c r="F3101">
        <v>14435</v>
      </c>
      <c r="G3101" s="5">
        <v>43147</v>
      </c>
    </row>
    <row r="3102" spans="1:7" x14ac:dyDescent="0.4">
      <c r="A3102">
        <v>1</v>
      </c>
      <c r="B3102" t="s">
        <v>952</v>
      </c>
      <c r="C3102" s="10">
        <v>4.45</v>
      </c>
      <c r="D3102" s="10">
        <v>1.2</v>
      </c>
      <c r="E3102" s="16">
        <v>36.92</v>
      </c>
      <c r="F3102">
        <v>191142</v>
      </c>
      <c r="G3102" s="5">
        <v>43146</v>
      </c>
    </row>
    <row r="3103" spans="1:7" x14ac:dyDescent="0.4">
      <c r="A3103">
        <v>2</v>
      </c>
      <c r="B3103" t="s">
        <v>1658</v>
      </c>
      <c r="C3103" s="10">
        <v>2.94</v>
      </c>
      <c r="D3103" s="10">
        <v>0.69</v>
      </c>
      <c r="E3103" s="16">
        <v>30.67</v>
      </c>
      <c r="F3103">
        <v>701517</v>
      </c>
      <c r="G3103" s="5">
        <v>43146</v>
      </c>
    </row>
    <row r="3104" spans="1:7" x14ac:dyDescent="0.4">
      <c r="A3104">
        <v>3</v>
      </c>
      <c r="B3104" t="s">
        <v>926</v>
      </c>
      <c r="C3104" s="10">
        <v>17.95</v>
      </c>
      <c r="D3104" s="10">
        <v>4.05</v>
      </c>
      <c r="E3104" s="16">
        <v>29.14</v>
      </c>
      <c r="F3104">
        <v>11573339</v>
      </c>
      <c r="G3104" s="5">
        <v>43146</v>
      </c>
    </row>
    <row r="3105" spans="1:7" x14ac:dyDescent="0.4">
      <c r="A3105">
        <v>4</v>
      </c>
      <c r="B3105" t="s">
        <v>324</v>
      </c>
      <c r="C3105" s="10">
        <v>6.96</v>
      </c>
      <c r="D3105" s="10">
        <v>1.51</v>
      </c>
      <c r="E3105" s="16">
        <v>27.71</v>
      </c>
      <c r="F3105">
        <v>850902</v>
      </c>
      <c r="G3105" s="5">
        <v>43146</v>
      </c>
    </row>
    <row r="3106" spans="1:7" x14ac:dyDescent="0.4">
      <c r="A3106">
        <v>5</v>
      </c>
      <c r="B3106" t="s">
        <v>1659</v>
      </c>
      <c r="C3106" s="10">
        <v>45.85</v>
      </c>
      <c r="D3106" s="10">
        <v>8.9499999999999993</v>
      </c>
      <c r="E3106" s="16">
        <v>24.25</v>
      </c>
      <c r="F3106">
        <v>4325509</v>
      </c>
      <c r="G3106" s="5">
        <v>43146</v>
      </c>
    </row>
    <row r="3107" spans="1:7" x14ac:dyDescent="0.4">
      <c r="A3107">
        <v>6</v>
      </c>
      <c r="B3107" t="s">
        <v>226</v>
      </c>
      <c r="C3107" s="10">
        <v>3.63</v>
      </c>
      <c r="D3107" s="10">
        <v>0.66</v>
      </c>
      <c r="E3107" s="16">
        <v>22.22</v>
      </c>
      <c r="F3107">
        <v>1502460</v>
      </c>
      <c r="G3107" s="5">
        <v>43146</v>
      </c>
    </row>
    <row r="3108" spans="1:7" x14ac:dyDescent="0.4">
      <c r="A3108">
        <v>7</v>
      </c>
      <c r="B3108" t="s">
        <v>1095</v>
      </c>
      <c r="C3108" s="10">
        <v>15.52</v>
      </c>
      <c r="D3108" s="10">
        <v>2.37</v>
      </c>
      <c r="E3108" s="16">
        <v>18.02</v>
      </c>
      <c r="F3108">
        <v>646682</v>
      </c>
      <c r="G3108" s="5">
        <v>43146</v>
      </c>
    </row>
    <row r="3109" spans="1:7" x14ac:dyDescent="0.4">
      <c r="A3109">
        <v>8</v>
      </c>
      <c r="B3109" t="s">
        <v>347</v>
      </c>
      <c r="C3109" s="10">
        <v>4.78</v>
      </c>
      <c r="D3109" s="10">
        <v>0.71</v>
      </c>
      <c r="E3109" s="16">
        <v>17.43</v>
      </c>
      <c r="F3109">
        <v>16423</v>
      </c>
      <c r="G3109" s="5">
        <v>43146</v>
      </c>
    </row>
    <row r="3110" spans="1:7" x14ac:dyDescent="0.4">
      <c r="A3110">
        <v>9</v>
      </c>
      <c r="B3110" t="s">
        <v>1660</v>
      </c>
      <c r="C3110" s="10">
        <v>25.71</v>
      </c>
      <c r="D3110" s="10">
        <v>3.8</v>
      </c>
      <c r="E3110" s="16">
        <v>17.34</v>
      </c>
      <c r="F3110">
        <v>1737015</v>
      </c>
      <c r="G3110" s="5">
        <v>43146</v>
      </c>
    </row>
    <row r="3111" spans="1:7" x14ac:dyDescent="0.4">
      <c r="A3111">
        <v>10</v>
      </c>
      <c r="B3111" t="s">
        <v>759</v>
      </c>
      <c r="C3111" s="10">
        <v>9.15</v>
      </c>
      <c r="D3111" s="10">
        <v>1.35</v>
      </c>
      <c r="E3111" s="16">
        <v>17.309999999999999</v>
      </c>
      <c r="F3111">
        <v>564418</v>
      </c>
      <c r="G3111" s="5">
        <v>43146</v>
      </c>
    </row>
    <row r="3112" spans="1:7" x14ac:dyDescent="0.4">
      <c r="A3112">
        <v>11</v>
      </c>
      <c r="B3112" t="s">
        <v>366</v>
      </c>
      <c r="C3112" s="10">
        <v>7</v>
      </c>
      <c r="D3112" s="10">
        <v>1</v>
      </c>
      <c r="E3112" s="16">
        <v>16.670000000000002</v>
      </c>
      <c r="F3112">
        <v>2885876</v>
      </c>
      <c r="G3112" s="5">
        <v>43146</v>
      </c>
    </row>
    <row r="3113" spans="1:7" x14ac:dyDescent="0.4">
      <c r="A3113">
        <v>12</v>
      </c>
      <c r="B3113" t="s">
        <v>1661</v>
      </c>
      <c r="C3113" s="10">
        <v>31.05</v>
      </c>
      <c r="D3113" s="10">
        <v>4</v>
      </c>
      <c r="E3113" s="16">
        <v>14.79</v>
      </c>
      <c r="F3113">
        <v>1550338</v>
      </c>
      <c r="G3113" s="5">
        <v>43146</v>
      </c>
    </row>
    <row r="3114" spans="1:7" x14ac:dyDescent="0.4">
      <c r="A3114">
        <v>13</v>
      </c>
      <c r="B3114" t="s">
        <v>1662</v>
      </c>
      <c r="C3114" s="10">
        <v>3.19</v>
      </c>
      <c r="D3114" s="10">
        <v>0.41</v>
      </c>
      <c r="E3114" s="16">
        <v>14.75</v>
      </c>
      <c r="F3114">
        <v>4318717</v>
      </c>
      <c r="G3114" s="5">
        <v>43146</v>
      </c>
    </row>
    <row r="3115" spans="1:7" x14ac:dyDescent="0.4">
      <c r="A3115">
        <v>14</v>
      </c>
      <c r="B3115" t="s">
        <v>208</v>
      </c>
      <c r="C3115" s="10">
        <v>2.63</v>
      </c>
      <c r="D3115" s="10">
        <v>0.33</v>
      </c>
      <c r="E3115" s="16">
        <v>14.35</v>
      </c>
      <c r="F3115">
        <v>5029825</v>
      </c>
      <c r="G3115" s="5">
        <v>43146</v>
      </c>
    </row>
    <row r="3116" spans="1:7" x14ac:dyDescent="0.4">
      <c r="A3116">
        <v>15</v>
      </c>
      <c r="B3116" t="s">
        <v>1146</v>
      </c>
      <c r="C3116" s="10">
        <v>48.29</v>
      </c>
      <c r="D3116" s="10">
        <v>6.04</v>
      </c>
      <c r="E3116" s="16">
        <v>14.3</v>
      </c>
      <c r="F3116">
        <v>142246</v>
      </c>
      <c r="G3116" s="5">
        <v>43146</v>
      </c>
    </row>
    <row r="3117" spans="1:7" x14ac:dyDescent="0.4">
      <c r="A3117">
        <v>16</v>
      </c>
      <c r="B3117" t="s">
        <v>125</v>
      </c>
      <c r="C3117" s="10">
        <v>7.26</v>
      </c>
      <c r="D3117" s="10">
        <v>0.88</v>
      </c>
      <c r="E3117" s="16">
        <v>13.79</v>
      </c>
      <c r="F3117">
        <v>209416</v>
      </c>
      <c r="G3117" s="5">
        <v>43146</v>
      </c>
    </row>
    <row r="3118" spans="1:7" x14ac:dyDescent="0.4">
      <c r="A3118">
        <v>17</v>
      </c>
      <c r="B3118" t="s">
        <v>1296</v>
      </c>
      <c r="C3118" s="10">
        <v>2.57</v>
      </c>
      <c r="D3118" s="10">
        <v>0.3</v>
      </c>
      <c r="E3118" s="16">
        <v>13.22</v>
      </c>
      <c r="F3118">
        <v>10867673</v>
      </c>
      <c r="G3118" s="5">
        <v>43146</v>
      </c>
    </row>
    <row r="3119" spans="1:7" x14ac:dyDescent="0.4">
      <c r="A3119">
        <v>18</v>
      </c>
      <c r="B3119" t="s">
        <v>1663</v>
      </c>
      <c r="C3119" s="10">
        <v>36</v>
      </c>
      <c r="D3119" s="10">
        <v>4.2</v>
      </c>
      <c r="E3119" s="16">
        <v>13.21</v>
      </c>
      <c r="F3119">
        <v>313790</v>
      </c>
      <c r="G3119" s="5">
        <v>43146</v>
      </c>
    </row>
    <row r="3120" spans="1:7" x14ac:dyDescent="0.4">
      <c r="A3120">
        <v>19</v>
      </c>
      <c r="B3120" t="s">
        <v>1009</v>
      </c>
      <c r="C3120" s="10">
        <v>19</v>
      </c>
      <c r="D3120" s="10">
        <v>2.2000000000000002</v>
      </c>
      <c r="E3120" s="16">
        <v>13.1</v>
      </c>
      <c r="F3120">
        <v>44890</v>
      </c>
      <c r="G3120" s="5">
        <v>43146</v>
      </c>
    </row>
    <row r="3121" spans="1:7" x14ac:dyDescent="0.4">
      <c r="A3121">
        <v>20</v>
      </c>
      <c r="B3121" t="s">
        <v>490</v>
      </c>
      <c r="C3121" s="10">
        <v>67.099999999999994</v>
      </c>
      <c r="D3121" s="10">
        <v>7.75</v>
      </c>
      <c r="E3121" s="16">
        <v>13.06</v>
      </c>
      <c r="F3121">
        <v>5993861</v>
      </c>
      <c r="G3121" s="5">
        <v>43146</v>
      </c>
    </row>
    <row r="3122" spans="1:7" x14ac:dyDescent="0.4">
      <c r="A3122">
        <v>21</v>
      </c>
      <c r="B3122" t="s">
        <v>1664</v>
      </c>
      <c r="C3122" s="10">
        <v>12.35</v>
      </c>
      <c r="D3122" s="10">
        <v>1.35</v>
      </c>
      <c r="E3122" s="16">
        <v>12.27</v>
      </c>
      <c r="F3122">
        <v>2531</v>
      </c>
      <c r="G3122" s="5">
        <v>43146</v>
      </c>
    </row>
    <row r="3123" spans="1:7" x14ac:dyDescent="0.4">
      <c r="A3123">
        <v>22</v>
      </c>
      <c r="B3123" t="s">
        <v>161</v>
      </c>
      <c r="C3123" s="10">
        <v>4.75</v>
      </c>
      <c r="D3123" s="10">
        <v>0.51</v>
      </c>
      <c r="E3123" s="16">
        <v>12.03</v>
      </c>
      <c r="F3123">
        <v>448775</v>
      </c>
      <c r="G3123" s="5">
        <v>43146</v>
      </c>
    </row>
    <row r="3124" spans="1:7" x14ac:dyDescent="0.4">
      <c r="A3124">
        <v>23</v>
      </c>
      <c r="B3124" t="s">
        <v>1645</v>
      </c>
      <c r="C3124" s="10">
        <v>21.05</v>
      </c>
      <c r="D3124" s="10">
        <v>2.2000000000000002</v>
      </c>
      <c r="E3124" s="16">
        <v>11.67</v>
      </c>
      <c r="F3124">
        <v>650828</v>
      </c>
      <c r="G3124" s="5">
        <v>43146</v>
      </c>
    </row>
    <row r="3125" spans="1:7" x14ac:dyDescent="0.4">
      <c r="A3125">
        <v>24</v>
      </c>
      <c r="B3125" t="s">
        <v>228</v>
      </c>
      <c r="C3125" s="10">
        <v>23.34</v>
      </c>
      <c r="D3125" s="10">
        <v>2.41</v>
      </c>
      <c r="E3125" s="16">
        <v>11.51</v>
      </c>
      <c r="F3125">
        <v>206742</v>
      </c>
      <c r="G3125" s="5">
        <v>43146</v>
      </c>
    </row>
    <row r="3126" spans="1:7" x14ac:dyDescent="0.4">
      <c r="A3126">
        <v>25</v>
      </c>
      <c r="B3126" t="s">
        <v>1665</v>
      </c>
      <c r="C3126" s="10">
        <v>44.89</v>
      </c>
      <c r="D3126" s="10">
        <v>4.62</v>
      </c>
      <c r="E3126" s="16">
        <v>11.47</v>
      </c>
      <c r="F3126">
        <v>1268836</v>
      </c>
      <c r="G3126" s="5">
        <v>43146</v>
      </c>
    </row>
    <row r="3127" spans="1:7" x14ac:dyDescent="0.4">
      <c r="A3127">
        <v>26</v>
      </c>
      <c r="B3127" t="s">
        <v>1229</v>
      </c>
      <c r="C3127" s="10">
        <v>22.59</v>
      </c>
      <c r="D3127" s="10">
        <v>2.29</v>
      </c>
      <c r="E3127" s="16">
        <v>11.28</v>
      </c>
      <c r="F3127">
        <v>564555</v>
      </c>
      <c r="G3127" s="5">
        <v>43146</v>
      </c>
    </row>
    <row r="3128" spans="1:7" x14ac:dyDescent="0.4">
      <c r="A3128">
        <v>27</v>
      </c>
      <c r="B3128" t="s">
        <v>1486</v>
      </c>
      <c r="C3128" s="10">
        <v>4.21</v>
      </c>
      <c r="D3128" s="10">
        <v>0.42</v>
      </c>
      <c r="E3128" s="16">
        <v>11.08</v>
      </c>
      <c r="F3128">
        <v>2142528</v>
      </c>
      <c r="G3128" s="5">
        <v>43146</v>
      </c>
    </row>
    <row r="3129" spans="1:7" x14ac:dyDescent="0.4">
      <c r="A3129">
        <v>28</v>
      </c>
      <c r="B3129" t="s">
        <v>938</v>
      </c>
      <c r="C3129" s="10">
        <v>5.64</v>
      </c>
      <c r="D3129" s="10">
        <v>0.56000000000000005</v>
      </c>
      <c r="E3129" s="16">
        <v>11.02</v>
      </c>
      <c r="F3129">
        <v>25003</v>
      </c>
      <c r="G3129" s="5">
        <v>43146</v>
      </c>
    </row>
    <row r="3130" spans="1:7" x14ac:dyDescent="0.4">
      <c r="A3130">
        <v>29</v>
      </c>
      <c r="B3130" t="s">
        <v>923</v>
      </c>
      <c r="C3130" s="10">
        <v>8.1</v>
      </c>
      <c r="D3130" s="10">
        <v>0.8</v>
      </c>
      <c r="E3130" s="16">
        <v>10.96</v>
      </c>
      <c r="F3130">
        <v>1735448</v>
      </c>
      <c r="G3130" s="5">
        <v>43146</v>
      </c>
    </row>
    <row r="3131" spans="1:7" x14ac:dyDescent="0.4">
      <c r="A3131">
        <v>30</v>
      </c>
      <c r="B3131" t="s">
        <v>1666</v>
      </c>
      <c r="C3131" s="10">
        <v>7.97</v>
      </c>
      <c r="D3131" s="10">
        <v>0.78</v>
      </c>
      <c r="E3131" s="16">
        <v>10.85</v>
      </c>
      <c r="F3131">
        <v>287903</v>
      </c>
      <c r="G3131" s="5">
        <v>43146</v>
      </c>
    </row>
    <row r="3132" spans="1:7" x14ac:dyDescent="0.4">
      <c r="A3132">
        <v>31</v>
      </c>
      <c r="B3132" t="s">
        <v>1667</v>
      </c>
      <c r="C3132" s="10">
        <v>42.75</v>
      </c>
      <c r="D3132" s="10">
        <v>4.0999999999999996</v>
      </c>
      <c r="E3132" s="16">
        <v>10.61</v>
      </c>
      <c r="F3132">
        <v>5476104</v>
      </c>
      <c r="G3132" s="5">
        <v>43146</v>
      </c>
    </row>
    <row r="3133" spans="1:7" x14ac:dyDescent="0.4">
      <c r="A3133">
        <v>32</v>
      </c>
      <c r="B3133" t="s">
        <v>384</v>
      </c>
      <c r="C3133" s="10">
        <v>14.87</v>
      </c>
      <c r="D3133" s="10">
        <v>1.41</v>
      </c>
      <c r="E3133" s="16">
        <v>10.48</v>
      </c>
      <c r="F3133">
        <v>2792435</v>
      </c>
      <c r="G3133" s="5">
        <v>43146</v>
      </c>
    </row>
    <row r="3134" spans="1:7" x14ac:dyDescent="0.4">
      <c r="A3134">
        <v>33</v>
      </c>
      <c r="B3134" t="s">
        <v>1174</v>
      </c>
      <c r="C3134" s="10">
        <v>2.64</v>
      </c>
      <c r="D3134" s="10">
        <v>0.25</v>
      </c>
      <c r="E3134" s="16">
        <v>10.46</v>
      </c>
      <c r="F3134">
        <v>56902</v>
      </c>
      <c r="G3134" s="5">
        <v>43146</v>
      </c>
    </row>
    <row r="3135" spans="1:7" x14ac:dyDescent="0.4">
      <c r="A3135">
        <v>34</v>
      </c>
      <c r="B3135" t="s">
        <v>1668</v>
      </c>
      <c r="C3135" s="10">
        <v>51.9</v>
      </c>
      <c r="D3135" s="10">
        <v>4.8499999999999996</v>
      </c>
      <c r="E3135" s="16">
        <v>10.31</v>
      </c>
      <c r="F3135">
        <v>202027</v>
      </c>
      <c r="G3135" s="5">
        <v>43146</v>
      </c>
    </row>
    <row r="3136" spans="1:7" x14ac:dyDescent="0.4">
      <c r="A3136">
        <v>35</v>
      </c>
      <c r="B3136" t="s">
        <v>1669</v>
      </c>
      <c r="C3136" s="10">
        <v>17.899999999999999</v>
      </c>
      <c r="D3136" s="10">
        <v>1.65</v>
      </c>
      <c r="E3136" s="16">
        <v>10.15</v>
      </c>
      <c r="F3136">
        <v>311622</v>
      </c>
      <c r="G3136" s="5">
        <v>43146</v>
      </c>
    </row>
    <row r="3137" spans="1:7" x14ac:dyDescent="0.4">
      <c r="A3137">
        <v>36</v>
      </c>
      <c r="B3137" t="s">
        <v>1670</v>
      </c>
      <c r="C3137" s="10">
        <v>53.34</v>
      </c>
      <c r="D3137" s="10">
        <v>4.83</v>
      </c>
      <c r="E3137" s="16">
        <v>9.9600000000000009</v>
      </c>
      <c r="F3137">
        <v>10749860</v>
      </c>
      <c r="G3137" s="5">
        <v>43146</v>
      </c>
    </row>
    <row r="3138" spans="1:7" x14ac:dyDescent="0.4">
      <c r="A3138">
        <v>37</v>
      </c>
      <c r="B3138" t="s">
        <v>919</v>
      </c>
      <c r="C3138" s="10">
        <v>5.62</v>
      </c>
      <c r="D3138" s="10">
        <v>0.5</v>
      </c>
      <c r="E3138" s="16">
        <v>9.77</v>
      </c>
      <c r="F3138">
        <v>105867</v>
      </c>
      <c r="G3138" s="5">
        <v>43146</v>
      </c>
    </row>
    <row r="3139" spans="1:7" x14ac:dyDescent="0.4">
      <c r="A3139">
        <v>38</v>
      </c>
      <c r="B3139" t="s">
        <v>167</v>
      </c>
      <c r="C3139" s="10">
        <v>10.83</v>
      </c>
      <c r="D3139" s="10">
        <v>0.96</v>
      </c>
      <c r="E3139" s="16">
        <v>9.73</v>
      </c>
      <c r="F3139">
        <v>467458</v>
      </c>
      <c r="G3139" s="5">
        <v>43146</v>
      </c>
    </row>
    <row r="3140" spans="1:7" x14ac:dyDescent="0.4">
      <c r="A3140">
        <v>39</v>
      </c>
      <c r="B3140" t="s">
        <v>522</v>
      </c>
      <c r="C3140" s="10">
        <v>9.0500000000000007</v>
      </c>
      <c r="D3140" s="10">
        <v>0.8</v>
      </c>
      <c r="E3140" s="16">
        <v>9.6999999999999993</v>
      </c>
      <c r="F3140">
        <v>5475801</v>
      </c>
      <c r="G3140" s="5">
        <v>43146</v>
      </c>
    </row>
    <row r="3141" spans="1:7" x14ac:dyDescent="0.4">
      <c r="A3141">
        <v>40</v>
      </c>
      <c r="B3141" t="s">
        <v>1613</v>
      </c>
      <c r="C3141" s="10">
        <v>4.21</v>
      </c>
      <c r="D3141" s="10">
        <v>0.37</v>
      </c>
      <c r="E3141" s="16">
        <v>9.64</v>
      </c>
      <c r="F3141">
        <v>1812201</v>
      </c>
      <c r="G3141" s="5">
        <v>43146</v>
      </c>
    </row>
    <row r="3142" spans="1:7" x14ac:dyDescent="0.4">
      <c r="A3142">
        <v>41</v>
      </c>
      <c r="B3142" t="s">
        <v>1671</v>
      </c>
      <c r="C3142" s="10">
        <v>32.869999999999997</v>
      </c>
      <c r="D3142" s="10">
        <v>2.88</v>
      </c>
      <c r="E3142" s="16">
        <v>9.6</v>
      </c>
      <c r="F3142">
        <v>9442703</v>
      </c>
      <c r="G3142" s="5">
        <v>43146</v>
      </c>
    </row>
    <row r="3143" spans="1:7" x14ac:dyDescent="0.4">
      <c r="A3143">
        <v>42</v>
      </c>
      <c r="B3143" t="s">
        <v>273</v>
      </c>
      <c r="C3143" s="10">
        <v>6.9</v>
      </c>
      <c r="D3143" s="10">
        <v>0.6</v>
      </c>
      <c r="E3143" s="16">
        <v>9.52</v>
      </c>
      <c r="F3143">
        <v>354760</v>
      </c>
      <c r="G3143" s="5">
        <v>43146</v>
      </c>
    </row>
    <row r="3144" spans="1:7" x14ac:dyDescent="0.4">
      <c r="A3144">
        <v>43</v>
      </c>
      <c r="B3144" t="s">
        <v>1672</v>
      </c>
      <c r="C3144" s="10">
        <v>147</v>
      </c>
      <c r="D3144" s="10">
        <v>12.73</v>
      </c>
      <c r="E3144" s="16">
        <v>9.48</v>
      </c>
      <c r="F3144">
        <v>656301</v>
      </c>
      <c r="G3144" s="5">
        <v>43146</v>
      </c>
    </row>
    <row r="3145" spans="1:7" x14ac:dyDescent="0.4">
      <c r="A3145">
        <v>44</v>
      </c>
      <c r="B3145" t="s">
        <v>456</v>
      </c>
      <c r="C3145" s="10">
        <v>15.62</v>
      </c>
      <c r="D3145" s="10">
        <v>1.31</v>
      </c>
      <c r="E3145" s="16">
        <v>9.15</v>
      </c>
      <c r="F3145">
        <v>40098</v>
      </c>
      <c r="G3145" s="5">
        <v>43146</v>
      </c>
    </row>
    <row r="3146" spans="1:7" x14ac:dyDescent="0.4">
      <c r="A3146">
        <v>45</v>
      </c>
      <c r="B3146" t="s">
        <v>1673</v>
      </c>
      <c r="C3146" s="10">
        <v>19.13</v>
      </c>
      <c r="D3146" s="10">
        <v>1.55</v>
      </c>
      <c r="E3146" s="16">
        <v>8.82</v>
      </c>
      <c r="F3146">
        <v>24894072</v>
      </c>
      <c r="G3146" s="5">
        <v>43146</v>
      </c>
    </row>
    <row r="3147" spans="1:7" x14ac:dyDescent="0.4">
      <c r="A3147">
        <v>46</v>
      </c>
      <c r="B3147" t="s">
        <v>1674</v>
      </c>
      <c r="C3147" s="10">
        <v>4.95</v>
      </c>
      <c r="D3147" s="10">
        <v>0.4</v>
      </c>
      <c r="E3147" s="16">
        <v>8.7899999999999991</v>
      </c>
      <c r="F3147">
        <v>20761</v>
      </c>
      <c r="G3147" s="5">
        <v>43146</v>
      </c>
    </row>
    <row r="3148" spans="1:7" x14ac:dyDescent="0.4">
      <c r="A3148">
        <v>47</v>
      </c>
      <c r="B3148" t="s">
        <v>1030</v>
      </c>
      <c r="C3148" s="10">
        <v>5.17</v>
      </c>
      <c r="D3148" s="10">
        <v>0.41</v>
      </c>
      <c r="E3148" s="16">
        <v>8.61</v>
      </c>
      <c r="F3148">
        <v>181028</v>
      </c>
      <c r="G3148" s="5">
        <v>43146</v>
      </c>
    </row>
    <row r="3149" spans="1:7" x14ac:dyDescent="0.4">
      <c r="A3149">
        <v>48</v>
      </c>
      <c r="B3149" t="s">
        <v>1675</v>
      </c>
      <c r="C3149" s="10">
        <v>43.79</v>
      </c>
      <c r="D3149" s="10">
        <v>3.46</v>
      </c>
      <c r="E3149" s="16">
        <v>8.58</v>
      </c>
      <c r="F3149">
        <v>2784634</v>
      </c>
      <c r="G3149" s="5">
        <v>43146</v>
      </c>
    </row>
    <row r="3150" spans="1:7" x14ac:dyDescent="0.4">
      <c r="A3150">
        <v>49</v>
      </c>
      <c r="B3150" t="s">
        <v>1217</v>
      </c>
      <c r="C3150" s="10">
        <v>2.57</v>
      </c>
      <c r="D3150" s="10">
        <v>0.2</v>
      </c>
      <c r="E3150" s="16">
        <v>8.57</v>
      </c>
      <c r="F3150">
        <v>2995</v>
      </c>
      <c r="G3150" s="5">
        <v>43146</v>
      </c>
    </row>
    <row r="3151" spans="1:7" x14ac:dyDescent="0.4">
      <c r="A3151">
        <v>50</v>
      </c>
      <c r="B3151" t="s">
        <v>816</v>
      </c>
      <c r="C3151" s="10">
        <v>4.45</v>
      </c>
      <c r="D3151" s="10">
        <v>0.35</v>
      </c>
      <c r="E3151" s="16">
        <v>8.5399999999999991</v>
      </c>
      <c r="F3151">
        <v>575086</v>
      </c>
      <c r="G3151" s="5">
        <v>43146</v>
      </c>
    </row>
    <row r="3152" spans="1:7" x14ac:dyDescent="0.4">
      <c r="A3152">
        <v>51</v>
      </c>
      <c r="B3152" t="s">
        <v>527</v>
      </c>
      <c r="C3152" s="10">
        <v>7.8</v>
      </c>
      <c r="D3152" s="10">
        <v>0.6</v>
      </c>
      <c r="E3152" s="16">
        <v>8.33</v>
      </c>
      <c r="F3152">
        <v>430344</v>
      </c>
      <c r="G3152" s="5">
        <v>43146</v>
      </c>
    </row>
    <row r="3153" spans="1:7" x14ac:dyDescent="0.4">
      <c r="A3153">
        <v>52</v>
      </c>
      <c r="B3153" t="s">
        <v>1676</v>
      </c>
      <c r="C3153" s="10">
        <v>3.9</v>
      </c>
      <c r="D3153" s="10">
        <v>0.3</v>
      </c>
      <c r="E3153" s="16">
        <v>8.33</v>
      </c>
      <c r="F3153">
        <v>25022</v>
      </c>
      <c r="G3153" s="5">
        <v>43146</v>
      </c>
    </row>
    <row r="3154" spans="1:7" x14ac:dyDescent="0.4">
      <c r="A3154">
        <v>53</v>
      </c>
      <c r="B3154" t="s">
        <v>699</v>
      </c>
      <c r="C3154" s="10">
        <v>22.74</v>
      </c>
      <c r="D3154" s="10">
        <v>1.74</v>
      </c>
      <c r="E3154" s="16">
        <v>8.2899999999999991</v>
      </c>
      <c r="F3154">
        <v>60316</v>
      </c>
      <c r="G3154" s="5">
        <v>43146</v>
      </c>
    </row>
    <row r="3155" spans="1:7" x14ac:dyDescent="0.4">
      <c r="A3155">
        <v>54</v>
      </c>
      <c r="B3155" t="s">
        <v>175</v>
      </c>
      <c r="C3155" s="10">
        <v>50.5</v>
      </c>
      <c r="D3155" s="10">
        <v>3.85</v>
      </c>
      <c r="E3155" s="16">
        <v>8.25</v>
      </c>
      <c r="F3155">
        <v>459270</v>
      </c>
      <c r="G3155" s="5">
        <v>43146</v>
      </c>
    </row>
    <row r="3156" spans="1:7" x14ac:dyDescent="0.4">
      <c r="A3156">
        <v>55</v>
      </c>
      <c r="B3156" t="s">
        <v>1677</v>
      </c>
      <c r="C3156" s="10">
        <v>60.64</v>
      </c>
      <c r="D3156" s="10">
        <v>4.62</v>
      </c>
      <c r="E3156" s="16">
        <v>8.25</v>
      </c>
      <c r="F3156">
        <v>1198681</v>
      </c>
      <c r="G3156" s="5">
        <v>43146</v>
      </c>
    </row>
    <row r="3157" spans="1:7" x14ac:dyDescent="0.4">
      <c r="A3157">
        <v>56</v>
      </c>
      <c r="B3157" t="s">
        <v>1295</v>
      </c>
      <c r="C3157" s="10">
        <v>52.25</v>
      </c>
      <c r="D3157" s="10">
        <v>3.9</v>
      </c>
      <c r="E3157" s="16">
        <v>8.07</v>
      </c>
      <c r="F3157">
        <v>328578</v>
      </c>
      <c r="G3157" s="5">
        <v>43146</v>
      </c>
    </row>
    <row r="3158" spans="1:7" x14ac:dyDescent="0.4">
      <c r="A3158">
        <v>57</v>
      </c>
      <c r="B3158" t="s">
        <v>1112</v>
      </c>
      <c r="C3158" s="10">
        <v>8.89</v>
      </c>
      <c r="D3158" s="10">
        <v>0.66</v>
      </c>
      <c r="E3158" s="16">
        <v>8.02</v>
      </c>
      <c r="F3158">
        <v>3139053</v>
      </c>
      <c r="G3158" s="5">
        <v>43146</v>
      </c>
    </row>
    <row r="3159" spans="1:7" x14ac:dyDescent="0.4">
      <c r="A3159">
        <v>58</v>
      </c>
      <c r="B3159" t="s">
        <v>746</v>
      </c>
      <c r="C3159" s="10">
        <v>39.97</v>
      </c>
      <c r="D3159" s="10">
        <v>2.95</v>
      </c>
      <c r="E3159" s="16">
        <v>7.97</v>
      </c>
      <c r="F3159">
        <v>2557046</v>
      </c>
      <c r="G3159" s="5">
        <v>43146</v>
      </c>
    </row>
    <row r="3160" spans="1:7" x14ac:dyDescent="0.4">
      <c r="A3160">
        <v>59</v>
      </c>
      <c r="B3160" t="s">
        <v>84</v>
      </c>
      <c r="C3160" s="10">
        <v>19.850000000000001</v>
      </c>
      <c r="D3160" s="10">
        <v>1.46</v>
      </c>
      <c r="E3160" s="16">
        <v>7.94</v>
      </c>
      <c r="F3160">
        <v>195739</v>
      </c>
      <c r="G3160" s="5">
        <v>43146</v>
      </c>
    </row>
    <row r="3161" spans="1:7" x14ac:dyDescent="0.4">
      <c r="A3161">
        <v>60</v>
      </c>
      <c r="B3161" t="s">
        <v>1678</v>
      </c>
      <c r="C3161" s="10">
        <v>9.81</v>
      </c>
      <c r="D3161" s="10">
        <v>0.72</v>
      </c>
      <c r="E3161" s="16">
        <v>7.92</v>
      </c>
      <c r="F3161">
        <v>2178967</v>
      </c>
      <c r="G3161" s="5">
        <v>43146</v>
      </c>
    </row>
    <row r="3162" spans="1:7" x14ac:dyDescent="0.4">
      <c r="A3162">
        <v>61</v>
      </c>
      <c r="B3162" t="s">
        <v>203</v>
      </c>
      <c r="C3162" s="10">
        <v>3.27</v>
      </c>
      <c r="D3162" s="10">
        <v>0.24</v>
      </c>
      <c r="E3162" s="16">
        <v>7.92</v>
      </c>
      <c r="F3162">
        <v>585438</v>
      </c>
      <c r="G3162" s="5">
        <v>43146</v>
      </c>
    </row>
    <row r="3163" spans="1:7" x14ac:dyDescent="0.4">
      <c r="A3163">
        <v>62</v>
      </c>
      <c r="B3163" t="s">
        <v>1679</v>
      </c>
      <c r="C3163" s="10">
        <v>41.96</v>
      </c>
      <c r="D3163" s="10">
        <v>3.07</v>
      </c>
      <c r="E3163" s="16">
        <v>7.89</v>
      </c>
      <c r="F3163">
        <v>9890091</v>
      </c>
      <c r="G3163" s="5">
        <v>43146</v>
      </c>
    </row>
    <row r="3164" spans="1:7" x14ac:dyDescent="0.4">
      <c r="A3164">
        <v>63</v>
      </c>
      <c r="B3164" t="s">
        <v>1680</v>
      </c>
      <c r="C3164" s="10">
        <v>19.579999999999998</v>
      </c>
      <c r="D3164" s="10">
        <v>1.43</v>
      </c>
      <c r="E3164" s="16">
        <v>7.88</v>
      </c>
      <c r="F3164">
        <v>5675</v>
      </c>
      <c r="G3164" s="5">
        <v>43146</v>
      </c>
    </row>
    <row r="3165" spans="1:7" x14ac:dyDescent="0.4">
      <c r="A3165">
        <v>64</v>
      </c>
      <c r="B3165" t="s">
        <v>55</v>
      </c>
      <c r="C3165" s="10">
        <v>3.45</v>
      </c>
      <c r="D3165" s="10">
        <v>0.25</v>
      </c>
      <c r="E3165" s="16">
        <v>7.81</v>
      </c>
      <c r="F3165">
        <v>688150</v>
      </c>
      <c r="G3165" s="5">
        <v>43146</v>
      </c>
    </row>
    <row r="3166" spans="1:7" x14ac:dyDescent="0.4">
      <c r="A3166">
        <v>65</v>
      </c>
      <c r="B3166" t="s">
        <v>767</v>
      </c>
      <c r="C3166" s="10">
        <v>3.45</v>
      </c>
      <c r="D3166" s="10">
        <v>0.25</v>
      </c>
      <c r="E3166" s="16">
        <v>7.81</v>
      </c>
      <c r="F3166">
        <v>102910</v>
      </c>
      <c r="G3166" s="5">
        <v>43146</v>
      </c>
    </row>
    <row r="3167" spans="1:7" x14ac:dyDescent="0.4">
      <c r="A3167">
        <v>66</v>
      </c>
      <c r="B3167" t="s">
        <v>45</v>
      </c>
      <c r="C3167" s="10">
        <v>3.2</v>
      </c>
      <c r="D3167" s="10">
        <v>0.23</v>
      </c>
      <c r="E3167" s="16">
        <v>7.74</v>
      </c>
      <c r="F3167">
        <v>1752103</v>
      </c>
      <c r="G3167" s="5">
        <v>43146</v>
      </c>
    </row>
    <row r="3168" spans="1:7" x14ac:dyDescent="0.4">
      <c r="A3168">
        <v>67</v>
      </c>
      <c r="B3168" t="s">
        <v>1681</v>
      </c>
      <c r="C3168" s="10">
        <v>48.85</v>
      </c>
      <c r="D3168" s="10">
        <v>3.5</v>
      </c>
      <c r="E3168" s="16">
        <v>7.72</v>
      </c>
      <c r="F3168">
        <v>1899091</v>
      </c>
      <c r="G3168" s="5">
        <v>43146</v>
      </c>
    </row>
    <row r="3169" spans="1:7" x14ac:dyDescent="0.4">
      <c r="A3169">
        <v>68</v>
      </c>
      <c r="B3169" t="s">
        <v>1682</v>
      </c>
      <c r="C3169" s="10">
        <v>24.45</v>
      </c>
      <c r="D3169" s="10">
        <v>1.75</v>
      </c>
      <c r="E3169" s="16">
        <v>7.71</v>
      </c>
      <c r="F3169">
        <v>352845</v>
      </c>
      <c r="G3169" s="5">
        <v>43146</v>
      </c>
    </row>
    <row r="3170" spans="1:7" x14ac:dyDescent="0.4">
      <c r="A3170">
        <v>69</v>
      </c>
      <c r="B3170" t="s">
        <v>1683</v>
      </c>
      <c r="C3170" s="10">
        <v>20.81</v>
      </c>
      <c r="D3170" s="10">
        <v>1.48</v>
      </c>
      <c r="E3170" s="16">
        <v>7.66</v>
      </c>
      <c r="F3170">
        <v>49711974</v>
      </c>
      <c r="G3170" s="5">
        <v>43146</v>
      </c>
    </row>
    <row r="3171" spans="1:7" x14ac:dyDescent="0.4">
      <c r="A3171">
        <v>70</v>
      </c>
      <c r="B3171" t="s">
        <v>41</v>
      </c>
      <c r="C3171" s="10">
        <v>2.96</v>
      </c>
      <c r="D3171" s="10">
        <v>0.21</v>
      </c>
      <c r="E3171" s="16">
        <v>7.64</v>
      </c>
      <c r="F3171">
        <v>213597</v>
      </c>
      <c r="G3171" s="5">
        <v>43146</v>
      </c>
    </row>
    <row r="3172" spans="1:7" x14ac:dyDescent="0.4">
      <c r="A3172">
        <v>71</v>
      </c>
      <c r="B3172" t="s">
        <v>1684</v>
      </c>
      <c r="C3172" s="10">
        <v>63.75</v>
      </c>
      <c r="D3172" s="10">
        <v>4.46</v>
      </c>
      <c r="E3172" s="16">
        <v>7.52</v>
      </c>
      <c r="F3172">
        <v>2425627</v>
      </c>
      <c r="G3172" s="5">
        <v>43146</v>
      </c>
    </row>
    <row r="3173" spans="1:7" x14ac:dyDescent="0.4">
      <c r="A3173">
        <v>72</v>
      </c>
      <c r="B3173" t="s">
        <v>1443</v>
      </c>
      <c r="C3173" s="10">
        <v>8</v>
      </c>
      <c r="D3173" s="10">
        <v>0.55000000000000004</v>
      </c>
      <c r="E3173" s="16">
        <v>7.38</v>
      </c>
      <c r="F3173">
        <v>61812</v>
      </c>
      <c r="G3173" s="5">
        <v>43146</v>
      </c>
    </row>
    <row r="3174" spans="1:7" x14ac:dyDescent="0.4">
      <c r="A3174">
        <v>73</v>
      </c>
      <c r="B3174" t="s">
        <v>1685</v>
      </c>
      <c r="C3174" s="10">
        <v>3.29</v>
      </c>
      <c r="D3174" s="10">
        <v>0.23</v>
      </c>
      <c r="E3174" s="16">
        <v>7.38</v>
      </c>
      <c r="F3174">
        <v>53400</v>
      </c>
      <c r="G3174" s="5">
        <v>43146</v>
      </c>
    </row>
    <row r="3175" spans="1:7" x14ac:dyDescent="0.4">
      <c r="A3175">
        <v>74</v>
      </c>
      <c r="B3175" t="s">
        <v>1686</v>
      </c>
      <c r="C3175" s="10">
        <v>5.0999999999999996</v>
      </c>
      <c r="D3175" s="10">
        <v>0.35</v>
      </c>
      <c r="E3175" s="16">
        <v>7.37</v>
      </c>
      <c r="F3175">
        <v>54284</v>
      </c>
      <c r="G3175" s="5">
        <v>43146</v>
      </c>
    </row>
    <row r="3176" spans="1:7" x14ac:dyDescent="0.4">
      <c r="A3176">
        <v>75</v>
      </c>
      <c r="B3176" t="s">
        <v>119</v>
      </c>
      <c r="C3176" s="10">
        <v>13.24</v>
      </c>
      <c r="D3176" s="10">
        <v>0.9</v>
      </c>
      <c r="E3176" s="16">
        <v>7.28</v>
      </c>
      <c r="F3176">
        <v>2468</v>
      </c>
      <c r="G3176" s="5">
        <v>43146</v>
      </c>
    </row>
    <row r="3177" spans="1:7" x14ac:dyDescent="0.4">
      <c r="A3177">
        <v>76</v>
      </c>
      <c r="B3177" t="s">
        <v>1013</v>
      </c>
      <c r="C3177" s="10">
        <v>3.11</v>
      </c>
      <c r="D3177" s="10">
        <v>0.21</v>
      </c>
      <c r="E3177" s="16">
        <v>7.24</v>
      </c>
      <c r="F3177">
        <v>4681831</v>
      </c>
      <c r="G3177" s="5">
        <v>43146</v>
      </c>
    </row>
    <row r="3178" spans="1:7" x14ac:dyDescent="0.4">
      <c r="A3178">
        <v>77</v>
      </c>
      <c r="B3178" t="s">
        <v>807</v>
      </c>
      <c r="C3178" s="10">
        <v>16.77</v>
      </c>
      <c r="D3178" s="10">
        <v>1.1200000000000001</v>
      </c>
      <c r="E3178" s="16">
        <v>7.16</v>
      </c>
      <c r="F3178">
        <v>612457</v>
      </c>
      <c r="G3178" s="5">
        <v>43146</v>
      </c>
    </row>
    <row r="3179" spans="1:7" x14ac:dyDescent="0.4">
      <c r="A3179">
        <v>78</v>
      </c>
      <c r="B3179" t="s">
        <v>359</v>
      </c>
      <c r="C3179" s="10">
        <v>11.01</v>
      </c>
      <c r="D3179" s="10">
        <v>0.73</v>
      </c>
      <c r="E3179" s="16">
        <v>7.14</v>
      </c>
      <c r="F3179">
        <v>36521</v>
      </c>
      <c r="G3179" s="5">
        <v>43146</v>
      </c>
    </row>
    <row r="3180" spans="1:7" x14ac:dyDescent="0.4">
      <c r="A3180">
        <v>79</v>
      </c>
      <c r="B3180" t="s">
        <v>311</v>
      </c>
      <c r="C3180" s="10">
        <v>4.21</v>
      </c>
      <c r="D3180" s="10">
        <v>0.28000000000000003</v>
      </c>
      <c r="E3180" s="16">
        <v>7.12</v>
      </c>
      <c r="F3180">
        <v>326664</v>
      </c>
      <c r="G3180" s="5">
        <v>43146</v>
      </c>
    </row>
    <row r="3181" spans="1:7" x14ac:dyDescent="0.4">
      <c r="A3181">
        <v>80</v>
      </c>
      <c r="B3181" t="s">
        <v>1687</v>
      </c>
      <c r="C3181" s="10">
        <v>24.9</v>
      </c>
      <c r="D3181" s="10">
        <v>1.65</v>
      </c>
      <c r="E3181" s="16">
        <v>7.1</v>
      </c>
      <c r="F3181">
        <v>251285</v>
      </c>
      <c r="G3181" s="5">
        <v>43146</v>
      </c>
    </row>
    <row r="3182" spans="1:7" x14ac:dyDescent="0.4">
      <c r="A3182">
        <v>81</v>
      </c>
      <c r="B3182" t="s">
        <v>1688</v>
      </c>
      <c r="C3182" s="10">
        <v>16.649999999999999</v>
      </c>
      <c r="D3182" s="10">
        <v>1.1000000000000001</v>
      </c>
      <c r="E3182" s="16">
        <v>7.07</v>
      </c>
      <c r="F3182">
        <v>311423</v>
      </c>
      <c r="G3182" s="5">
        <v>43146</v>
      </c>
    </row>
    <row r="3183" spans="1:7" x14ac:dyDescent="0.4">
      <c r="A3183">
        <v>82</v>
      </c>
      <c r="B3183" t="s">
        <v>1689</v>
      </c>
      <c r="C3183" s="10">
        <v>60.9</v>
      </c>
      <c r="D3183" s="10">
        <v>3.99</v>
      </c>
      <c r="E3183" s="16">
        <v>7.01</v>
      </c>
      <c r="F3183">
        <v>18685</v>
      </c>
      <c r="G3183" s="5">
        <v>43146</v>
      </c>
    </row>
    <row r="3184" spans="1:7" x14ac:dyDescent="0.4">
      <c r="A3184">
        <v>83</v>
      </c>
      <c r="B3184" t="s">
        <v>1690</v>
      </c>
      <c r="C3184" s="10">
        <v>44.28</v>
      </c>
      <c r="D3184" s="10">
        <v>2.89</v>
      </c>
      <c r="E3184" s="16">
        <v>6.98</v>
      </c>
      <c r="F3184">
        <v>234307</v>
      </c>
      <c r="G3184" s="5">
        <v>43146</v>
      </c>
    </row>
    <row r="3185" spans="1:7" x14ac:dyDescent="0.4">
      <c r="A3185">
        <v>84</v>
      </c>
      <c r="B3185" t="s">
        <v>1691</v>
      </c>
      <c r="C3185" s="10">
        <v>15.5</v>
      </c>
      <c r="D3185" s="10">
        <v>1.01</v>
      </c>
      <c r="E3185" s="16">
        <v>6.97</v>
      </c>
      <c r="F3185">
        <v>2747931</v>
      </c>
      <c r="G3185" s="5">
        <v>43146</v>
      </c>
    </row>
    <row r="3186" spans="1:7" x14ac:dyDescent="0.4">
      <c r="A3186">
        <v>85</v>
      </c>
      <c r="B3186" t="s">
        <v>498</v>
      </c>
      <c r="C3186" s="10">
        <v>3.85</v>
      </c>
      <c r="D3186" s="10">
        <v>0.25</v>
      </c>
      <c r="E3186" s="16">
        <v>6.94</v>
      </c>
      <c r="F3186">
        <v>176929</v>
      </c>
      <c r="G3186" s="5">
        <v>43146</v>
      </c>
    </row>
    <row r="3187" spans="1:7" x14ac:dyDescent="0.4">
      <c r="A3187">
        <v>86</v>
      </c>
      <c r="B3187" t="s">
        <v>1024</v>
      </c>
      <c r="C3187" s="10">
        <v>21.6</v>
      </c>
      <c r="D3187" s="10">
        <v>1.4</v>
      </c>
      <c r="E3187" s="16">
        <v>6.93</v>
      </c>
      <c r="F3187">
        <v>25867</v>
      </c>
      <c r="G3187" s="5">
        <v>43146</v>
      </c>
    </row>
    <row r="3188" spans="1:7" x14ac:dyDescent="0.4">
      <c r="A3188">
        <v>87</v>
      </c>
      <c r="B3188" t="s">
        <v>1692</v>
      </c>
      <c r="C3188" s="10">
        <v>17.21</v>
      </c>
      <c r="D3188" s="10">
        <v>1.1100000000000001</v>
      </c>
      <c r="E3188" s="16">
        <v>6.93</v>
      </c>
      <c r="F3188">
        <v>18937</v>
      </c>
      <c r="G3188" s="5">
        <v>43146</v>
      </c>
    </row>
    <row r="3189" spans="1:7" x14ac:dyDescent="0.4">
      <c r="A3189">
        <v>88</v>
      </c>
      <c r="B3189" t="s">
        <v>777</v>
      </c>
      <c r="C3189" s="10">
        <v>53.84</v>
      </c>
      <c r="D3189" s="10">
        <v>3.47</v>
      </c>
      <c r="E3189" s="16">
        <v>6.89</v>
      </c>
      <c r="F3189">
        <v>276049</v>
      </c>
      <c r="G3189" s="5">
        <v>43146</v>
      </c>
    </row>
    <row r="3190" spans="1:7" x14ac:dyDescent="0.4">
      <c r="A3190">
        <v>89</v>
      </c>
      <c r="B3190" t="s">
        <v>1693</v>
      </c>
      <c r="C3190" s="10">
        <v>22.5</v>
      </c>
      <c r="D3190" s="10">
        <v>1.45</v>
      </c>
      <c r="E3190" s="16">
        <v>6.89</v>
      </c>
      <c r="F3190">
        <v>995317</v>
      </c>
      <c r="G3190" s="5">
        <v>43146</v>
      </c>
    </row>
    <row r="3191" spans="1:7" x14ac:dyDescent="0.4">
      <c r="A3191">
        <v>90</v>
      </c>
      <c r="B3191" t="s">
        <v>385</v>
      </c>
      <c r="C3191" s="10">
        <v>28.35</v>
      </c>
      <c r="D3191" s="10">
        <v>1.83</v>
      </c>
      <c r="E3191" s="16">
        <v>6.88</v>
      </c>
      <c r="F3191">
        <v>947868</v>
      </c>
      <c r="G3191" s="5">
        <v>43146</v>
      </c>
    </row>
    <row r="3192" spans="1:7" x14ac:dyDescent="0.4">
      <c r="A3192">
        <v>91</v>
      </c>
      <c r="B3192" t="s">
        <v>1694</v>
      </c>
      <c r="C3192" s="10">
        <v>27.04</v>
      </c>
      <c r="D3192" s="10">
        <v>1.74</v>
      </c>
      <c r="E3192" s="16">
        <v>6.88</v>
      </c>
      <c r="F3192">
        <v>2045751</v>
      </c>
      <c r="G3192" s="5">
        <v>43146</v>
      </c>
    </row>
    <row r="3193" spans="1:7" x14ac:dyDescent="0.4">
      <c r="A3193">
        <v>92</v>
      </c>
      <c r="B3193" t="s">
        <v>584</v>
      </c>
      <c r="C3193" s="10">
        <v>3.29</v>
      </c>
      <c r="D3193" s="10">
        <v>0.21</v>
      </c>
      <c r="E3193" s="16">
        <v>6.82</v>
      </c>
      <c r="F3193">
        <v>1040926</v>
      </c>
      <c r="G3193" s="5">
        <v>43146</v>
      </c>
    </row>
    <row r="3194" spans="1:7" x14ac:dyDescent="0.4">
      <c r="A3194">
        <v>93</v>
      </c>
      <c r="B3194" t="s">
        <v>1695</v>
      </c>
      <c r="C3194" s="10">
        <v>61.75</v>
      </c>
      <c r="D3194" s="10">
        <v>3.9</v>
      </c>
      <c r="E3194" s="16">
        <v>6.74</v>
      </c>
      <c r="F3194">
        <v>1362679</v>
      </c>
      <c r="G3194" s="5">
        <v>43146</v>
      </c>
    </row>
    <row r="3195" spans="1:7" x14ac:dyDescent="0.4">
      <c r="A3195">
        <v>94</v>
      </c>
      <c r="B3195" t="s">
        <v>374</v>
      </c>
      <c r="C3195" s="10">
        <v>3.99</v>
      </c>
      <c r="D3195" s="10">
        <v>0.25</v>
      </c>
      <c r="E3195" s="16">
        <v>6.68</v>
      </c>
      <c r="F3195">
        <v>59080</v>
      </c>
      <c r="G3195" s="5">
        <v>43146</v>
      </c>
    </row>
    <row r="3196" spans="1:7" x14ac:dyDescent="0.4">
      <c r="A3196">
        <v>95</v>
      </c>
      <c r="B3196" t="s">
        <v>828</v>
      </c>
      <c r="C3196" s="10">
        <v>22.55</v>
      </c>
      <c r="D3196" s="10">
        <v>1.41</v>
      </c>
      <c r="E3196" s="16">
        <v>6.67</v>
      </c>
      <c r="F3196">
        <v>21062</v>
      </c>
      <c r="G3196" s="5">
        <v>43146</v>
      </c>
    </row>
    <row r="3197" spans="1:7" x14ac:dyDescent="0.4">
      <c r="A3197">
        <v>96</v>
      </c>
      <c r="B3197" t="s">
        <v>1625</v>
      </c>
      <c r="C3197" s="10">
        <v>15.2</v>
      </c>
      <c r="D3197" s="10">
        <v>0.95</v>
      </c>
      <c r="E3197" s="16">
        <v>6.67</v>
      </c>
      <c r="F3197">
        <v>79804</v>
      </c>
      <c r="G3197" s="5">
        <v>43146</v>
      </c>
    </row>
    <row r="3198" spans="1:7" x14ac:dyDescent="0.4">
      <c r="A3198">
        <v>97</v>
      </c>
      <c r="B3198" t="s">
        <v>1696</v>
      </c>
      <c r="C3198" s="10">
        <v>16.899999999999999</v>
      </c>
      <c r="D3198" s="10">
        <v>1.05</v>
      </c>
      <c r="E3198" s="16">
        <v>6.62</v>
      </c>
      <c r="F3198">
        <v>531490</v>
      </c>
      <c r="G3198" s="5">
        <v>43146</v>
      </c>
    </row>
    <row r="3199" spans="1:7" x14ac:dyDescent="0.4">
      <c r="A3199">
        <v>98</v>
      </c>
      <c r="B3199" t="s">
        <v>427</v>
      </c>
      <c r="C3199" s="10">
        <v>26.5</v>
      </c>
      <c r="D3199" s="10">
        <v>1.64</v>
      </c>
      <c r="E3199" s="16">
        <v>6.6</v>
      </c>
      <c r="F3199">
        <v>52308</v>
      </c>
      <c r="G3199" s="5">
        <v>43146</v>
      </c>
    </row>
    <row r="3200" spans="1:7" x14ac:dyDescent="0.4">
      <c r="A3200">
        <v>99</v>
      </c>
      <c r="B3200" t="s">
        <v>1697</v>
      </c>
      <c r="C3200" s="10">
        <v>7.28</v>
      </c>
      <c r="D3200" s="10">
        <v>0.45</v>
      </c>
      <c r="E3200" s="16">
        <v>6.59</v>
      </c>
      <c r="F3200">
        <v>368859</v>
      </c>
      <c r="G3200" s="5">
        <v>43146</v>
      </c>
    </row>
    <row r="3201" spans="1:7" x14ac:dyDescent="0.4">
      <c r="A3201">
        <v>100</v>
      </c>
      <c r="B3201" t="s">
        <v>940</v>
      </c>
      <c r="C3201" s="10">
        <v>5.83</v>
      </c>
      <c r="D3201" s="10">
        <v>0.36</v>
      </c>
      <c r="E3201" s="16">
        <v>6.58</v>
      </c>
      <c r="F3201">
        <v>1335297</v>
      </c>
      <c r="G3201" s="5">
        <v>43146</v>
      </c>
    </row>
    <row r="3202" spans="1:7" x14ac:dyDescent="0.4">
      <c r="A3202">
        <v>1</v>
      </c>
      <c r="B3202" t="s">
        <v>1362</v>
      </c>
      <c r="C3202" s="10">
        <v>16.97</v>
      </c>
      <c r="D3202" s="10">
        <v>7.93</v>
      </c>
      <c r="E3202" s="16">
        <v>87.72</v>
      </c>
      <c r="F3202">
        <v>41607725</v>
      </c>
      <c r="G3202" s="5">
        <v>43145</v>
      </c>
    </row>
    <row r="3203" spans="1:7" x14ac:dyDescent="0.4">
      <c r="A3203">
        <v>2</v>
      </c>
      <c r="B3203" t="s">
        <v>1698</v>
      </c>
      <c r="C3203" s="10">
        <v>30.25</v>
      </c>
      <c r="D3203" s="10">
        <v>6.86</v>
      </c>
      <c r="E3203" s="16">
        <v>29.33</v>
      </c>
      <c r="F3203">
        <v>5980201</v>
      </c>
      <c r="G3203" s="5">
        <v>43145</v>
      </c>
    </row>
    <row r="3204" spans="1:7" x14ac:dyDescent="0.4">
      <c r="A3204">
        <v>3</v>
      </c>
      <c r="B3204" t="s">
        <v>1699</v>
      </c>
      <c r="C3204" s="10">
        <v>26.23</v>
      </c>
      <c r="D3204" s="10">
        <v>5.37</v>
      </c>
      <c r="E3204" s="16">
        <v>25.74</v>
      </c>
      <c r="F3204">
        <v>3516176</v>
      </c>
      <c r="G3204" s="5">
        <v>43145</v>
      </c>
    </row>
    <row r="3205" spans="1:7" x14ac:dyDescent="0.4">
      <c r="A3205">
        <v>4</v>
      </c>
      <c r="B3205" t="s">
        <v>413</v>
      </c>
      <c r="C3205" s="10">
        <v>4.47</v>
      </c>
      <c r="D3205" s="10">
        <v>0.88</v>
      </c>
      <c r="E3205" s="16">
        <v>24.51</v>
      </c>
      <c r="F3205">
        <v>668994</v>
      </c>
      <c r="G3205" s="5">
        <v>43145</v>
      </c>
    </row>
    <row r="3206" spans="1:7" x14ac:dyDescent="0.4">
      <c r="A3206">
        <v>5</v>
      </c>
      <c r="B3206" t="s">
        <v>144</v>
      </c>
      <c r="C3206" s="10">
        <v>12.18</v>
      </c>
      <c r="D3206" s="10">
        <v>2.2999999999999998</v>
      </c>
      <c r="E3206" s="16">
        <v>23.28</v>
      </c>
      <c r="F3206">
        <v>549391</v>
      </c>
      <c r="G3206" s="5">
        <v>43145</v>
      </c>
    </row>
    <row r="3207" spans="1:7" x14ac:dyDescent="0.4">
      <c r="A3207">
        <v>6</v>
      </c>
      <c r="B3207" t="s">
        <v>1700</v>
      </c>
      <c r="C3207" s="10">
        <v>34.01</v>
      </c>
      <c r="D3207" s="10">
        <v>6.41</v>
      </c>
      <c r="E3207" s="16">
        <v>23.22</v>
      </c>
      <c r="F3207">
        <v>310708</v>
      </c>
      <c r="G3207" s="5">
        <v>43145</v>
      </c>
    </row>
    <row r="3208" spans="1:7" x14ac:dyDescent="0.4">
      <c r="A3208">
        <v>7</v>
      </c>
      <c r="B3208" t="s">
        <v>139</v>
      </c>
      <c r="C3208" s="10">
        <v>4.49</v>
      </c>
      <c r="D3208" s="10">
        <v>0.83</v>
      </c>
      <c r="E3208" s="16">
        <v>22.68</v>
      </c>
      <c r="F3208">
        <v>252506</v>
      </c>
      <c r="G3208" s="5">
        <v>43145</v>
      </c>
    </row>
    <row r="3209" spans="1:7" x14ac:dyDescent="0.4">
      <c r="A3209">
        <v>8</v>
      </c>
      <c r="B3209" t="s">
        <v>385</v>
      </c>
      <c r="C3209" s="10">
        <v>26.52</v>
      </c>
      <c r="D3209" s="10">
        <v>4.83</v>
      </c>
      <c r="E3209" s="16">
        <v>22.24</v>
      </c>
      <c r="F3209">
        <v>1714287</v>
      </c>
      <c r="G3209" s="5">
        <v>43145</v>
      </c>
    </row>
    <row r="3210" spans="1:7" x14ac:dyDescent="0.4">
      <c r="A3210">
        <v>9</v>
      </c>
      <c r="B3210" t="s">
        <v>1701</v>
      </c>
      <c r="C3210" s="10">
        <v>115.05</v>
      </c>
      <c r="D3210" s="10">
        <v>19</v>
      </c>
      <c r="E3210" s="16">
        <v>19.78</v>
      </c>
      <c r="F3210">
        <v>1391332</v>
      </c>
      <c r="G3210" s="5">
        <v>43145</v>
      </c>
    </row>
    <row r="3211" spans="1:7" x14ac:dyDescent="0.4">
      <c r="A3211">
        <v>10</v>
      </c>
      <c r="B3211" t="s">
        <v>1702</v>
      </c>
      <c r="C3211" s="10">
        <v>14.89</v>
      </c>
      <c r="D3211" s="10">
        <v>2.27</v>
      </c>
      <c r="E3211" s="16">
        <v>17.989999999999998</v>
      </c>
      <c r="F3211">
        <v>4220690</v>
      </c>
      <c r="G3211" s="5">
        <v>43145</v>
      </c>
    </row>
    <row r="3212" spans="1:7" x14ac:dyDescent="0.4">
      <c r="A3212">
        <v>11</v>
      </c>
      <c r="B3212" t="s">
        <v>1703</v>
      </c>
      <c r="C3212" s="10">
        <v>12.85</v>
      </c>
      <c r="D3212" s="10">
        <v>1.9</v>
      </c>
      <c r="E3212" s="16">
        <v>17.350000000000001</v>
      </c>
      <c r="F3212">
        <v>1339790</v>
      </c>
      <c r="G3212" s="5">
        <v>43145</v>
      </c>
    </row>
    <row r="3213" spans="1:7" x14ac:dyDescent="0.4">
      <c r="A3213">
        <v>12</v>
      </c>
      <c r="B3213" t="s">
        <v>22</v>
      </c>
      <c r="C3213" s="10">
        <v>4.33</v>
      </c>
      <c r="D3213" s="10">
        <v>0.64</v>
      </c>
      <c r="E3213" s="16">
        <v>17.34</v>
      </c>
      <c r="F3213">
        <v>37948</v>
      </c>
      <c r="G3213" s="5">
        <v>43145</v>
      </c>
    </row>
    <row r="3214" spans="1:7" x14ac:dyDescent="0.4">
      <c r="A3214">
        <v>13</v>
      </c>
      <c r="B3214" t="s">
        <v>916</v>
      </c>
      <c r="C3214" s="10">
        <v>3.95</v>
      </c>
      <c r="D3214" s="10">
        <v>0.56000000000000005</v>
      </c>
      <c r="E3214" s="16">
        <v>16.52</v>
      </c>
      <c r="F3214">
        <v>501502</v>
      </c>
      <c r="G3214" s="5">
        <v>43145</v>
      </c>
    </row>
    <row r="3215" spans="1:7" x14ac:dyDescent="0.4">
      <c r="A3215">
        <v>14</v>
      </c>
      <c r="B3215" t="s">
        <v>699</v>
      </c>
      <c r="C3215" s="10">
        <v>21</v>
      </c>
      <c r="D3215" s="10">
        <v>2.94</v>
      </c>
      <c r="E3215" s="16">
        <v>16.28</v>
      </c>
      <c r="F3215">
        <v>58682</v>
      </c>
      <c r="G3215" s="5">
        <v>43145</v>
      </c>
    </row>
    <row r="3216" spans="1:7" x14ac:dyDescent="0.4">
      <c r="A3216">
        <v>15</v>
      </c>
      <c r="B3216" t="s">
        <v>1704</v>
      </c>
      <c r="C3216" s="10">
        <v>30.72</v>
      </c>
      <c r="D3216" s="10">
        <v>4.28</v>
      </c>
      <c r="E3216" s="16">
        <v>16.190000000000001</v>
      </c>
      <c r="F3216">
        <v>13282398</v>
      </c>
      <c r="G3216" s="5">
        <v>43145</v>
      </c>
    </row>
    <row r="3217" spans="1:7" x14ac:dyDescent="0.4">
      <c r="A3217">
        <v>16</v>
      </c>
      <c r="B3217" t="s">
        <v>1705</v>
      </c>
      <c r="C3217" s="10">
        <v>12.95</v>
      </c>
      <c r="D3217" s="10">
        <v>1.8</v>
      </c>
      <c r="E3217" s="16">
        <v>16.14</v>
      </c>
      <c r="F3217">
        <v>2011298</v>
      </c>
      <c r="G3217" s="5">
        <v>43145</v>
      </c>
    </row>
    <row r="3218" spans="1:7" x14ac:dyDescent="0.4">
      <c r="A3218">
        <v>17</v>
      </c>
      <c r="B3218" t="s">
        <v>286</v>
      </c>
      <c r="C3218" s="10">
        <v>5.58</v>
      </c>
      <c r="D3218" s="10">
        <v>0.77</v>
      </c>
      <c r="E3218" s="16">
        <v>16.010000000000002</v>
      </c>
      <c r="F3218">
        <v>2864423</v>
      </c>
      <c r="G3218" s="5">
        <v>43145</v>
      </c>
    </row>
    <row r="3219" spans="1:7" x14ac:dyDescent="0.4">
      <c r="A3219">
        <v>18</v>
      </c>
      <c r="B3219" t="s">
        <v>424</v>
      </c>
      <c r="C3219" s="10">
        <v>2.95</v>
      </c>
      <c r="D3219" s="10">
        <v>0.4</v>
      </c>
      <c r="E3219" s="16">
        <v>15.69</v>
      </c>
      <c r="F3219">
        <v>785569</v>
      </c>
      <c r="G3219" s="5">
        <v>43145</v>
      </c>
    </row>
    <row r="3220" spans="1:7" x14ac:dyDescent="0.4">
      <c r="A3220">
        <v>19</v>
      </c>
      <c r="B3220" t="s">
        <v>1649</v>
      </c>
      <c r="C3220" s="10">
        <v>289.91000000000003</v>
      </c>
      <c r="D3220" s="10">
        <v>38.58</v>
      </c>
      <c r="E3220" s="16">
        <v>15.35</v>
      </c>
      <c r="F3220">
        <v>5353393</v>
      </c>
      <c r="G3220" s="5">
        <v>43145</v>
      </c>
    </row>
    <row r="3221" spans="1:7" x14ac:dyDescent="0.4">
      <c r="A3221">
        <v>20</v>
      </c>
      <c r="B3221" t="s">
        <v>1023</v>
      </c>
      <c r="C3221" s="10">
        <v>10.26</v>
      </c>
      <c r="D3221" s="10">
        <v>1.35</v>
      </c>
      <c r="E3221" s="16">
        <v>15.15</v>
      </c>
      <c r="F3221">
        <v>201042</v>
      </c>
      <c r="G3221" s="5">
        <v>43145</v>
      </c>
    </row>
    <row r="3222" spans="1:7" x14ac:dyDescent="0.4">
      <c r="A3222">
        <v>21</v>
      </c>
      <c r="B3222" t="s">
        <v>531</v>
      </c>
      <c r="C3222" s="10">
        <v>2.75</v>
      </c>
      <c r="D3222" s="10">
        <v>0.36</v>
      </c>
      <c r="E3222" s="16">
        <v>15.06</v>
      </c>
      <c r="F3222">
        <v>2851821</v>
      </c>
      <c r="G3222" s="5">
        <v>43145</v>
      </c>
    </row>
    <row r="3223" spans="1:7" x14ac:dyDescent="0.4">
      <c r="A3223">
        <v>22</v>
      </c>
      <c r="B3223" t="s">
        <v>221</v>
      </c>
      <c r="C3223" s="10">
        <v>2.54</v>
      </c>
      <c r="D3223" s="10">
        <v>0.33</v>
      </c>
      <c r="E3223" s="16">
        <v>14.93</v>
      </c>
      <c r="F3223">
        <v>13420</v>
      </c>
      <c r="G3223" s="5">
        <v>43145</v>
      </c>
    </row>
    <row r="3224" spans="1:7" x14ac:dyDescent="0.4">
      <c r="A3224">
        <v>23</v>
      </c>
      <c r="B3224" t="s">
        <v>434</v>
      </c>
      <c r="C3224" s="10">
        <v>5.13</v>
      </c>
      <c r="D3224" s="10">
        <v>0.65</v>
      </c>
      <c r="E3224" s="16">
        <v>14.51</v>
      </c>
      <c r="F3224">
        <v>9027423</v>
      </c>
      <c r="G3224" s="5">
        <v>43145</v>
      </c>
    </row>
    <row r="3225" spans="1:7" x14ac:dyDescent="0.4">
      <c r="A3225">
        <v>24</v>
      </c>
      <c r="B3225" t="s">
        <v>1295</v>
      </c>
      <c r="C3225" s="10">
        <v>48.35</v>
      </c>
      <c r="D3225" s="10">
        <v>6.05</v>
      </c>
      <c r="E3225" s="16">
        <v>14.3</v>
      </c>
      <c r="F3225">
        <v>346724</v>
      </c>
      <c r="G3225" s="5">
        <v>43145</v>
      </c>
    </row>
    <row r="3226" spans="1:7" x14ac:dyDescent="0.4">
      <c r="A3226">
        <v>25</v>
      </c>
      <c r="B3226" t="s">
        <v>582</v>
      </c>
      <c r="C3226" s="10">
        <v>15.83</v>
      </c>
      <c r="D3226" s="10">
        <v>1.96</v>
      </c>
      <c r="E3226" s="16">
        <v>14.13</v>
      </c>
      <c r="F3226">
        <v>25147963</v>
      </c>
      <c r="G3226" s="5">
        <v>43145</v>
      </c>
    </row>
    <row r="3227" spans="1:7" x14ac:dyDescent="0.4">
      <c r="A3227">
        <v>26</v>
      </c>
      <c r="B3227" t="s">
        <v>51</v>
      </c>
      <c r="C3227" s="10">
        <v>54.61</v>
      </c>
      <c r="D3227" s="10">
        <v>6.69</v>
      </c>
      <c r="E3227" s="16">
        <v>13.96</v>
      </c>
      <c r="F3227">
        <v>410820</v>
      </c>
      <c r="G3227" s="5">
        <v>43145</v>
      </c>
    </row>
    <row r="3228" spans="1:7" x14ac:dyDescent="0.4">
      <c r="A3228">
        <v>27</v>
      </c>
      <c r="B3228" t="s">
        <v>601</v>
      </c>
      <c r="C3228" s="10">
        <v>28.81</v>
      </c>
      <c r="D3228" s="10">
        <v>3.52</v>
      </c>
      <c r="E3228" s="16">
        <v>13.92</v>
      </c>
      <c r="F3228">
        <v>13562760</v>
      </c>
      <c r="G3228" s="5">
        <v>43145</v>
      </c>
    </row>
    <row r="3229" spans="1:7" x14ac:dyDescent="0.4">
      <c r="A3229">
        <v>28</v>
      </c>
      <c r="B3229" t="s">
        <v>522</v>
      </c>
      <c r="C3229" s="10">
        <v>8.25</v>
      </c>
      <c r="D3229" s="10">
        <v>1</v>
      </c>
      <c r="E3229" s="16">
        <v>13.79</v>
      </c>
      <c r="F3229">
        <v>5208368</v>
      </c>
      <c r="G3229" s="5">
        <v>43145</v>
      </c>
    </row>
    <row r="3230" spans="1:7" x14ac:dyDescent="0.4">
      <c r="A3230">
        <v>29</v>
      </c>
      <c r="B3230" t="s">
        <v>25</v>
      </c>
      <c r="C3230" s="10">
        <v>5.0599999999999996</v>
      </c>
      <c r="D3230" s="10">
        <v>0.61</v>
      </c>
      <c r="E3230" s="16">
        <v>13.61</v>
      </c>
      <c r="F3230">
        <v>16722</v>
      </c>
      <c r="G3230" s="5">
        <v>43145</v>
      </c>
    </row>
    <row r="3231" spans="1:7" x14ac:dyDescent="0.4">
      <c r="A3231">
        <v>30</v>
      </c>
      <c r="B3231" t="s">
        <v>1706</v>
      </c>
      <c r="C3231" s="10">
        <v>21.57</v>
      </c>
      <c r="D3231" s="10">
        <v>2.44</v>
      </c>
      <c r="E3231" s="16">
        <v>12.75</v>
      </c>
      <c r="F3231">
        <v>4588053</v>
      </c>
      <c r="G3231" s="5">
        <v>43145</v>
      </c>
    </row>
    <row r="3232" spans="1:7" x14ac:dyDescent="0.4">
      <c r="A3232">
        <v>31</v>
      </c>
      <c r="B3232" t="s">
        <v>1707</v>
      </c>
      <c r="C3232" s="10">
        <v>28.45</v>
      </c>
      <c r="D3232" s="10">
        <v>3.15</v>
      </c>
      <c r="E3232" s="16">
        <v>12.45</v>
      </c>
      <c r="F3232">
        <v>173097</v>
      </c>
      <c r="G3232" s="5">
        <v>43145</v>
      </c>
    </row>
    <row r="3233" spans="1:7" x14ac:dyDescent="0.4">
      <c r="A3233">
        <v>32</v>
      </c>
      <c r="B3233" t="s">
        <v>1518</v>
      </c>
      <c r="C3233" s="10">
        <v>12.65</v>
      </c>
      <c r="D3233" s="10">
        <v>1.36</v>
      </c>
      <c r="E3233" s="16">
        <v>12.05</v>
      </c>
      <c r="F3233">
        <v>22278069</v>
      </c>
      <c r="G3233" s="5">
        <v>43145</v>
      </c>
    </row>
    <row r="3234" spans="1:7" x14ac:dyDescent="0.4">
      <c r="A3234">
        <v>33</v>
      </c>
      <c r="B3234" t="s">
        <v>1708</v>
      </c>
      <c r="C3234" s="10">
        <v>5.93</v>
      </c>
      <c r="D3234" s="10">
        <v>0.63</v>
      </c>
      <c r="E3234" s="16">
        <v>11.89</v>
      </c>
      <c r="F3234">
        <v>4518601</v>
      </c>
      <c r="G3234" s="5">
        <v>43145</v>
      </c>
    </row>
    <row r="3235" spans="1:7" x14ac:dyDescent="0.4">
      <c r="A3235">
        <v>34</v>
      </c>
      <c r="B3235" t="s">
        <v>345</v>
      </c>
      <c r="C3235" s="10">
        <v>4.1500000000000004</v>
      </c>
      <c r="D3235" s="10">
        <v>0.44</v>
      </c>
      <c r="E3235" s="16">
        <v>11.86</v>
      </c>
      <c r="F3235">
        <v>3766586</v>
      </c>
      <c r="G3235" s="5">
        <v>43145</v>
      </c>
    </row>
    <row r="3236" spans="1:7" x14ac:dyDescent="0.4">
      <c r="A3236">
        <v>35</v>
      </c>
      <c r="B3236" t="s">
        <v>505</v>
      </c>
      <c r="C3236" s="10">
        <v>22.21</v>
      </c>
      <c r="D3236" s="10">
        <v>2.33</v>
      </c>
      <c r="E3236" s="16">
        <v>11.72</v>
      </c>
      <c r="F3236">
        <v>242420</v>
      </c>
      <c r="G3236" s="5">
        <v>43145</v>
      </c>
    </row>
    <row r="3237" spans="1:7" x14ac:dyDescent="0.4">
      <c r="A3237">
        <v>36</v>
      </c>
      <c r="B3237" t="s">
        <v>1709</v>
      </c>
      <c r="C3237" s="10">
        <v>66.650000000000006</v>
      </c>
      <c r="D3237" s="10">
        <v>6.95</v>
      </c>
      <c r="E3237" s="16">
        <v>11.64</v>
      </c>
      <c r="F3237">
        <v>80430</v>
      </c>
      <c r="G3237" s="5">
        <v>43145</v>
      </c>
    </row>
    <row r="3238" spans="1:7" x14ac:dyDescent="0.4">
      <c r="A3238">
        <v>37</v>
      </c>
      <c r="B3238" t="s">
        <v>91</v>
      </c>
      <c r="C3238" s="10">
        <v>7.81</v>
      </c>
      <c r="D3238" s="10">
        <v>0.8</v>
      </c>
      <c r="E3238" s="16">
        <v>11.41</v>
      </c>
      <c r="F3238">
        <v>593610</v>
      </c>
      <c r="G3238" s="5">
        <v>43145</v>
      </c>
    </row>
    <row r="3239" spans="1:7" x14ac:dyDescent="0.4">
      <c r="A3239">
        <v>38</v>
      </c>
      <c r="B3239" t="s">
        <v>1710</v>
      </c>
      <c r="C3239" s="10">
        <v>38.299999999999997</v>
      </c>
      <c r="D3239" s="10">
        <v>3.9</v>
      </c>
      <c r="E3239" s="16">
        <v>11.34</v>
      </c>
      <c r="F3239">
        <v>745586</v>
      </c>
      <c r="G3239" s="5">
        <v>43145</v>
      </c>
    </row>
    <row r="3240" spans="1:7" x14ac:dyDescent="0.4">
      <c r="A3240">
        <v>39</v>
      </c>
      <c r="B3240" t="s">
        <v>1711</v>
      </c>
      <c r="C3240" s="10">
        <v>3.25</v>
      </c>
      <c r="D3240" s="10">
        <v>0.33</v>
      </c>
      <c r="E3240" s="16">
        <v>11.3</v>
      </c>
      <c r="F3240">
        <v>88975</v>
      </c>
      <c r="G3240" s="5">
        <v>43145</v>
      </c>
    </row>
    <row r="3241" spans="1:7" x14ac:dyDescent="0.4">
      <c r="A3241">
        <v>40</v>
      </c>
      <c r="B3241" t="s">
        <v>1007</v>
      </c>
      <c r="C3241" s="10">
        <v>3.32</v>
      </c>
      <c r="D3241" s="10">
        <v>0.34</v>
      </c>
      <c r="E3241" s="16">
        <v>11.28</v>
      </c>
      <c r="F3241">
        <v>4421</v>
      </c>
      <c r="G3241" s="5">
        <v>43145</v>
      </c>
    </row>
    <row r="3242" spans="1:7" x14ac:dyDescent="0.4">
      <c r="A3242">
        <v>41</v>
      </c>
      <c r="B3242" t="s">
        <v>564</v>
      </c>
      <c r="C3242" s="10">
        <v>22.12</v>
      </c>
      <c r="D3242" s="10">
        <v>2.23</v>
      </c>
      <c r="E3242" s="16">
        <v>11.21</v>
      </c>
      <c r="F3242">
        <v>1305156</v>
      </c>
      <c r="G3242" s="5">
        <v>43145</v>
      </c>
    </row>
    <row r="3243" spans="1:7" x14ac:dyDescent="0.4">
      <c r="A3243">
        <v>42</v>
      </c>
      <c r="B3243" t="s">
        <v>1174</v>
      </c>
      <c r="C3243" s="10">
        <v>2.39</v>
      </c>
      <c r="D3243" s="10">
        <v>0.24</v>
      </c>
      <c r="E3243" s="16">
        <v>11.16</v>
      </c>
      <c r="F3243">
        <v>232544</v>
      </c>
      <c r="G3243" s="5">
        <v>43145</v>
      </c>
    </row>
    <row r="3244" spans="1:7" x14ac:dyDescent="0.4">
      <c r="A3244">
        <v>43</v>
      </c>
      <c r="B3244" t="s">
        <v>296</v>
      </c>
      <c r="C3244" s="10">
        <v>5</v>
      </c>
      <c r="D3244" s="10">
        <v>0.5</v>
      </c>
      <c r="E3244" s="16">
        <v>11.11</v>
      </c>
      <c r="F3244">
        <v>264085</v>
      </c>
      <c r="G3244" s="5">
        <v>43145</v>
      </c>
    </row>
    <row r="3245" spans="1:7" x14ac:dyDescent="0.4">
      <c r="A3245">
        <v>44</v>
      </c>
      <c r="B3245" t="s">
        <v>1022</v>
      </c>
      <c r="C3245" s="10">
        <v>84</v>
      </c>
      <c r="D3245" s="10">
        <v>8.34</v>
      </c>
      <c r="E3245" s="16">
        <v>11.02</v>
      </c>
      <c r="F3245">
        <v>8564445</v>
      </c>
      <c r="G3245" s="5">
        <v>43145</v>
      </c>
    </row>
    <row r="3246" spans="1:7" x14ac:dyDescent="0.4">
      <c r="A3246">
        <v>45</v>
      </c>
      <c r="B3246" t="s">
        <v>1158</v>
      </c>
      <c r="C3246" s="10">
        <v>68.400000000000006</v>
      </c>
      <c r="D3246" s="10">
        <v>6.75</v>
      </c>
      <c r="E3246" s="16">
        <v>10.95</v>
      </c>
      <c r="F3246">
        <v>2024742</v>
      </c>
      <c r="G3246" s="5">
        <v>43145</v>
      </c>
    </row>
    <row r="3247" spans="1:7" x14ac:dyDescent="0.4">
      <c r="A3247">
        <v>46</v>
      </c>
      <c r="B3247" t="s">
        <v>1712</v>
      </c>
      <c r="C3247" s="10">
        <v>3.3</v>
      </c>
      <c r="D3247" s="10">
        <v>0.33</v>
      </c>
      <c r="E3247" s="16">
        <v>10.92</v>
      </c>
      <c r="F3247">
        <v>6997</v>
      </c>
      <c r="G3247" s="5">
        <v>43145</v>
      </c>
    </row>
    <row r="3248" spans="1:7" x14ac:dyDescent="0.4">
      <c r="A3248">
        <v>47</v>
      </c>
      <c r="B3248" t="s">
        <v>41</v>
      </c>
      <c r="C3248" s="10">
        <v>2.75</v>
      </c>
      <c r="D3248" s="10">
        <v>0.27</v>
      </c>
      <c r="E3248" s="16">
        <v>10.89</v>
      </c>
      <c r="F3248">
        <v>173332</v>
      </c>
      <c r="G3248" s="5">
        <v>43145</v>
      </c>
    </row>
    <row r="3249" spans="1:7" x14ac:dyDescent="0.4">
      <c r="A3249">
        <v>48</v>
      </c>
      <c r="B3249" t="s">
        <v>1713</v>
      </c>
      <c r="C3249" s="10">
        <v>2.27</v>
      </c>
      <c r="D3249" s="10">
        <v>0.22</v>
      </c>
      <c r="E3249" s="16">
        <v>10.73</v>
      </c>
      <c r="F3249">
        <v>723703</v>
      </c>
      <c r="G3249" s="5">
        <v>43145</v>
      </c>
    </row>
    <row r="3250" spans="1:7" x14ac:dyDescent="0.4">
      <c r="A3250">
        <v>49</v>
      </c>
      <c r="B3250" t="s">
        <v>542</v>
      </c>
      <c r="C3250" s="10">
        <v>42.3</v>
      </c>
      <c r="D3250" s="10">
        <v>4.03</v>
      </c>
      <c r="E3250" s="16">
        <v>10.53</v>
      </c>
      <c r="F3250">
        <v>610630</v>
      </c>
      <c r="G3250" s="5">
        <v>43145</v>
      </c>
    </row>
    <row r="3251" spans="1:7" x14ac:dyDescent="0.4">
      <c r="A3251">
        <v>50</v>
      </c>
      <c r="B3251" t="s">
        <v>521</v>
      </c>
      <c r="C3251" s="10">
        <v>24.42</v>
      </c>
      <c r="D3251" s="10">
        <v>2.31</v>
      </c>
      <c r="E3251" s="16">
        <v>10.45</v>
      </c>
      <c r="F3251">
        <v>397758</v>
      </c>
      <c r="G3251" s="5">
        <v>43145</v>
      </c>
    </row>
    <row r="3252" spans="1:7" x14ac:dyDescent="0.4">
      <c r="A3252">
        <v>51</v>
      </c>
      <c r="B3252" t="s">
        <v>1714</v>
      </c>
      <c r="C3252" s="10">
        <v>25.35</v>
      </c>
      <c r="D3252" s="10">
        <v>2.35</v>
      </c>
      <c r="E3252" s="16">
        <v>10.220000000000001</v>
      </c>
      <c r="F3252">
        <v>16340</v>
      </c>
      <c r="G3252" s="5">
        <v>43145</v>
      </c>
    </row>
    <row r="3253" spans="1:7" x14ac:dyDescent="0.4">
      <c r="A3253">
        <v>52</v>
      </c>
      <c r="B3253" t="s">
        <v>1715</v>
      </c>
      <c r="C3253" s="10">
        <v>24.49</v>
      </c>
      <c r="D3253" s="10">
        <v>2.27</v>
      </c>
      <c r="E3253" s="16">
        <v>10.220000000000001</v>
      </c>
      <c r="F3253">
        <v>16742692</v>
      </c>
      <c r="G3253" s="5">
        <v>43145</v>
      </c>
    </row>
    <row r="3254" spans="1:7" x14ac:dyDescent="0.4">
      <c r="A3254">
        <v>53</v>
      </c>
      <c r="B3254" t="s">
        <v>1316</v>
      </c>
      <c r="C3254" s="10">
        <v>24.22</v>
      </c>
      <c r="D3254" s="10">
        <v>2.2200000000000002</v>
      </c>
      <c r="E3254" s="16">
        <v>10.09</v>
      </c>
      <c r="F3254">
        <v>214548</v>
      </c>
      <c r="G3254" s="5">
        <v>43145</v>
      </c>
    </row>
    <row r="3255" spans="1:7" x14ac:dyDescent="0.4">
      <c r="A3255">
        <v>54</v>
      </c>
      <c r="B3255" t="s">
        <v>1627</v>
      </c>
      <c r="C3255" s="10">
        <v>26.65</v>
      </c>
      <c r="D3255" s="10">
        <v>2.41</v>
      </c>
      <c r="E3255" s="16">
        <v>9.94</v>
      </c>
      <c r="F3255">
        <v>519049</v>
      </c>
      <c r="G3255" s="5">
        <v>43145</v>
      </c>
    </row>
    <row r="3256" spans="1:7" x14ac:dyDescent="0.4">
      <c r="A3256">
        <v>55</v>
      </c>
      <c r="B3256" t="s">
        <v>1654</v>
      </c>
      <c r="C3256" s="10">
        <v>8.41</v>
      </c>
      <c r="D3256" s="10">
        <v>0.75</v>
      </c>
      <c r="E3256" s="16">
        <v>9.7899999999999991</v>
      </c>
      <c r="F3256">
        <v>5269569</v>
      </c>
      <c r="G3256" s="5">
        <v>43145</v>
      </c>
    </row>
    <row r="3257" spans="1:7" x14ac:dyDescent="0.4">
      <c r="A3257">
        <v>56</v>
      </c>
      <c r="B3257" t="s">
        <v>1024</v>
      </c>
      <c r="C3257" s="10">
        <v>20.2</v>
      </c>
      <c r="D3257" s="10">
        <v>1.8</v>
      </c>
      <c r="E3257" s="16">
        <v>9.7799999999999994</v>
      </c>
      <c r="F3257">
        <v>14567</v>
      </c>
      <c r="G3257" s="5">
        <v>43145</v>
      </c>
    </row>
    <row r="3258" spans="1:7" x14ac:dyDescent="0.4">
      <c r="A3258">
        <v>57</v>
      </c>
      <c r="B3258" t="s">
        <v>50</v>
      </c>
      <c r="C3258" s="10">
        <v>3.6</v>
      </c>
      <c r="D3258" s="10">
        <v>0.32</v>
      </c>
      <c r="E3258" s="16">
        <v>9.76</v>
      </c>
      <c r="F3258">
        <v>2141873</v>
      </c>
      <c r="G3258" s="5">
        <v>43145</v>
      </c>
    </row>
    <row r="3259" spans="1:7" x14ac:dyDescent="0.4">
      <c r="A3259">
        <v>58</v>
      </c>
      <c r="B3259" t="s">
        <v>1661</v>
      </c>
      <c r="C3259" s="10">
        <v>27.05</v>
      </c>
      <c r="D3259" s="10">
        <v>2.4</v>
      </c>
      <c r="E3259" s="16">
        <v>9.74</v>
      </c>
      <c r="F3259">
        <v>598152</v>
      </c>
      <c r="G3259" s="5">
        <v>43145</v>
      </c>
    </row>
    <row r="3260" spans="1:7" x14ac:dyDescent="0.4">
      <c r="A3260">
        <v>59</v>
      </c>
      <c r="B3260" t="s">
        <v>1536</v>
      </c>
      <c r="C3260" s="10">
        <v>22.55</v>
      </c>
      <c r="D3260" s="10">
        <v>2</v>
      </c>
      <c r="E3260" s="16">
        <v>9.73</v>
      </c>
      <c r="F3260">
        <v>2142410</v>
      </c>
      <c r="G3260" s="5">
        <v>43145</v>
      </c>
    </row>
    <row r="3261" spans="1:7" x14ac:dyDescent="0.4">
      <c r="A3261">
        <v>60</v>
      </c>
      <c r="B3261" t="s">
        <v>1716</v>
      </c>
      <c r="C3261" s="10">
        <v>31.58</v>
      </c>
      <c r="D3261" s="10">
        <v>2.79</v>
      </c>
      <c r="E3261" s="16">
        <v>9.69</v>
      </c>
      <c r="F3261">
        <v>5424424</v>
      </c>
      <c r="G3261" s="5">
        <v>43145</v>
      </c>
    </row>
    <row r="3262" spans="1:7" x14ac:dyDescent="0.4">
      <c r="A3262">
        <v>61</v>
      </c>
      <c r="B3262" t="s">
        <v>720</v>
      </c>
      <c r="C3262" s="10">
        <v>40.83</v>
      </c>
      <c r="D3262" s="10">
        <v>3.6</v>
      </c>
      <c r="E3262" s="16">
        <v>9.66</v>
      </c>
      <c r="F3262">
        <v>19431</v>
      </c>
      <c r="G3262" s="5">
        <v>43145</v>
      </c>
    </row>
    <row r="3263" spans="1:7" x14ac:dyDescent="0.4">
      <c r="A3263">
        <v>62</v>
      </c>
      <c r="B3263" t="s">
        <v>1717</v>
      </c>
      <c r="C3263" s="10">
        <v>6.14</v>
      </c>
      <c r="D3263" s="10">
        <v>0.53</v>
      </c>
      <c r="E3263" s="16">
        <v>9.4499999999999993</v>
      </c>
      <c r="F3263">
        <v>7360208</v>
      </c>
      <c r="G3263" s="5">
        <v>43145</v>
      </c>
    </row>
    <row r="3264" spans="1:7" x14ac:dyDescent="0.4">
      <c r="A3264">
        <v>63</v>
      </c>
      <c r="B3264" t="s">
        <v>1013</v>
      </c>
      <c r="C3264" s="10">
        <v>2.9</v>
      </c>
      <c r="D3264" s="10">
        <v>0.25</v>
      </c>
      <c r="E3264" s="16">
        <v>9.43</v>
      </c>
      <c r="F3264">
        <v>2703978</v>
      </c>
      <c r="G3264" s="5">
        <v>43145</v>
      </c>
    </row>
    <row r="3265" spans="1:7" x14ac:dyDescent="0.4">
      <c r="A3265">
        <v>64</v>
      </c>
      <c r="B3265" t="s">
        <v>1718</v>
      </c>
      <c r="C3265" s="10">
        <v>5.59</v>
      </c>
      <c r="D3265" s="10">
        <v>0.48</v>
      </c>
      <c r="E3265" s="16">
        <v>9.39</v>
      </c>
      <c r="F3265">
        <v>12091685</v>
      </c>
      <c r="G3265" s="5">
        <v>43145</v>
      </c>
    </row>
    <row r="3266" spans="1:7" x14ac:dyDescent="0.4">
      <c r="A3266">
        <v>65</v>
      </c>
      <c r="B3266" t="s">
        <v>1352</v>
      </c>
      <c r="C3266" s="10">
        <v>71.7</v>
      </c>
      <c r="D3266" s="10">
        <v>6.15</v>
      </c>
      <c r="E3266" s="16">
        <v>9.3800000000000008</v>
      </c>
      <c r="F3266">
        <v>3266631</v>
      </c>
      <c r="G3266" s="5">
        <v>43145</v>
      </c>
    </row>
    <row r="3267" spans="1:7" x14ac:dyDescent="0.4">
      <c r="A3267">
        <v>66</v>
      </c>
      <c r="B3267" t="s">
        <v>1330</v>
      </c>
      <c r="C3267" s="10">
        <v>2.8</v>
      </c>
      <c r="D3267" s="10">
        <v>0.24</v>
      </c>
      <c r="E3267" s="16">
        <v>9.3699999999999992</v>
      </c>
      <c r="F3267">
        <v>997515</v>
      </c>
      <c r="G3267" s="5">
        <v>43145</v>
      </c>
    </row>
    <row r="3268" spans="1:7" x14ac:dyDescent="0.4">
      <c r="A3268">
        <v>67</v>
      </c>
      <c r="B3268" t="s">
        <v>155</v>
      </c>
      <c r="C3268" s="10">
        <v>12.62</v>
      </c>
      <c r="D3268" s="10">
        <v>1.08</v>
      </c>
      <c r="E3268" s="16">
        <v>9.36</v>
      </c>
      <c r="F3268">
        <v>36490</v>
      </c>
      <c r="G3268" s="5">
        <v>43145</v>
      </c>
    </row>
    <row r="3269" spans="1:7" x14ac:dyDescent="0.4">
      <c r="A3269">
        <v>68</v>
      </c>
      <c r="B3269" t="s">
        <v>616</v>
      </c>
      <c r="C3269" s="10">
        <v>8.65</v>
      </c>
      <c r="D3269" s="10">
        <v>0.74</v>
      </c>
      <c r="E3269" s="16">
        <v>9.34</v>
      </c>
      <c r="F3269">
        <v>9205</v>
      </c>
      <c r="G3269" s="5">
        <v>43145</v>
      </c>
    </row>
    <row r="3270" spans="1:7" x14ac:dyDescent="0.4">
      <c r="A3270">
        <v>69</v>
      </c>
      <c r="B3270" t="s">
        <v>747</v>
      </c>
      <c r="C3270" s="10">
        <v>57.9</v>
      </c>
      <c r="D3270" s="10">
        <v>4.93</v>
      </c>
      <c r="E3270" s="16">
        <v>9.3000000000000007</v>
      </c>
      <c r="F3270">
        <v>32259</v>
      </c>
      <c r="G3270" s="5">
        <v>43145</v>
      </c>
    </row>
    <row r="3271" spans="1:7" x14ac:dyDescent="0.4">
      <c r="A3271">
        <v>70</v>
      </c>
      <c r="B3271" t="s">
        <v>1719</v>
      </c>
      <c r="C3271" s="10">
        <v>124.77</v>
      </c>
      <c r="D3271" s="10">
        <v>10.61</v>
      </c>
      <c r="E3271" s="16">
        <v>9.2899999999999991</v>
      </c>
      <c r="F3271">
        <v>471379</v>
      </c>
      <c r="G3271" s="5">
        <v>43145</v>
      </c>
    </row>
    <row r="3272" spans="1:7" x14ac:dyDescent="0.4">
      <c r="A3272">
        <v>71</v>
      </c>
      <c r="B3272" t="s">
        <v>1720</v>
      </c>
      <c r="C3272" s="10">
        <v>5.7</v>
      </c>
      <c r="D3272" s="10">
        <v>0.48</v>
      </c>
      <c r="E3272" s="16">
        <v>9.1999999999999993</v>
      </c>
      <c r="F3272">
        <v>3020</v>
      </c>
      <c r="G3272" s="5">
        <v>43145</v>
      </c>
    </row>
    <row r="3273" spans="1:7" x14ac:dyDescent="0.4">
      <c r="A3273">
        <v>72</v>
      </c>
      <c r="B3273" t="s">
        <v>1721</v>
      </c>
      <c r="C3273" s="10">
        <v>255.47</v>
      </c>
      <c r="D3273" s="10">
        <v>21.48</v>
      </c>
      <c r="E3273" s="16">
        <v>9.18</v>
      </c>
      <c r="F3273">
        <v>1004748</v>
      </c>
      <c r="G3273" s="5">
        <v>43145</v>
      </c>
    </row>
    <row r="3274" spans="1:7" x14ac:dyDescent="0.4">
      <c r="A3274">
        <v>73</v>
      </c>
      <c r="B3274" t="s">
        <v>1722</v>
      </c>
      <c r="C3274" s="10">
        <v>11.9</v>
      </c>
      <c r="D3274" s="10">
        <v>1</v>
      </c>
      <c r="E3274" s="16">
        <v>9.17</v>
      </c>
      <c r="F3274">
        <v>875277</v>
      </c>
      <c r="G3274" s="5">
        <v>43145</v>
      </c>
    </row>
    <row r="3275" spans="1:7" x14ac:dyDescent="0.4">
      <c r="A3275">
        <v>74</v>
      </c>
      <c r="B3275" t="s">
        <v>1485</v>
      </c>
      <c r="C3275" s="10">
        <v>8.9499999999999993</v>
      </c>
      <c r="D3275" s="10">
        <v>0.75</v>
      </c>
      <c r="E3275" s="16">
        <v>9.15</v>
      </c>
      <c r="F3275">
        <v>123955</v>
      </c>
      <c r="G3275" s="5">
        <v>43145</v>
      </c>
    </row>
    <row r="3276" spans="1:7" x14ac:dyDescent="0.4">
      <c r="A3276">
        <v>75</v>
      </c>
      <c r="B3276" t="s">
        <v>1441</v>
      </c>
      <c r="C3276" s="10">
        <v>14.56</v>
      </c>
      <c r="D3276" s="10">
        <v>1.22</v>
      </c>
      <c r="E3276" s="16">
        <v>9.15</v>
      </c>
      <c r="F3276">
        <v>5021748</v>
      </c>
      <c r="G3276" s="5">
        <v>43145</v>
      </c>
    </row>
    <row r="3277" spans="1:7" x14ac:dyDescent="0.4">
      <c r="A3277">
        <v>76</v>
      </c>
      <c r="B3277" t="s">
        <v>1340</v>
      </c>
      <c r="C3277" s="10">
        <v>13.97</v>
      </c>
      <c r="D3277" s="10">
        <v>1.17</v>
      </c>
      <c r="E3277" s="16">
        <v>9.14</v>
      </c>
      <c r="F3277">
        <v>1961109</v>
      </c>
      <c r="G3277" s="5">
        <v>43145</v>
      </c>
    </row>
    <row r="3278" spans="1:7" x14ac:dyDescent="0.4">
      <c r="A3278">
        <v>77</v>
      </c>
      <c r="B3278" t="s">
        <v>551</v>
      </c>
      <c r="C3278" s="10">
        <v>137.56</v>
      </c>
      <c r="D3278" s="10">
        <v>11.5</v>
      </c>
      <c r="E3278" s="16">
        <v>9.1199999999999992</v>
      </c>
      <c r="F3278">
        <v>4171109</v>
      </c>
      <c r="G3278" s="5">
        <v>43145</v>
      </c>
    </row>
    <row r="3279" spans="1:7" x14ac:dyDescent="0.4">
      <c r="A3279">
        <v>78</v>
      </c>
      <c r="B3279" t="s">
        <v>1723</v>
      </c>
      <c r="C3279" s="10">
        <v>60.17</v>
      </c>
      <c r="D3279" s="10">
        <v>5</v>
      </c>
      <c r="E3279" s="16">
        <v>9.06</v>
      </c>
      <c r="F3279">
        <v>249303</v>
      </c>
      <c r="G3279" s="5">
        <v>43145</v>
      </c>
    </row>
    <row r="3280" spans="1:7" x14ac:dyDescent="0.4">
      <c r="A3280">
        <v>79</v>
      </c>
      <c r="B3280" t="s">
        <v>1724</v>
      </c>
      <c r="C3280" s="10">
        <v>8.5500000000000007</v>
      </c>
      <c r="D3280" s="10">
        <v>0.71</v>
      </c>
      <c r="E3280" s="16">
        <v>9.06</v>
      </c>
      <c r="F3280">
        <v>6797877</v>
      </c>
      <c r="G3280" s="5">
        <v>43145</v>
      </c>
    </row>
    <row r="3281" spans="1:7" x14ac:dyDescent="0.4">
      <c r="A3281">
        <v>80</v>
      </c>
      <c r="B3281" t="s">
        <v>1624</v>
      </c>
      <c r="C3281" s="10">
        <v>56</v>
      </c>
      <c r="D3281" s="10">
        <v>4.63</v>
      </c>
      <c r="E3281" s="16">
        <v>9.01</v>
      </c>
      <c r="F3281">
        <v>358312</v>
      </c>
      <c r="G3281" s="5">
        <v>43145</v>
      </c>
    </row>
    <row r="3282" spans="1:7" x14ac:dyDescent="0.4">
      <c r="A3282">
        <v>81</v>
      </c>
      <c r="B3282" t="s">
        <v>526</v>
      </c>
      <c r="C3282" s="10">
        <v>159.15</v>
      </c>
      <c r="D3282" s="10">
        <v>13.05</v>
      </c>
      <c r="E3282" s="16">
        <v>8.93</v>
      </c>
      <c r="F3282">
        <v>3737152</v>
      </c>
      <c r="G3282" s="5">
        <v>43145</v>
      </c>
    </row>
    <row r="3283" spans="1:7" x14ac:dyDescent="0.4">
      <c r="A3283">
        <v>82</v>
      </c>
      <c r="B3283" t="s">
        <v>1725</v>
      </c>
      <c r="C3283" s="10">
        <v>19</v>
      </c>
      <c r="D3283" s="10">
        <v>1.55</v>
      </c>
      <c r="E3283" s="16">
        <v>8.8800000000000008</v>
      </c>
      <c r="F3283">
        <v>516204</v>
      </c>
      <c r="G3283" s="5">
        <v>43145</v>
      </c>
    </row>
    <row r="3284" spans="1:7" x14ac:dyDescent="0.4">
      <c r="A3284">
        <v>83</v>
      </c>
      <c r="B3284" t="s">
        <v>1049</v>
      </c>
      <c r="C3284" s="10">
        <v>6.75</v>
      </c>
      <c r="D3284" s="10">
        <v>0.55000000000000004</v>
      </c>
      <c r="E3284" s="16">
        <v>8.8699999999999992</v>
      </c>
      <c r="F3284">
        <v>350851</v>
      </c>
      <c r="G3284" s="5">
        <v>43145</v>
      </c>
    </row>
    <row r="3285" spans="1:7" x14ac:dyDescent="0.4">
      <c r="A3285">
        <v>84</v>
      </c>
      <c r="B3285" t="s">
        <v>197</v>
      </c>
      <c r="C3285" s="10">
        <v>24.59</v>
      </c>
      <c r="D3285" s="10">
        <v>1.99</v>
      </c>
      <c r="E3285" s="16">
        <v>8.81</v>
      </c>
      <c r="F3285">
        <v>425692</v>
      </c>
      <c r="G3285" s="5">
        <v>43145</v>
      </c>
    </row>
    <row r="3286" spans="1:7" x14ac:dyDescent="0.4">
      <c r="A3286">
        <v>85</v>
      </c>
      <c r="B3286" t="s">
        <v>45</v>
      </c>
      <c r="C3286" s="10">
        <v>2.97</v>
      </c>
      <c r="D3286" s="10">
        <v>0.24</v>
      </c>
      <c r="E3286" s="16">
        <v>8.7899999999999991</v>
      </c>
      <c r="F3286">
        <v>3123002</v>
      </c>
      <c r="G3286" s="5">
        <v>43145</v>
      </c>
    </row>
    <row r="3287" spans="1:7" x14ac:dyDescent="0.4">
      <c r="A3287">
        <v>86</v>
      </c>
      <c r="B3287" t="s">
        <v>1301</v>
      </c>
      <c r="C3287" s="10">
        <v>8.91</v>
      </c>
      <c r="D3287" s="10">
        <v>0.72</v>
      </c>
      <c r="E3287" s="16">
        <v>8.7899999999999991</v>
      </c>
      <c r="F3287">
        <v>308014</v>
      </c>
      <c r="G3287" s="5">
        <v>43145</v>
      </c>
    </row>
    <row r="3288" spans="1:7" x14ac:dyDescent="0.4">
      <c r="A3288">
        <v>87</v>
      </c>
      <c r="B3288" t="s">
        <v>746</v>
      </c>
      <c r="C3288" s="10">
        <v>37.020000000000003</v>
      </c>
      <c r="D3288" s="10">
        <v>2.99</v>
      </c>
      <c r="E3288" s="16">
        <v>8.7899999999999991</v>
      </c>
      <c r="F3288">
        <v>2320307</v>
      </c>
      <c r="G3288" s="5">
        <v>43145</v>
      </c>
    </row>
    <row r="3289" spans="1:7" x14ac:dyDescent="0.4">
      <c r="A3289">
        <v>88</v>
      </c>
      <c r="B3289" t="s">
        <v>27</v>
      </c>
      <c r="C3289" s="10">
        <v>2.73</v>
      </c>
      <c r="D3289" s="10">
        <v>0.22</v>
      </c>
      <c r="E3289" s="16">
        <v>8.76</v>
      </c>
      <c r="F3289">
        <v>11596</v>
      </c>
      <c r="G3289" s="5">
        <v>43145</v>
      </c>
    </row>
    <row r="3290" spans="1:7" x14ac:dyDescent="0.4">
      <c r="A3290">
        <v>89</v>
      </c>
      <c r="B3290" t="s">
        <v>1039</v>
      </c>
      <c r="C3290" s="10">
        <v>2.73</v>
      </c>
      <c r="D3290" s="10">
        <v>0.22</v>
      </c>
      <c r="E3290" s="16">
        <v>8.76</v>
      </c>
      <c r="F3290">
        <v>934936</v>
      </c>
      <c r="G3290" s="5">
        <v>43145</v>
      </c>
    </row>
    <row r="3291" spans="1:7" x14ac:dyDescent="0.4">
      <c r="A3291">
        <v>90</v>
      </c>
      <c r="B3291" t="s">
        <v>1592</v>
      </c>
      <c r="C3291" s="10">
        <v>15.04</v>
      </c>
      <c r="D3291" s="10">
        <v>1.21</v>
      </c>
      <c r="E3291" s="16">
        <v>8.75</v>
      </c>
      <c r="F3291">
        <v>1144164</v>
      </c>
      <c r="G3291" s="5">
        <v>43145</v>
      </c>
    </row>
    <row r="3292" spans="1:7" x14ac:dyDescent="0.4">
      <c r="A3292">
        <v>91</v>
      </c>
      <c r="B3292" t="s">
        <v>589</v>
      </c>
      <c r="C3292" s="10">
        <v>5.6</v>
      </c>
      <c r="D3292" s="10">
        <v>0.45</v>
      </c>
      <c r="E3292" s="16">
        <v>8.74</v>
      </c>
      <c r="F3292">
        <v>362924</v>
      </c>
      <c r="G3292" s="5">
        <v>43145</v>
      </c>
    </row>
    <row r="3293" spans="1:7" x14ac:dyDescent="0.4">
      <c r="A3293">
        <v>92</v>
      </c>
      <c r="B3293" t="s">
        <v>1726</v>
      </c>
      <c r="C3293" s="10">
        <v>16.559999999999999</v>
      </c>
      <c r="D3293" s="10">
        <v>1.33</v>
      </c>
      <c r="E3293" s="16">
        <v>8.73</v>
      </c>
      <c r="F3293">
        <v>948238</v>
      </c>
      <c r="G3293" s="5">
        <v>43145</v>
      </c>
    </row>
    <row r="3294" spans="1:7" x14ac:dyDescent="0.4">
      <c r="A3294">
        <v>93</v>
      </c>
      <c r="B3294" t="s">
        <v>1727</v>
      </c>
      <c r="C3294" s="10">
        <v>18.7</v>
      </c>
      <c r="D3294" s="10">
        <v>1.5</v>
      </c>
      <c r="E3294" s="16">
        <v>8.7200000000000006</v>
      </c>
      <c r="F3294">
        <v>1823508</v>
      </c>
      <c r="G3294" s="5">
        <v>43145</v>
      </c>
    </row>
    <row r="3295" spans="1:7" x14ac:dyDescent="0.4">
      <c r="A3295">
        <v>94</v>
      </c>
      <c r="B3295" t="s">
        <v>724</v>
      </c>
      <c r="C3295" s="10">
        <v>4.2699999999999996</v>
      </c>
      <c r="D3295" s="10">
        <v>0.34</v>
      </c>
      <c r="E3295" s="16">
        <v>8.65</v>
      </c>
      <c r="F3295">
        <v>21336361</v>
      </c>
      <c r="G3295" s="5">
        <v>43145</v>
      </c>
    </row>
    <row r="3296" spans="1:7" x14ac:dyDescent="0.4">
      <c r="A3296">
        <v>95</v>
      </c>
      <c r="B3296" t="s">
        <v>512</v>
      </c>
      <c r="C3296" s="10">
        <v>128.86000000000001</v>
      </c>
      <c r="D3296" s="10">
        <v>10.24</v>
      </c>
      <c r="E3296" s="16">
        <v>8.6300000000000008</v>
      </c>
      <c r="F3296">
        <v>1726125</v>
      </c>
      <c r="G3296" s="5">
        <v>43145</v>
      </c>
    </row>
    <row r="3297" spans="1:7" x14ac:dyDescent="0.4">
      <c r="A3297">
        <v>96</v>
      </c>
      <c r="B3297" t="s">
        <v>1728</v>
      </c>
      <c r="C3297" s="10">
        <v>54.48</v>
      </c>
      <c r="D3297" s="10">
        <v>4.32</v>
      </c>
      <c r="E3297" s="16">
        <v>8.61</v>
      </c>
      <c r="F3297">
        <v>1754976</v>
      </c>
      <c r="G3297" s="5">
        <v>43145</v>
      </c>
    </row>
    <row r="3298" spans="1:7" x14ac:dyDescent="0.4">
      <c r="A3298">
        <v>97</v>
      </c>
      <c r="B3298" t="s">
        <v>633</v>
      </c>
      <c r="C3298" s="10">
        <v>2.4</v>
      </c>
      <c r="D3298" s="10">
        <v>0.19</v>
      </c>
      <c r="E3298" s="16">
        <v>8.6</v>
      </c>
      <c r="F3298">
        <v>1644678</v>
      </c>
      <c r="G3298" s="5">
        <v>43145</v>
      </c>
    </row>
    <row r="3299" spans="1:7" x14ac:dyDescent="0.4">
      <c r="A3299">
        <v>98</v>
      </c>
      <c r="B3299" t="s">
        <v>1729</v>
      </c>
      <c r="C3299" s="10">
        <v>27.5</v>
      </c>
      <c r="D3299" s="10">
        <v>2.17</v>
      </c>
      <c r="E3299" s="16">
        <v>8.57</v>
      </c>
      <c r="F3299">
        <v>345616</v>
      </c>
      <c r="G3299" s="5">
        <v>43145</v>
      </c>
    </row>
    <row r="3300" spans="1:7" x14ac:dyDescent="0.4">
      <c r="A3300">
        <v>99</v>
      </c>
      <c r="B3300" t="s">
        <v>39</v>
      </c>
      <c r="C3300" s="10">
        <v>2.29</v>
      </c>
      <c r="D3300" s="10">
        <v>0.18</v>
      </c>
      <c r="E3300" s="16">
        <v>8.5299999999999994</v>
      </c>
      <c r="F3300">
        <v>1839321</v>
      </c>
      <c r="G3300" s="5">
        <v>43145</v>
      </c>
    </row>
    <row r="3301" spans="1:7" x14ac:dyDescent="0.4">
      <c r="A3301">
        <v>100</v>
      </c>
      <c r="B3301" t="s">
        <v>1146</v>
      </c>
      <c r="C3301" s="10">
        <v>42.25</v>
      </c>
      <c r="D3301" s="10">
        <v>3.3</v>
      </c>
      <c r="E3301" s="16">
        <v>8.4700000000000006</v>
      </c>
      <c r="F3301">
        <v>278028</v>
      </c>
      <c r="G3301" s="5">
        <v>43145</v>
      </c>
    </row>
    <row r="3302" spans="1:7" x14ac:dyDescent="0.4">
      <c r="A3302">
        <v>1</v>
      </c>
      <c r="B3302" t="s">
        <v>326</v>
      </c>
      <c r="C3302" s="10">
        <v>4.3</v>
      </c>
      <c r="D3302" s="10">
        <v>2</v>
      </c>
      <c r="E3302" s="16">
        <v>86.96</v>
      </c>
      <c r="F3302">
        <v>13265481</v>
      </c>
      <c r="G3302" s="5">
        <v>43144</v>
      </c>
    </row>
    <row r="3303" spans="1:7" x14ac:dyDescent="0.4">
      <c r="A3303">
        <v>2</v>
      </c>
      <c r="B3303" t="s">
        <v>88</v>
      </c>
      <c r="C3303" s="10">
        <v>3</v>
      </c>
      <c r="D3303" s="10">
        <v>0.8</v>
      </c>
      <c r="E3303" s="16">
        <v>36.36</v>
      </c>
      <c r="F3303">
        <v>14237350</v>
      </c>
      <c r="G3303" s="5">
        <v>43144</v>
      </c>
    </row>
    <row r="3304" spans="1:7" x14ac:dyDescent="0.4">
      <c r="A3304">
        <v>3</v>
      </c>
      <c r="B3304" t="s">
        <v>427</v>
      </c>
      <c r="C3304" s="10">
        <v>24.79</v>
      </c>
      <c r="D3304" s="10">
        <v>4.7699999999999996</v>
      </c>
      <c r="E3304" s="16">
        <v>23.82</v>
      </c>
      <c r="F3304">
        <v>132179</v>
      </c>
      <c r="G3304" s="5">
        <v>43144</v>
      </c>
    </row>
    <row r="3305" spans="1:7" x14ac:dyDescent="0.4">
      <c r="A3305">
        <v>4</v>
      </c>
      <c r="B3305" t="s">
        <v>1134</v>
      </c>
      <c r="C3305" s="10">
        <v>4.68</v>
      </c>
      <c r="D3305" s="10">
        <v>0.8</v>
      </c>
      <c r="E3305" s="16">
        <v>20.62</v>
      </c>
      <c r="F3305">
        <v>17366</v>
      </c>
      <c r="G3305" s="5">
        <v>43144</v>
      </c>
    </row>
    <row r="3306" spans="1:7" x14ac:dyDescent="0.4">
      <c r="A3306">
        <v>5</v>
      </c>
      <c r="B3306" t="s">
        <v>1208</v>
      </c>
      <c r="C3306" s="10">
        <v>4.95</v>
      </c>
      <c r="D3306" s="10">
        <v>0.76</v>
      </c>
      <c r="E3306" s="16">
        <v>18.14</v>
      </c>
      <c r="F3306">
        <v>37283506</v>
      </c>
      <c r="G3306" s="5">
        <v>43144</v>
      </c>
    </row>
    <row r="3307" spans="1:7" x14ac:dyDescent="0.4">
      <c r="A3307">
        <v>6</v>
      </c>
      <c r="B3307" t="s">
        <v>1730</v>
      </c>
      <c r="C3307" s="10">
        <v>16.7</v>
      </c>
      <c r="D3307" s="10">
        <v>2.4700000000000002</v>
      </c>
      <c r="E3307" s="16">
        <v>17.36</v>
      </c>
      <c r="F3307">
        <v>33648115</v>
      </c>
      <c r="G3307" s="5">
        <v>43144</v>
      </c>
    </row>
    <row r="3308" spans="1:7" x14ac:dyDescent="0.4">
      <c r="A3308">
        <v>7</v>
      </c>
      <c r="B3308" t="s">
        <v>1731</v>
      </c>
      <c r="C3308" s="10">
        <v>19.149999999999999</v>
      </c>
      <c r="D3308" s="10">
        <v>2.79</v>
      </c>
      <c r="E3308" s="16">
        <v>17.05</v>
      </c>
      <c r="F3308">
        <v>8776962</v>
      </c>
      <c r="G3308" s="5">
        <v>43144</v>
      </c>
    </row>
    <row r="3309" spans="1:7" x14ac:dyDescent="0.4">
      <c r="A3309">
        <v>8</v>
      </c>
      <c r="B3309" t="s">
        <v>205</v>
      </c>
      <c r="C3309" s="10">
        <v>3.11</v>
      </c>
      <c r="D3309" s="10">
        <v>0.45</v>
      </c>
      <c r="E3309" s="16">
        <v>16.920000000000002</v>
      </c>
      <c r="F3309">
        <v>596940</v>
      </c>
      <c r="G3309" s="5">
        <v>43144</v>
      </c>
    </row>
    <row r="3310" spans="1:7" x14ac:dyDescent="0.4">
      <c r="A3310">
        <v>9</v>
      </c>
      <c r="B3310" t="s">
        <v>1732</v>
      </c>
      <c r="C3310" s="10">
        <v>15.29</v>
      </c>
      <c r="D3310" s="10">
        <v>2.11</v>
      </c>
      <c r="E3310" s="16">
        <v>16.010000000000002</v>
      </c>
      <c r="F3310">
        <v>20526072</v>
      </c>
      <c r="G3310" s="5">
        <v>43144</v>
      </c>
    </row>
    <row r="3311" spans="1:7" x14ac:dyDescent="0.4">
      <c r="A3311">
        <v>10</v>
      </c>
      <c r="B3311" t="s">
        <v>50</v>
      </c>
      <c r="C3311" s="10">
        <v>3.28</v>
      </c>
      <c r="D3311" s="10">
        <v>0.44</v>
      </c>
      <c r="E3311" s="16">
        <v>15.49</v>
      </c>
      <c r="F3311">
        <v>1079046</v>
      </c>
      <c r="G3311" s="5">
        <v>43144</v>
      </c>
    </row>
    <row r="3312" spans="1:7" x14ac:dyDescent="0.4">
      <c r="A3312">
        <v>11</v>
      </c>
      <c r="B3312" t="s">
        <v>1524</v>
      </c>
      <c r="C3312" s="10">
        <v>17.8</v>
      </c>
      <c r="D3312" s="10">
        <v>2.25</v>
      </c>
      <c r="E3312" s="16">
        <v>14.47</v>
      </c>
      <c r="F3312">
        <v>595366</v>
      </c>
      <c r="G3312" s="5">
        <v>43144</v>
      </c>
    </row>
    <row r="3313" spans="1:7" x14ac:dyDescent="0.4">
      <c r="A3313">
        <v>12</v>
      </c>
      <c r="B3313" t="s">
        <v>544</v>
      </c>
      <c r="C3313" s="10">
        <v>45.05</v>
      </c>
      <c r="D3313" s="10">
        <v>5.58</v>
      </c>
      <c r="E3313" s="16">
        <v>14.12</v>
      </c>
      <c r="F3313">
        <v>1016259</v>
      </c>
      <c r="G3313" s="5">
        <v>43144</v>
      </c>
    </row>
    <row r="3314" spans="1:7" x14ac:dyDescent="0.4">
      <c r="A3314">
        <v>13</v>
      </c>
      <c r="B3314" t="s">
        <v>1727</v>
      </c>
      <c r="C3314" s="10">
        <v>17.2</v>
      </c>
      <c r="D3314" s="10">
        <v>2.1</v>
      </c>
      <c r="E3314" s="16">
        <v>13.91</v>
      </c>
      <c r="F3314">
        <v>3537091</v>
      </c>
      <c r="G3314" s="5">
        <v>43144</v>
      </c>
    </row>
    <row r="3315" spans="1:7" x14ac:dyDescent="0.4">
      <c r="A3315">
        <v>14</v>
      </c>
      <c r="B3315" t="s">
        <v>527</v>
      </c>
      <c r="C3315" s="10">
        <v>6.7</v>
      </c>
      <c r="D3315" s="10">
        <v>0.8</v>
      </c>
      <c r="E3315" s="16">
        <v>13.56</v>
      </c>
      <c r="F3315">
        <v>415496</v>
      </c>
      <c r="G3315" s="5">
        <v>43144</v>
      </c>
    </row>
    <row r="3316" spans="1:7" x14ac:dyDescent="0.4">
      <c r="A3316">
        <v>15</v>
      </c>
      <c r="B3316" t="s">
        <v>289</v>
      </c>
      <c r="C3316" s="10">
        <v>5.41</v>
      </c>
      <c r="D3316" s="10">
        <v>0.64</v>
      </c>
      <c r="E3316" s="16">
        <v>13.42</v>
      </c>
      <c r="F3316">
        <v>107086</v>
      </c>
      <c r="G3316" s="5">
        <v>43144</v>
      </c>
    </row>
    <row r="3317" spans="1:7" x14ac:dyDescent="0.4">
      <c r="A3317">
        <v>16</v>
      </c>
      <c r="B3317" t="s">
        <v>443</v>
      </c>
      <c r="C3317" s="10">
        <v>6.5</v>
      </c>
      <c r="D3317" s="10">
        <v>0.75</v>
      </c>
      <c r="E3317" s="16">
        <v>13.04</v>
      </c>
      <c r="F3317">
        <v>85632</v>
      </c>
      <c r="G3317" s="5">
        <v>43144</v>
      </c>
    </row>
    <row r="3318" spans="1:7" x14ac:dyDescent="0.4">
      <c r="A3318">
        <v>17</v>
      </c>
      <c r="B3318" t="s">
        <v>109</v>
      </c>
      <c r="C3318" s="10">
        <v>21.8</v>
      </c>
      <c r="D3318" s="10">
        <v>2.4500000000000002</v>
      </c>
      <c r="E3318" s="16">
        <v>12.66</v>
      </c>
      <c r="F3318">
        <v>523914</v>
      </c>
      <c r="G3318" s="5">
        <v>43144</v>
      </c>
    </row>
    <row r="3319" spans="1:7" x14ac:dyDescent="0.4">
      <c r="A3319">
        <v>18</v>
      </c>
      <c r="B3319" t="s">
        <v>1602</v>
      </c>
      <c r="C3319" s="10">
        <v>4.4400000000000004</v>
      </c>
      <c r="D3319" s="10">
        <v>0.49</v>
      </c>
      <c r="E3319" s="16">
        <v>12.41</v>
      </c>
      <c r="F3319">
        <v>317278</v>
      </c>
      <c r="G3319" s="5">
        <v>43144</v>
      </c>
    </row>
    <row r="3320" spans="1:7" x14ac:dyDescent="0.4">
      <c r="A3320">
        <v>19</v>
      </c>
      <c r="B3320" t="s">
        <v>45</v>
      </c>
      <c r="C3320" s="10">
        <v>2.73</v>
      </c>
      <c r="D3320" s="10">
        <v>0.3</v>
      </c>
      <c r="E3320" s="16">
        <v>12.35</v>
      </c>
      <c r="F3320">
        <v>2100447</v>
      </c>
      <c r="G3320" s="5">
        <v>43144</v>
      </c>
    </row>
    <row r="3321" spans="1:7" x14ac:dyDescent="0.4">
      <c r="A3321">
        <v>20</v>
      </c>
      <c r="B3321" t="s">
        <v>311</v>
      </c>
      <c r="C3321" s="10">
        <v>3.9</v>
      </c>
      <c r="D3321" s="10">
        <v>0.42</v>
      </c>
      <c r="E3321" s="16">
        <v>12.07</v>
      </c>
      <c r="F3321">
        <v>393413</v>
      </c>
      <c r="G3321" s="5">
        <v>43144</v>
      </c>
    </row>
    <row r="3322" spans="1:7" x14ac:dyDescent="0.4">
      <c r="A3322">
        <v>21</v>
      </c>
      <c r="B3322" t="s">
        <v>1733</v>
      </c>
      <c r="C3322" s="10">
        <v>2.65</v>
      </c>
      <c r="D3322" s="10">
        <v>0.28000000000000003</v>
      </c>
      <c r="E3322" s="16">
        <v>11.58</v>
      </c>
      <c r="F3322">
        <v>265086</v>
      </c>
      <c r="G3322" s="5">
        <v>43144</v>
      </c>
    </row>
    <row r="3323" spans="1:7" x14ac:dyDescent="0.4">
      <c r="A3323">
        <v>22</v>
      </c>
      <c r="B3323" t="s">
        <v>1734</v>
      </c>
      <c r="C3323" s="10">
        <v>9.4700000000000006</v>
      </c>
      <c r="D3323" s="10">
        <v>0.97</v>
      </c>
      <c r="E3323" s="16">
        <v>11.41</v>
      </c>
      <c r="F3323">
        <v>595204</v>
      </c>
      <c r="G3323" s="5">
        <v>43144</v>
      </c>
    </row>
    <row r="3324" spans="1:7" x14ac:dyDescent="0.4">
      <c r="A3324">
        <v>23</v>
      </c>
      <c r="B3324" t="s">
        <v>1735</v>
      </c>
      <c r="C3324" s="10">
        <v>41.5</v>
      </c>
      <c r="D3324" s="10">
        <v>4.1500000000000004</v>
      </c>
      <c r="E3324" s="16">
        <v>11.11</v>
      </c>
      <c r="F3324">
        <v>1685217</v>
      </c>
      <c r="G3324" s="5">
        <v>43144</v>
      </c>
    </row>
    <row r="3325" spans="1:7" x14ac:dyDescent="0.4">
      <c r="A3325">
        <v>24</v>
      </c>
      <c r="B3325" t="s">
        <v>1470</v>
      </c>
      <c r="C3325" s="10">
        <v>3.02</v>
      </c>
      <c r="D3325" s="10">
        <v>0.28999999999999998</v>
      </c>
      <c r="E3325" s="16">
        <v>10.62</v>
      </c>
      <c r="F3325">
        <v>7642612</v>
      </c>
      <c r="G3325" s="5">
        <v>43144</v>
      </c>
    </row>
    <row r="3326" spans="1:7" x14ac:dyDescent="0.4">
      <c r="A3326">
        <v>25</v>
      </c>
      <c r="B3326" t="s">
        <v>434</v>
      </c>
      <c r="C3326" s="10">
        <v>4.4800000000000004</v>
      </c>
      <c r="D3326" s="10">
        <v>0.43</v>
      </c>
      <c r="E3326" s="16">
        <v>10.62</v>
      </c>
      <c r="F3326">
        <v>3319767</v>
      </c>
      <c r="G3326" s="5">
        <v>43144</v>
      </c>
    </row>
    <row r="3327" spans="1:7" x14ac:dyDescent="0.4">
      <c r="A3327">
        <v>26</v>
      </c>
      <c r="B3327" t="s">
        <v>1666</v>
      </c>
      <c r="C3327" s="10">
        <v>7.56</v>
      </c>
      <c r="D3327" s="10">
        <v>0.72</v>
      </c>
      <c r="E3327" s="16">
        <v>10.53</v>
      </c>
      <c r="F3327">
        <v>616672</v>
      </c>
      <c r="G3327" s="5">
        <v>43144</v>
      </c>
    </row>
    <row r="3328" spans="1:7" x14ac:dyDescent="0.4">
      <c r="A3328">
        <v>27</v>
      </c>
      <c r="B3328" t="s">
        <v>404</v>
      </c>
      <c r="C3328" s="10">
        <v>5.32</v>
      </c>
      <c r="D3328" s="10">
        <v>0.5</v>
      </c>
      <c r="E3328" s="16">
        <v>10.37</v>
      </c>
      <c r="F3328">
        <v>647663</v>
      </c>
      <c r="G3328" s="5">
        <v>43144</v>
      </c>
    </row>
    <row r="3329" spans="1:7" x14ac:dyDescent="0.4">
      <c r="A3329">
        <v>28</v>
      </c>
      <c r="B3329" t="s">
        <v>384</v>
      </c>
      <c r="C3329" s="10">
        <v>13.5</v>
      </c>
      <c r="D3329" s="10">
        <v>1.25</v>
      </c>
      <c r="E3329" s="16">
        <v>10.199999999999999</v>
      </c>
      <c r="F3329">
        <v>2592190</v>
      </c>
      <c r="G3329" s="5">
        <v>43144</v>
      </c>
    </row>
    <row r="3330" spans="1:7" x14ac:dyDescent="0.4">
      <c r="A3330">
        <v>29</v>
      </c>
      <c r="B3330" t="s">
        <v>993</v>
      </c>
      <c r="C3330" s="10">
        <v>3.75</v>
      </c>
      <c r="D3330" s="10">
        <v>0.34</v>
      </c>
      <c r="E3330" s="16">
        <v>9.9700000000000006</v>
      </c>
      <c r="F3330">
        <v>2493435</v>
      </c>
      <c r="G3330" s="5">
        <v>43144</v>
      </c>
    </row>
    <row r="3331" spans="1:7" x14ac:dyDescent="0.4">
      <c r="A3331">
        <v>30</v>
      </c>
      <c r="B3331" t="s">
        <v>1736</v>
      </c>
      <c r="C3331" s="10">
        <v>16.989999999999998</v>
      </c>
      <c r="D3331" s="10">
        <v>1.54</v>
      </c>
      <c r="E3331" s="16">
        <v>9.9700000000000006</v>
      </c>
      <c r="F3331">
        <v>3785433</v>
      </c>
      <c r="G3331" s="5">
        <v>43144</v>
      </c>
    </row>
    <row r="3332" spans="1:7" x14ac:dyDescent="0.4">
      <c r="A3332">
        <v>31</v>
      </c>
      <c r="B3332" t="s">
        <v>1737</v>
      </c>
      <c r="C3332" s="10">
        <v>3.24</v>
      </c>
      <c r="D3332" s="10">
        <v>0.28999999999999998</v>
      </c>
      <c r="E3332" s="16">
        <v>9.83</v>
      </c>
      <c r="F3332">
        <v>560361</v>
      </c>
      <c r="G3332" s="5">
        <v>43144</v>
      </c>
    </row>
    <row r="3333" spans="1:7" x14ac:dyDescent="0.4">
      <c r="A3333">
        <v>32</v>
      </c>
      <c r="B3333" t="s">
        <v>1738</v>
      </c>
      <c r="C3333" s="10">
        <v>3.95</v>
      </c>
      <c r="D3333" s="10">
        <v>0.35</v>
      </c>
      <c r="E3333" s="16">
        <v>9.7200000000000006</v>
      </c>
      <c r="F3333">
        <v>72193</v>
      </c>
      <c r="G3333" s="5">
        <v>43144</v>
      </c>
    </row>
    <row r="3334" spans="1:7" x14ac:dyDescent="0.4">
      <c r="A3334">
        <v>33</v>
      </c>
      <c r="B3334" t="s">
        <v>208</v>
      </c>
      <c r="C3334" s="10">
        <v>2.27</v>
      </c>
      <c r="D3334" s="10">
        <v>0.2</v>
      </c>
      <c r="E3334" s="16">
        <v>9.66</v>
      </c>
      <c r="F3334">
        <v>2210433</v>
      </c>
      <c r="G3334" s="5">
        <v>43144</v>
      </c>
    </row>
    <row r="3335" spans="1:7" x14ac:dyDescent="0.4">
      <c r="A3335">
        <v>34</v>
      </c>
      <c r="B3335" t="s">
        <v>1739</v>
      </c>
      <c r="C3335" s="10">
        <v>19.899999999999999</v>
      </c>
      <c r="D3335" s="10">
        <v>1.75</v>
      </c>
      <c r="E3335" s="16">
        <v>9.64</v>
      </c>
      <c r="F3335">
        <v>169762</v>
      </c>
      <c r="G3335" s="5">
        <v>43144</v>
      </c>
    </row>
    <row r="3336" spans="1:7" x14ac:dyDescent="0.4">
      <c r="A3336">
        <v>35</v>
      </c>
      <c r="B3336" t="s">
        <v>1674</v>
      </c>
      <c r="C3336" s="10">
        <v>4.5999999999999996</v>
      </c>
      <c r="D3336" s="10">
        <v>0.4</v>
      </c>
      <c r="E3336" s="16">
        <v>9.52</v>
      </c>
      <c r="F3336">
        <v>56337</v>
      </c>
      <c r="G3336" s="5">
        <v>43144</v>
      </c>
    </row>
    <row r="3337" spans="1:7" x14ac:dyDescent="0.4">
      <c r="A3337">
        <v>36</v>
      </c>
      <c r="B3337" t="s">
        <v>446</v>
      </c>
      <c r="C3337" s="10">
        <v>44.25</v>
      </c>
      <c r="D3337" s="10">
        <v>3.78</v>
      </c>
      <c r="E3337" s="16">
        <v>9.34</v>
      </c>
      <c r="F3337">
        <v>19608</v>
      </c>
      <c r="G3337" s="5">
        <v>43144</v>
      </c>
    </row>
    <row r="3338" spans="1:7" x14ac:dyDescent="0.4">
      <c r="A3338">
        <v>37</v>
      </c>
      <c r="B3338" t="s">
        <v>1740</v>
      </c>
      <c r="C3338" s="10">
        <v>97.77</v>
      </c>
      <c r="D3338" s="10">
        <v>8.32</v>
      </c>
      <c r="E3338" s="16">
        <v>9.3000000000000007</v>
      </c>
      <c r="F3338">
        <v>9651366</v>
      </c>
      <c r="G3338" s="5">
        <v>43144</v>
      </c>
    </row>
    <row r="3339" spans="1:7" x14ac:dyDescent="0.4">
      <c r="A3339">
        <v>38</v>
      </c>
      <c r="B3339" t="s">
        <v>38</v>
      </c>
      <c r="C3339" s="10">
        <v>42.21</v>
      </c>
      <c r="D3339" s="10">
        <v>3.52</v>
      </c>
      <c r="E3339" s="16">
        <v>9.1</v>
      </c>
      <c r="F3339">
        <v>230537</v>
      </c>
      <c r="G3339" s="5">
        <v>43144</v>
      </c>
    </row>
    <row r="3340" spans="1:7" x14ac:dyDescent="0.4">
      <c r="A3340">
        <v>39</v>
      </c>
      <c r="B3340" t="s">
        <v>447</v>
      </c>
      <c r="C3340" s="10">
        <v>8.3000000000000007</v>
      </c>
      <c r="D3340" s="10">
        <v>0.69</v>
      </c>
      <c r="E3340" s="16">
        <v>9.07</v>
      </c>
      <c r="F3340">
        <v>13345</v>
      </c>
      <c r="G3340" s="5">
        <v>43144</v>
      </c>
    </row>
    <row r="3341" spans="1:7" x14ac:dyDescent="0.4">
      <c r="A3341">
        <v>40</v>
      </c>
      <c r="B3341" t="s">
        <v>149</v>
      </c>
      <c r="C3341" s="10">
        <v>2.4500000000000002</v>
      </c>
      <c r="D3341" s="10">
        <v>0.2</v>
      </c>
      <c r="E3341" s="16">
        <v>8.89</v>
      </c>
      <c r="F3341">
        <v>16774</v>
      </c>
      <c r="G3341" s="5">
        <v>43144</v>
      </c>
    </row>
    <row r="3342" spans="1:7" x14ac:dyDescent="0.4">
      <c r="A3342">
        <v>41</v>
      </c>
      <c r="B3342" t="s">
        <v>1430</v>
      </c>
      <c r="C3342" s="10">
        <v>2.78</v>
      </c>
      <c r="D3342" s="10">
        <v>0.23</v>
      </c>
      <c r="E3342" s="16">
        <v>8.85</v>
      </c>
      <c r="F3342">
        <v>90230</v>
      </c>
      <c r="G3342" s="5">
        <v>43144</v>
      </c>
    </row>
    <row r="3343" spans="1:7" x14ac:dyDescent="0.4">
      <c r="A3343">
        <v>42</v>
      </c>
      <c r="B3343" t="s">
        <v>383</v>
      </c>
      <c r="C3343" s="10">
        <v>19.75</v>
      </c>
      <c r="D3343" s="10">
        <v>1.6</v>
      </c>
      <c r="E3343" s="16">
        <v>8.82</v>
      </c>
      <c r="F3343">
        <v>189403</v>
      </c>
      <c r="G3343" s="5">
        <v>43144</v>
      </c>
    </row>
    <row r="3344" spans="1:7" x14ac:dyDescent="0.4">
      <c r="A3344">
        <v>43</v>
      </c>
      <c r="B3344" t="s">
        <v>1168</v>
      </c>
      <c r="C3344" s="10">
        <v>2.52</v>
      </c>
      <c r="D3344" s="10">
        <v>0.2</v>
      </c>
      <c r="E3344" s="16">
        <v>8.6199999999999992</v>
      </c>
      <c r="F3344">
        <v>278220</v>
      </c>
      <c r="G3344" s="5">
        <v>43144</v>
      </c>
    </row>
    <row r="3345" spans="1:7" x14ac:dyDescent="0.4">
      <c r="A3345">
        <v>44</v>
      </c>
      <c r="B3345" t="s">
        <v>1741</v>
      </c>
      <c r="C3345" s="10">
        <v>89.72</v>
      </c>
      <c r="D3345" s="10">
        <v>7.12</v>
      </c>
      <c r="E3345" s="16">
        <v>8.6199999999999992</v>
      </c>
      <c r="F3345">
        <v>1077470</v>
      </c>
      <c r="G3345" s="5">
        <v>43144</v>
      </c>
    </row>
    <row r="3346" spans="1:7" x14ac:dyDescent="0.4">
      <c r="A3346">
        <v>45</v>
      </c>
      <c r="B3346" t="s">
        <v>1096</v>
      </c>
      <c r="C3346" s="10">
        <v>4.2</v>
      </c>
      <c r="D3346" s="10">
        <v>0.33</v>
      </c>
      <c r="E3346" s="16">
        <v>8.5299999999999994</v>
      </c>
      <c r="F3346">
        <v>159457</v>
      </c>
      <c r="G3346" s="5">
        <v>43144</v>
      </c>
    </row>
    <row r="3347" spans="1:7" x14ac:dyDescent="0.4">
      <c r="A3347">
        <v>46</v>
      </c>
      <c r="B3347" t="s">
        <v>1197</v>
      </c>
      <c r="C3347" s="10">
        <v>2.6</v>
      </c>
      <c r="D3347" s="10">
        <v>0.2</v>
      </c>
      <c r="E3347" s="16">
        <v>8.33</v>
      </c>
      <c r="F3347">
        <v>26174</v>
      </c>
      <c r="G3347" s="5">
        <v>43144</v>
      </c>
    </row>
    <row r="3348" spans="1:7" x14ac:dyDescent="0.4">
      <c r="A3348">
        <v>47</v>
      </c>
      <c r="B3348" t="s">
        <v>1742</v>
      </c>
      <c r="C3348" s="10">
        <v>4.8499999999999996</v>
      </c>
      <c r="D3348" s="10">
        <v>0.37</v>
      </c>
      <c r="E3348" s="16">
        <v>8.26</v>
      </c>
      <c r="F3348">
        <v>1444834</v>
      </c>
      <c r="G3348" s="5">
        <v>43144</v>
      </c>
    </row>
    <row r="3349" spans="1:7" x14ac:dyDescent="0.4">
      <c r="A3349">
        <v>48</v>
      </c>
      <c r="B3349" t="s">
        <v>1157</v>
      </c>
      <c r="C3349" s="10">
        <v>10.5</v>
      </c>
      <c r="D3349" s="10">
        <v>0.8</v>
      </c>
      <c r="E3349" s="16">
        <v>8.25</v>
      </c>
      <c r="F3349">
        <v>2584437</v>
      </c>
      <c r="G3349" s="5">
        <v>43144</v>
      </c>
    </row>
    <row r="3350" spans="1:7" x14ac:dyDescent="0.4">
      <c r="A3350">
        <v>49</v>
      </c>
      <c r="B3350" t="s">
        <v>1661</v>
      </c>
      <c r="C3350" s="10">
        <v>24.65</v>
      </c>
      <c r="D3350" s="10">
        <v>1.85</v>
      </c>
      <c r="E3350" s="16">
        <v>8.11</v>
      </c>
      <c r="F3350">
        <v>624656</v>
      </c>
      <c r="G3350" s="5">
        <v>43144</v>
      </c>
    </row>
    <row r="3351" spans="1:7" x14ac:dyDescent="0.4">
      <c r="A3351">
        <v>50</v>
      </c>
      <c r="B3351" t="s">
        <v>393</v>
      </c>
      <c r="C3351" s="10">
        <v>4.54</v>
      </c>
      <c r="D3351" s="10">
        <v>0.34</v>
      </c>
      <c r="E3351" s="16">
        <v>8.1</v>
      </c>
      <c r="F3351">
        <v>84560</v>
      </c>
      <c r="G3351" s="5">
        <v>43144</v>
      </c>
    </row>
    <row r="3352" spans="1:7" x14ac:dyDescent="0.4">
      <c r="A3352">
        <v>51</v>
      </c>
      <c r="B3352" t="s">
        <v>241</v>
      </c>
      <c r="C3352" s="10">
        <v>33.44</v>
      </c>
      <c r="D3352" s="10">
        <v>2.4900000000000002</v>
      </c>
      <c r="E3352" s="16">
        <v>8.0500000000000007</v>
      </c>
      <c r="F3352">
        <v>56733956</v>
      </c>
      <c r="G3352" s="5">
        <v>43144</v>
      </c>
    </row>
    <row r="3353" spans="1:7" x14ac:dyDescent="0.4">
      <c r="A3353">
        <v>52</v>
      </c>
      <c r="B3353" t="s">
        <v>320</v>
      </c>
      <c r="C3353" s="10">
        <v>3.52</v>
      </c>
      <c r="D3353" s="10">
        <v>0.26</v>
      </c>
      <c r="E3353" s="16">
        <v>7.98</v>
      </c>
      <c r="F3353">
        <v>793536</v>
      </c>
      <c r="G3353" s="5">
        <v>43144</v>
      </c>
    </row>
    <row r="3354" spans="1:7" x14ac:dyDescent="0.4">
      <c r="A3354">
        <v>53</v>
      </c>
      <c r="B3354" t="s">
        <v>1743</v>
      </c>
      <c r="C3354" s="10">
        <v>120.5</v>
      </c>
      <c r="D3354" s="10">
        <v>8.8699999999999992</v>
      </c>
      <c r="E3354" s="16">
        <v>7.95</v>
      </c>
      <c r="F3354">
        <v>1575576</v>
      </c>
      <c r="G3354" s="5">
        <v>43144</v>
      </c>
    </row>
    <row r="3355" spans="1:7" x14ac:dyDescent="0.4">
      <c r="A3355">
        <v>54</v>
      </c>
      <c r="B3355" t="s">
        <v>1362</v>
      </c>
      <c r="C3355" s="10">
        <v>9.0399999999999991</v>
      </c>
      <c r="D3355" s="10">
        <v>0.65</v>
      </c>
      <c r="E3355" s="16">
        <v>7.75</v>
      </c>
      <c r="F3355">
        <v>2472331</v>
      </c>
      <c r="G3355" s="5">
        <v>43144</v>
      </c>
    </row>
    <row r="3356" spans="1:7" x14ac:dyDescent="0.4">
      <c r="A3356">
        <v>55</v>
      </c>
      <c r="B3356" t="s">
        <v>549</v>
      </c>
      <c r="C3356" s="10">
        <v>12.49</v>
      </c>
      <c r="D3356" s="10">
        <v>0.89</v>
      </c>
      <c r="E3356" s="16">
        <v>7.72</v>
      </c>
      <c r="F3356">
        <v>3196</v>
      </c>
      <c r="G3356" s="5">
        <v>43144</v>
      </c>
    </row>
    <row r="3357" spans="1:7" x14ac:dyDescent="0.4">
      <c r="A3357">
        <v>56</v>
      </c>
      <c r="B3357" t="s">
        <v>1744</v>
      </c>
      <c r="C3357" s="10">
        <v>26</v>
      </c>
      <c r="D3357" s="10">
        <v>1.83</v>
      </c>
      <c r="E3357" s="16">
        <v>7.57</v>
      </c>
      <c r="F3357">
        <v>66714</v>
      </c>
      <c r="G3357" s="5">
        <v>43144</v>
      </c>
    </row>
    <row r="3358" spans="1:7" x14ac:dyDescent="0.4">
      <c r="A3358">
        <v>57</v>
      </c>
      <c r="B3358" t="s">
        <v>1745</v>
      </c>
      <c r="C3358" s="10">
        <v>12.85</v>
      </c>
      <c r="D3358" s="10">
        <v>0.9</v>
      </c>
      <c r="E3358" s="16">
        <v>7.53</v>
      </c>
      <c r="F3358">
        <v>335958</v>
      </c>
      <c r="G3358" s="5">
        <v>43144</v>
      </c>
    </row>
    <row r="3359" spans="1:7" x14ac:dyDescent="0.4">
      <c r="A3359">
        <v>58</v>
      </c>
      <c r="B3359" t="s">
        <v>1746</v>
      </c>
      <c r="C3359" s="10">
        <v>26.45</v>
      </c>
      <c r="D3359" s="10">
        <v>1.85</v>
      </c>
      <c r="E3359" s="16">
        <v>7.52</v>
      </c>
      <c r="F3359">
        <v>326425</v>
      </c>
      <c r="G3359" s="5">
        <v>43144</v>
      </c>
    </row>
    <row r="3360" spans="1:7" x14ac:dyDescent="0.4">
      <c r="A3360">
        <v>59</v>
      </c>
      <c r="B3360" t="s">
        <v>1747</v>
      </c>
      <c r="C3360" s="10">
        <v>67.3</v>
      </c>
      <c r="D3360" s="10">
        <v>4.7</v>
      </c>
      <c r="E3360" s="16">
        <v>7.51</v>
      </c>
      <c r="F3360">
        <v>887159</v>
      </c>
      <c r="G3360" s="5">
        <v>43144</v>
      </c>
    </row>
    <row r="3361" spans="1:7" x14ac:dyDescent="0.4">
      <c r="A3361">
        <v>60</v>
      </c>
      <c r="B3361" t="s">
        <v>1748</v>
      </c>
      <c r="C3361" s="10">
        <v>18.350000000000001</v>
      </c>
      <c r="D3361" s="10">
        <v>1.27</v>
      </c>
      <c r="E3361" s="16">
        <v>7.44</v>
      </c>
      <c r="F3361">
        <v>1033641</v>
      </c>
      <c r="G3361" s="5">
        <v>43144</v>
      </c>
    </row>
    <row r="3362" spans="1:7" x14ac:dyDescent="0.4">
      <c r="A3362">
        <v>61</v>
      </c>
      <c r="B3362" t="s">
        <v>1363</v>
      </c>
      <c r="C3362" s="10">
        <v>100.92</v>
      </c>
      <c r="D3362" s="10">
        <v>6.98</v>
      </c>
      <c r="E3362" s="16">
        <v>7.43</v>
      </c>
      <c r="F3362">
        <v>947325</v>
      </c>
      <c r="G3362" s="5">
        <v>43144</v>
      </c>
    </row>
    <row r="3363" spans="1:7" x14ac:dyDescent="0.4">
      <c r="A3363">
        <v>62</v>
      </c>
      <c r="B3363" t="s">
        <v>188</v>
      </c>
      <c r="C3363" s="10">
        <v>2.9</v>
      </c>
      <c r="D3363" s="10">
        <v>0.2</v>
      </c>
      <c r="E3363" s="16">
        <v>7.41</v>
      </c>
      <c r="F3363">
        <v>357852</v>
      </c>
      <c r="G3363" s="5">
        <v>43144</v>
      </c>
    </row>
    <row r="3364" spans="1:7" x14ac:dyDescent="0.4">
      <c r="A3364">
        <v>63</v>
      </c>
      <c r="B3364" t="s">
        <v>1749</v>
      </c>
      <c r="C3364" s="10">
        <v>9.7799999999999994</v>
      </c>
      <c r="D3364" s="10">
        <v>0.67</v>
      </c>
      <c r="E3364" s="16">
        <v>7.35</v>
      </c>
      <c r="F3364">
        <v>3215021</v>
      </c>
      <c r="G3364" s="5">
        <v>43144</v>
      </c>
    </row>
    <row r="3365" spans="1:7" x14ac:dyDescent="0.4">
      <c r="A3365">
        <v>64</v>
      </c>
      <c r="B3365" t="s">
        <v>1750</v>
      </c>
      <c r="C3365" s="10">
        <v>14.17</v>
      </c>
      <c r="D3365" s="10">
        <v>0.97</v>
      </c>
      <c r="E3365" s="16">
        <v>7.35</v>
      </c>
      <c r="F3365">
        <v>561432</v>
      </c>
      <c r="G3365" s="5">
        <v>43144</v>
      </c>
    </row>
    <row r="3366" spans="1:7" x14ac:dyDescent="0.4">
      <c r="A3366">
        <v>65</v>
      </c>
      <c r="B3366" t="s">
        <v>1463</v>
      </c>
      <c r="C3366" s="10">
        <v>40.11</v>
      </c>
      <c r="D3366" s="10">
        <v>2.74</v>
      </c>
      <c r="E3366" s="16">
        <v>7.33</v>
      </c>
      <c r="F3366">
        <v>609010</v>
      </c>
      <c r="G3366" s="5">
        <v>43144</v>
      </c>
    </row>
    <row r="3367" spans="1:7" x14ac:dyDescent="0.4">
      <c r="A3367">
        <v>66</v>
      </c>
      <c r="B3367" t="s">
        <v>1751</v>
      </c>
      <c r="C3367" s="10">
        <v>8.3800000000000008</v>
      </c>
      <c r="D3367" s="10">
        <v>0.56999999999999995</v>
      </c>
      <c r="E3367" s="16">
        <v>7.3</v>
      </c>
      <c r="F3367">
        <v>1325533</v>
      </c>
      <c r="G3367" s="5">
        <v>43144</v>
      </c>
    </row>
    <row r="3368" spans="1:7" x14ac:dyDescent="0.4">
      <c r="A3368">
        <v>67</v>
      </c>
      <c r="B3368" t="s">
        <v>407</v>
      </c>
      <c r="C3368" s="10">
        <v>22.09</v>
      </c>
      <c r="D3368" s="10">
        <v>1.5</v>
      </c>
      <c r="E3368" s="16">
        <v>7.29</v>
      </c>
      <c r="F3368">
        <v>35359</v>
      </c>
      <c r="G3368" s="5">
        <v>43144</v>
      </c>
    </row>
    <row r="3369" spans="1:7" x14ac:dyDescent="0.4">
      <c r="A3369">
        <v>68</v>
      </c>
      <c r="B3369" t="s">
        <v>920</v>
      </c>
      <c r="C3369" s="10">
        <v>4.6100000000000003</v>
      </c>
      <c r="D3369" s="10">
        <v>0.31</v>
      </c>
      <c r="E3369" s="16">
        <v>7.21</v>
      </c>
      <c r="F3369">
        <v>16173</v>
      </c>
      <c r="G3369" s="5">
        <v>43144</v>
      </c>
    </row>
    <row r="3370" spans="1:7" x14ac:dyDescent="0.4">
      <c r="A3370">
        <v>69</v>
      </c>
      <c r="B3370" t="s">
        <v>1752</v>
      </c>
      <c r="C3370" s="10">
        <v>38.799999999999997</v>
      </c>
      <c r="D3370" s="10">
        <v>2.6</v>
      </c>
      <c r="E3370" s="16">
        <v>7.18</v>
      </c>
      <c r="F3370">
        <v>2105176</v>
      </c>
      <c r="G3370" s="5">
        <v>43144</v>
      </c>
    </row>
    <row r="3371" spans="1:7" x14ac:dyDescent="0.4">
      <c r="A3371">
        <v>70</v>
      </c>
      <c r="B3371" t="s">
        <v>386</v>
      </c>
      <c r="C3371" s="10">
        <v>3.29</v>
      </c>
      <c r="D3371" s="10">
        <v>0.22</v>
      </c>
      <c r="E3371" s="16">
        <v>7.17</v>
      </c>
      <c r="F3371">
        <v>2910581</v>
      </c>
      <c r="G3371" s="5">
        <v>43144</v>
      </c>
    </row>
    <row r="3372" spans="1:7" x14ac:dyDescent="0.4">
      <c r="A3372">
        <v>71</v>
      </c>
      <c r="B3372" t="s">
        <v>111</v>
      </c>
      <c r="C3372" s="10">
        <v>5.84</v>
      </c>
      <c r="D3372" s="10">
        <v>0.39</v>
      </c>
      <c r="E3372" s="16">
        <v>7.16</v>
      </c>
      <c r="F3372">
        <v>142377</v>
      </c>
      <c r="G3372" s="5">
        <v>43144</v>
      </c>
    </row>
    <row r="3373" spans="1:7" x14ac:dyDescent="0.4">
      <c r="A3373">
        <v>72</v>
      </c>
      <c r="B3373" t="s">
        <v>299</v>
      </c>
      <c r="C3373" s="10">
        <v>6</v>
      </c>
      <c r="D3373" s="10">
        <v>0.4</v>
      </c>
      <c r="E3373" s="16">
        <v>7.14</v>
      </c>
      <c r="F3373">
        <v>65346</v>
      </c>
      <c r="G3373" s="5">
        <v>43144</v>
      </c>
    </row>
    <row r="3374" spans="1:7" x14ac:dyDescent="0.4">
      <c r="A3374">
        <v>73</v>
      </c>
      <c r="B3374" t="s">
        <v>248</v>
      </c>
      <c r="C3374" s="10">
        <v>2.85</v>
      </c>
      <c r="D3374" s="10">
        <v>0.19</v>
      </c>
      <c r="E3374" s="16">
        <v>7.14</v>
      </c>
      <c r="F3374">
        <v>1095774</v>
      </c>
      <c r="G3374" s="5">
        <v>43144</v>
      </c>
    </row>
    <row r="3375" spans="1:7" x14ac:dyDescent="0.4">
      <c r="A3375">
        <v>74</v>
      </c>
      <c r="B3375" t="s">
        <v>1695</v>
      </c>
      <c r="C3375" s="10">
        <v>57.15</v>
      </c>
      <c r="D3375" s="10">
        <v>3.8</v>
      </c>
      <c r="E3375" s="16">
        <v>7.12</v>
      </c>
      <c r="F3375">
        <v>1288106</v>
      </c>
      <c r="G3375" s="5">
        <v>43144</v>
      </c>
    </row>
    <row r="3376" spans="1:7" x14ac:dyDescent="0.4">
      <c r="A3376">
        <v>75</v>
      </c>
      <c r="B3376" t="s">
        <v>511</v>
      </c>
      <c r="C3376" s="10">
        <v>7.38</v>
      </c>
      <c r="D3376" s="10">
        <v>0.49</v>
      </c>
      <c r="E3376" s="16">
        <v>7.11</v>
      </c>
      <c r="F3376">
        <v>3795142</v>
      </c>
      <c r="G3376" s="5">
        <v>43144</v>
      </c>
    </row>
    <row r="3377" spans="1:7" x14ac:dyDescent="0.4">
      <c r="A3377">
        <v>76</v>
      </c>
      <c r="B3377" t="s">
        <v>1010</v>
      </c>
      <c r="C3377" s="10">
        <v>14.97</v>
      </c>
      <c r="D3377" s="10">
        <v>0.99</v>
      </c>
      <c r="E3377" s="16">
        <v>7.08</v>
      </c>
      <c r="F3377">
        <v>452195</v>
      </c>
      <c r="G3377" s="5">
        <v>43144</v>
      </c>
    </row>
    <row r="3378" spans="1:7" x14ac:dyDescent="0.4">
      <c r="A3378">
        <v>77</v>
      </c>
      <c r="B3378" t="s">
        <v>1753</v>
      </c>
      <c r="C3378" s="10">
        <v>30.45</v>
      </c>
      <c r="D3378" s="10">
        <v>2.0099999999999998</v>
      </c>
      <c r="E3378" s="16">
        <v>7.07</v>
      </c>
      <c r="F3378">
        <v>4446089</v>
      </c>
      <c r="G3378" s="5">
        <v>43144</v>
      </c>
    </row>
    <row r="3379" spans="1:7" x14ac:dyDescent="0.4">
      <c r="A3379">
        <v>78</v>
      </c>
      <c r="B3379" t="s">
        <v>1754</v>
      </c>
      <c r="C3379" s="10">
        <v>9.09</v>
      </c>
      <c r="D3379" s="10">
        <v>0.6</v>
      </c>
      <c r="E3379" s="16">
        <v>7.01</v>
      </c>
      <c r="F3379">
        <v>41193</v>
      </c>
      <c r="G3379" s="5">
        <v>43144</v>
      </c>
    </row>
    <row r="3380" spans="1:7" x14ac:dyDescent="0.4">
      <c r="A3380">
        <v>79</v>
      </c>
      <c r="B3380" t="s">
        <v>71</v>
      </c>
      <c r="C3380" s="10">
        <v>29.8</v>
      </c>
      <c r="D3380" s="10">
        <v>1.95</v>
      </c>
      <c r="E3380" s="16">
        <v>7</v>
      </c>
      <c r="F3380">
        <v>52551</v>
      </c>
      <c r="G3380" s="5">
        <v>43144</v>
      </c>
    </row>
    <row r="3381" spans="1:7" x14ac:dyDescent="0.4">
      <c r="A3381">
        <v>80</v>
      </c>
      <c r="B3381" t="s">
        <v>1755</v>
      </c>
      <c r="C3381" s="10">
        <v>19.899999999999999</v>
      </c>
      <c r="D3381" s="10">
        <v>1.3</v>
      </c>
      <c r="E3381" s="16">
        <v>6.99</v>
      </c>
      <c r="F3381">
        <v>1269687</v>
      </c>
      <c r="G3381" s="5">
        <v>43144</v>
      </c>
    </row>
    <row r="3382" spans="1:7" x14ac:dyDescent="0.4">
      <c r="A3382">
        <v>81</v>
      </c>
      <c r="B3382" t="s">
        <v>1756</v>
      </c>
      <c r="C3382" s="10">
        <v>38.35</v>
      </c>
      <c r="D3382" s="10">
        <v>2.5</v>
      </c>
      <c r="E3382" s="16">
        <v>6.97</v>
      </c>
      <c r="F3382">
        <v>50606</v>
      </c>
      <c r="G3382" s="5">
        <v>43144</v>
      </c>
    </row>
    <row r="3383" spans="1:7" x14ac:dyDescent="0.4">
      <c r="A3383">
        <v>82</v>
      </c>
      <c r="B3383" t="s">
        <v>1757</v>
      </c>
      <c r="C3383" s="10">
        <v>3.24</v>
      </c>
      <c r="D3383" s="10">
        <v>0.21</v>
      </c>
      <c r="E3383" s="16">
        <v>6.93</v>
      </c>
      <c r="F3383">
        <v>102486</v>
      </c>
      <c r="G3383" s="5">
        <v>43144</v>
      </c>
    </row>
    <row r="3384" spans="1:7" x14ac:dyDescent="0.4">
      <c r="A3384">
        <v>83</v>
      </c>
      <c r="B3384" t="s">
        <v>537</v>
      </c>
      <c r="C3384" s="10">
        <v>6.4</v>
      </c>
      <c r="D3384" s="10">
        <v>0.41</v>
      </c>
      <c r="E3384" s="16">
        <v>6.84</v>
      </c>
      <c r="F3384">
        <v>1549409</v>
      </c>
      <c r="G3384" s="5">
        <v>43144</v>
      </c>
    </row>
    <row r="3385" spans="1:7" x14ac:dyDescent="0.4">
      <c r="A3385">
        <v>84</v>
      </c>
      <c r="B3385" t="s">
        <v>714</v>
      </c>
      <c r="C3385" s="10">
        <v>16</v>
      </c>
      <c r="D3385" s="10">
        <v>1.02</v>
      </c>
      <c r="E3385" s="16">
        <v>6.81</v>
      </c>
      <c r="F3385">
        <v>268212</v>
      </c>
      <c r="G3385" s="5">
        <v>43144</v>
      </c>
    </row>
    <row r="3386" spans="1:7" x14ac:dyDescent="0.4">
      <c r="A3386">
        <v>85</v>
      </c>
      <c r="B3386" t="s">
        <v>1758</v>
      </c>
      <c r="C3386" s="10">
        <v>17.489999999999998</v>
      </c>
      <c r="D3386" s="10">
        <v>1.1000000000000001</v>
      </c>
      <c r="E3386" s="16">
        <v>6.71</v>
      </c>
      <c r="F3386">
        <v>32288160</v>
      </c>
      <c r="G3386" s="5">
        <v>43144</v>
      </c>
    </row>
    <row r="3387" spans="1:7" x14ac:dyDescent="0.4">
      <c r="A3387">
        <v>86</v>
      </c>
      <c r="B3387" t="s">
        <v>1493</v>
      </c>
      <c r="C3387" s="10">
        <v>7.8</v>
      </c>
      <c r="D3387" s="10">
        <v>0.49</v>
      </c>
      <c r="E3387" s="16">
        <v>6.7</v>
      </c>
      <c r="F3387">
        <v>48372</v>
      </c>
      <c r="G3387" s="5">
        <v>43144</v>
      </c>
    </row>
    <row r="3388" spans="1:7" x14ac:dyDescent="0.4">
      <c r="A3388">
        <v>87</v>
      </c>
      <c r="B3388" t="s">
        <v>250</v>
      </c>
      <c r="C3388" s="10">
        <v>2.41</v>
      </c>
      <c r="D3388" s="10">
        <v>0.15</v>
      </c>
      <c r="E3388" s="16">
        <v>6.68</v>
      </c>
      <c r="F3388">
        <v>209482</v>
      </c>
      <c r="G3388" s="5">
        <v>43144</v>
      </c>
    </row>
    <row r="3389" spans="1:7" x14ac:dyDescent="0.4">
      <c r="A3389">
        <v>88</v>
      </c>
      <c r="B3389" t="s">
        <v>525</v>
      </c>
      <c r="C3389" s="10">
        <v>3.2</v>
      </c>
      <c r="D3389" s="10">
        <v>0.2</v>
      </c>
      <c r="E3389" s="16">
        <v>6.67</v>
      </c>
      <c r="F3389">
        <v>43946</v>
      </c>
      <c r="G3389" s="5">
        <v>43144</v>
      </c>
    </row>
    <row r="3390" spans="1:7" x14ac:dyDescent="0.4">
      <c r="A3390">
        <v>89</v>
      </c>
      <c r="B3390" t="s">
        <v>1077</v>
      </c>
      <c r="C3390" s="10">
        <v>11.52</v>
      </c>
      <c r="D3390" s="10">
        <v>0.72</v>
      </c>
      <c r="E3390" s="16">
        <v>6.67</v>
      </c>
      <c r="F3390">
        <v>99311</v>
      </c>
      <c r="G3390" s="5">
        <v>43144</v>
      </c>
    </row>
    <row r="3391" spans="1:7" x14ac:dyDescent="0.4">
      <c r="A3391">
        <v>90</v>
      </c>
      <c r="B3391" t="s">
        <v>291</v>
      </c>
      <c r="C3391" s="10">
        <v>22.6</v>
      </c>
      <c r="D3391" s="10">
        <v>1.41</v>
      </c>
      <c r="E3391" s="16">
        <v>6.65</v>
      </c>
      <c r="F3391">
        <v>256301</v>
      </c>
      <c r="G3391" s="5">
        <v>43144</v>
      </c>
    </row>
    <row r="3392" spans="1:7" x14ac:dyDescent="0.4">
      <c r="A3392">
        <v>91</v>
      </c>
      <c r="B3392" t="s">
        <v>159</v>
      </c>
      <c r="C3392" s="10">
        <v>2.2200000000000002</v>
      </c>
      <c r="D3392" s="10">
        <v>0.14000000000000001</v>
      </c>
      <c r="E3392" s="16">
        <v>6.63</v>
      </c>
      <c r="F3392">
        <v>29288</v>
      </c>
      <c r="G3392" s="5">
        <v>43144</v>
      </c>
    </row>
    <row r="3393" spans="1:7" x14ac:dyDescent="0.4">
      <c r="A3393">
        <v>92</v>
      </c>
      <c r="B3393" t="s">
        <v>648</v>
      </c>
      <c r="C3393" s="10">
        <v>5.65</v>
      </c>
      <c r="D3393" s="10">
        <v>0.35</v>
      </c>
      <c r="E3393" s="16">
        <v>6.6</v>
      </c>
      <c r="F3393">
        <v>166398</v>
      </c>
      <c r="G3393" s="5">
        <v>43144</v>
      </c>
    </row>
    <row r="3394" spans="1:7" x14ac:dyDescent="0.4">
      <c r="A3394">
        <v>93</v>
      </c>
      <c r="B3394" t="s">
        <v>70</v>
      </c>
      <c r="C3394" s="10">
        <v>3.25</v>
      </c>
      <c r="D3394" s="10">
        <v>0.2</v>
      </c>
      <c r="E3394" s="16">
        <v>6.56</v>
      </c>
      <c r="F3394">
        <v>60922</v>
      </c>
      <c r="G3394" s="5">
        <v>43144</v>
      </c>
    </row>
    <row r="3395" spans="1:7" x14ac:dyDescent="0.4">
      <c r="A3395">
        <v>94</v>
      </c>
      <c r="B3395" t="s">
        <v>1131</v>
      </c>
      <c r="C3395" s="10">
        <v>7.35</v>
      </c>
      <c r="D3395" s="10">
        <v>0.45</v>
      </c>
      <c r="E3395" s="16">
        <v>6.52</v>
      </c>
      <c r="F3395">
        <v>841802</v>
      </c>
      <c r="G3395" s="5">
        <v>43144</v>
      </c>
    </row>
    <row r="3396" spans="1:7" x14ac:dyDescent="0.4">
      <c r="A3396">
        <v>95</v>
      </c>
      <c r="B3396" t="s">
        <v>273</v>
      </c>
      <c r="C3396" s="10">
        <v>6.6</v>
      </c>
      <c r="D3396" s="10">
        <v>0.4</v>
      </c>
      <c r="E3396" s="16">
        <v>6.45</v>
      </c>
      <c r="F3396">
        <v>611698</v>
      </c>
      <c r="G3396" s="5">
        <v>43144</v>
      </c>
    </row>
    <row r="3397" spans="1:7" x14ac:dyDescent="0.4">
      <c r="A3397">
        <v>96</v>
      </c>
      <c r="B3397" t="s">
        <v>461</v>
      </c>
      <c r="C3397" s="10">
        <v>9.4499999999999993</v>
      </c>
      <c r="D3397" s="10">
        <v>0.56999999999999995</v>
      </c>
      <c r="E3397" s="16">
        <v>6.42</v>
      </c>
      <c r="F3397">
        <v>1464151</v>
      </c>
      <c r="G3397" s="5">
        <v>43144</v>
      </c>
    </row>
    <row r="3398" spans="1:7" x14ac:dyDescent="0.4">
      <c r="A3398">
        <v>97</v>
      </c>
      <c r="B3398" t="s">
        <v>1127</v>
      </c>
      <c r="C3398" s="10">
        <v>3.32</v>
      </c>
      <c r="D3398" s="10">
        <v>0.2</v>
      </c>
      <c r="E3398" s="16">
        <v>6.41</v>
      </c>
      <c r="F3398">
        <v>347073</v>
      </c>
      <c r="G3398" s="5">
        <v>43144</v>
      </c>
    </row>
    <row r="3399" spans="1:7" x14ac:dyDescent="0.4">
      <c r="A3399">
        <v>98</v>
      </c>
      <c r="B3399" t="s">
        <v>1719</v>
      </c>
      <c r="C3399" s="10">
        <v>114.16</v>
      </c>
      <c r="D3399" s="10">
        <v>6.87</v>
      </c>
      <c r="E3399" s="16">
        <v>6.4</v>
      </c>
      <c r="F3399">
        <v>228718</v>
      </c>
      <c r="G3399" s="5">
        <v>43144</v>
      </c>
    </row>
    <row r="3400" spans="1:7" x14ac:dyDescent="0.4">
      <c r="A3400">
        <v>99</v>
      </c>
      <c r="B3400" t="s">
        <v>1759</v>
      </c>
      <c r="C3400" s="10">
        <v>57.25</v>
      </c>
      <c r="D3400" s="10">
        <v>3.4</v>
      </c>
      <c r="E3400" s="16">
        <v>6.31</v>
      </c>
      <c r="F3400">
        <v>188251</v>
      </c>
      <c r="G3400" s="5">
        <v>43144</v>
      </c>
    </row>
    <row r="3401" spans="1:7" x14ac:dyDescent="0.4">
      <c r="A3401">
        <v>100</v>
      </c>
      <c r="B3401" t="s">
        <v>1760</v>
      </c>
      <c r="C3401" s="10">
        <v>2.19</v>
      </c>
      <c r="D3401" s="10">
        <v>0.13</v>
      </c>
      <c r="E3401" s="16">
        <v>6.31</v>
      </c>
      <c r="F3401">
        <v>415529</v>
      </c>
      <c r="G3401" s="5">
        <v>43144</v>
      </c>
    </row>
    <row r="3402" spans="1:7" x14ac:dyDescent="0.4">
      <c r="A3402">
        <v>1</v>
      </c>
      <c r="B3402" t="s">
        <v>913</v>
      </c>
      <c r="C3402" s="10">
        <v>4.41</v>
      </c>
      <c r="D3402" s="10">
        <v>1.1000000000000001</v>
      </c>
      <c r="E3402" s="16">
        <v>33.270000000000003</v>
      </c>
      <c r="F3402">
        <v>165297</v>
      </c>
      <c r="G3402" s="5">
        <v>43140</v>
      </c>
    </row>
    <row r="3403" spans="1:7" x14ac:dyDescent="0.4">
      <c r="A3403">
        <v>2</v>
      </c>
      <c r="B3403" t="s">
        <v>1761</v>
      </c>
      <c r="C3403" s="10">
        <v>8.35</v>
      </c>
      <c r="D3403" s="10">
        <v>1.8</v>
      </c>
      <c r="E3403" s="16">
        <v>27.48</v>
      </c>
      <c r="F3403">
        <v>1886940</v>
      </c>
      <c r="G3403" s="5">
        <v>43140</v>
      </c>
    </row>
    <row r="3404" spans="1:7" x14ac:dyDescent="0.4">
      <c r="A3404">
        <v>3</v>
      </c>
      <c r="B3404" t="s">
        <v>109</v>
      </c>
      <c r="C3404" s="10">
        <v>15.95</v>
      </c>
      <c r="D3404" s="10">
        <v>2.95</v>
      </c>
      <c r="E3404" s="16">
        <v>22.69</v>
      </c>
      <c r="F3404">
        <v>815480</v>
      </c>
      <c r="G3404" s="5">
        <v>43140</v>
      </c>
    </row>
    <row r="3405" spans="1:7" x14ac:dyDescent="0.4">
      <c r="A3405">
        <v>4</v>
      </c>
      <c r="B3405" t="s">
        <v>1762</v>
      </c>
      <c r="C3405" s="10">
        <v>3.71</v>
      </c>
      <c r="D3405" s="10">
        <v>0.66</v>
      </c>
      <c r="E3405" s="16">
        <v>21.64</v>
      </c>
      <c r="F3405">
        <v>7190855</v>
      </c>
      <c r="G3405" s="5">
        <v>43140</v>
      </c>
    </row>
    <row r="3406" spans="1:7" x14ac:dyDescent="0.4">
      <c r="A3406">
        <v>5</v>
      </c>
      <c r="B3406" t="s">
        <v>461</v>
      </c>
      <c r="C3406" s="10">
        <v>8.59</v>
      </c>
      <c r="D3406" s="10">
        <v>1.44</v>
      </c>
      <c r="E3406" s="16">
        <v>20.14</v>
      </c>
      <c r="F3406">
        <v>2004862</v>
      </c>
      <c r="G3406" s="5">
        <v>43140</v>
      </c>
    </row>
    <row r="3407" spans="1:7" x14ac:dyDescent="0.4">
      <c r="A3407">
        <v>6</v>
      </c>
      <c r="B3407" t="s">
        <v>1269</v>
      </c>
      <c r="C3407" s="10">
        <v>4.8</v>
      </c>
      <c r="D3407" s="10">
        <v>0.8</v>
      </c>
      <c r="E3407" s="16">
        <v>20</v>
      </c>
      <c r="F3407">
        <v>1955347</v>
      </c>
      <c r="G3407" s="5">
        <v>43140</v>
      </c>
    </row>
    <row r="3408" spans="1:7" x14ac:dyDescent="0.4">
      <c r="A3408">
        <v>7</v>
      </c>
      <c r="B3408" t="s">
        <v>552</v>
      </c>
      <c r="C3408" s="10">
        <v>27.55</v>
      </c>
      <c r="D3408" s="10">
        <v>4.5</v>
      </c>
      <c r="E3408" s="16">
        <v>19.52</v>
      </c>
      <c r="F3408">
        <v>795526</v>
      </c>
      <c r="G3408" s="5">
        <v>43140</v>
      </c>
    </row>
    <row r="3409" spans="1:7" x14ac:dyDescent="0.4">
      <c r="A3409">
        <v>8</v>
      </c>
      <c r="B3409" t="s">
        <v>1763</v>
      </c>
      <c r="C3409" s="10">
        <v>9.9</v>
      </c>
      <c r="D3409" s="10">
        <v>1.55</v>
      </c>
      <c r="E3409" s="16">
        <v>18.559999999999999</v>
      </c>
      <c r="F3409">
        <v>2307518</v>
      </c>
      <c r="G3409" s="5">
        <v>43140</v>
      </c>
    </row>
    <row r="3410" spans="1:7" x14ac:dyDescent="0.4">
      <c r="A3410">
        <v>9</v>
      </c>
      <c r="B3410" t="s">
        <v>1764</v>
      </c>
      <c r="C3410" s="10">
        <v>26.32</v>
      </c>
      <c r="D3410" s="10">
        <v>4.07</v>
      </c>
      <c r="E3410" s="16">
        <v>18.29</v>
      </c>
      <c r="F3410">
        <v>690240</v>
      </c>
      <c r="G3410" s="5">
        <v>43140</v>
      </c>
    </row>
    <row r="3411" spans="1:7" x14ac:dyDescent="0.4">
      <c r="A3411">
        <v>10</v>
      </c>
      <c r="B3411" t="s">
        <v>709</v>
      </c>
      <c r="C3411" s="10">
        <v>4.43</v>
      </c>
      <c r="D3411" s="10">
        <v>0.68</v>
      </c>
      <c r="E3411" s="16">
        <v>18.13</v>
      </c>
      <c r="F3411">
        <v>1249839</v>
      </c>
      <c r="G3411" s="5">
        <v>43140</v>
      </c>
    </row>
    <row r="3412" spans="1:7" x14ac:dyDescent="0.4">
      <c r="A3412">
        <v>11</v>
      </c>
      <c r="B3412" t="s">
        <v>1136</v>
      </c>
      <c r="C3412" s="10">
        <v>32.15</v>
      </c>
      <c r="D3412" s="10">
        <v>4.87</v>
      </c>
      <c r="E3412" s="16">
        <v>17.850000000000001</v>
      </c>
      <c r="F3412">
        <v>2085019</v>
      </c>
      <c r="G3412" s="5">
        <v>43140</v>
      </c>
    </row>
    <row r="3413" spans="1:7" x14ac:dyDescent="0.4">
      <c r="A3413">
        <v>12</v>
      </c>
      <c r="B3413" t="s">
        <v>1068</v>
      </c>
      <c r="C3413" s="10">
        <v>3.5</v>
      </c>
      <c r="D3413" s="10">
        <v>0.5</v>
      </c>
      <c r="E3413" s="16">
        <v>16.670000000000002</v>
      </c>
      <c r="F3413">
        <v>94319</v>
      </c>
      <c r="G3413" s="5">
        <v>43140</v>
      </c>
    </row>
    <row r="3414" spans="1:7" x14ac:dyDescent="0.4">
      <c r="A3414">
        <v>13</v>
      </c>
      <c r="B3414" t="s">
        <v>1765</v>
      </c>
      <c r="C3414" s="10">
        <v>10.050000000000001</v>
      </c>
      <c r="D3414" s="10">
        <v>1.4</v>
      </c>
      <c r="E3414" s="16">
        <v>16.18</v>
      </c>
      <c r="F3414">
        <v>284424</v>
      </c>
      <c r="G3414" s="5">
        <v>43140</v>
      </c>
    </row>
    <row r="3415" spans="1:7" x14ac:dyDescent="0.4">
      <c r="A3415">
        <v>14</v>
      </c>
      <c r="B3415" t="s">
        <v>1766</v>
      </c>
      <c r="C3415" s="10">
        <v>4.5</v>
      </c>
      <c r="D3415" s="10">
        <v>0.59</v>
      </c>
      <c r="E3415" s="16">
        <v>15.09</v>
      </c>
      <c r="F3415">
        <v>75907</v>
      </c>
      <c r="G3415" s="5">
        <v>43140</v>
      </c>
    </row>
    <row r="3416" spans="1:7" x14ac:dyDescent="0.4">
      <c r="A3416">
        <v>15</v>
      </c>
      <c r="B3416" t="s">
        <v>714</v>
      </c>
      <c r="C3416" s="10">
        <v>15.31</v>
      </c>
      <c r="D3416" s="10">
        <v>1.91</v>
      </c>
      <c r="E3416" s="16">
        <v>14.25</v>
      </c>
      <c r="F3416">
        <v>554055</v>
      </c>
      <c r="G3416" s="5">
        <v>43140</v>
      </c>
    </row>
    <row r="3417" spans="1:7" x14ac:dyDescent="0.4">
      <c r="A3417">
        <v>16</v>
      </c>
      <c r="B3417" t="s">
        <v>500</v>
      </c>
      <c r="C3417" s="10">
        <v>3.59</v>
      </c>
      <c r="D3417" s="10">
        <v>0.44</v>
      </c>
      <c r="E3417" s="16">
        <v>13.97</v>
      </c>
      <c r="F3417">
        <v>99399</v>
      </c>
      <c r="G3417" s="5">
        <v>43140</v>
      </c>
    </row>
    <row r="3418" spans="1:7" x14ac:dyDescent="0.4">
      <c r="A3418">
        <v>17</v>
      </c>
      <c r="B3418" t="s">
        <v>1666</v>
      </c>
      <c r="C3418" s="10">
        <v>6.58</v>
      </c>
      <c r="D3418" s="10">
        <v>0.8</v>
      </c>
      <c r="E3418" s="16">
        <v>13.84</v>
      </c>
      <c r="F3418">
        <v>696614</v>
      </c>
      <c r="G3418" s="5">
        <v>43140</v>
      </c>
    </row>
    <row r="3419" spans="1:7" x14ac:dyDescent="0.4">
      <c r="A3419">
        <v>18</v>
      </c>
      <c r="B3419" t="s">
        <v>544</v>
      </c>
      <c r="C3419" s="10">
        <v>41.7</v>
      </c>
      <c r="D3419" s="10">
        <v>5</v>
      </c>
      <c r="E3419" s="16">
        <v>13.62</v>
      </c>
      <c r="F3419">
        <v>922678</v>
      </c>
      <c r="G3419" s="5">
        <v>43140</v>
      </c>
    </row>
    <row r="3420" spans="1:7" x14ac:dyDescent="0.4">
      <c r="A3420">
        <v>19</v>
      </c>
      <c r="B3420" t="s">
        <v>1518</v>
      </c>
      <c r="C3420" s="10">
        <v>10.86</v>
      </c>
      <c r="D3420" s="10">
        <v>1.28</v>
      </c>
      <c r="E3420" s="16">
        <v>13.36</v>
      </c>
      <c r="F3420">
        <v>45509746</v>
      </c>
      <c r="G3420" s="5">
        <v>43140</v>
      </c>
    </row>
    <row r="3421" spans="1:7" x14ac:dyDescent="0.4">
      <c r="A3421">
        <v>20</v>
      </c>
      <c r="B3421" t="s">
        <v>1066</v>
      </c>
      <c r="C3421" s="10">
        <v>7.01</v>
      </c>
      <c r="D3421" s="10">
        <v>0.82</v>
      </c>
      <c r="E3421" s="16">
        <v>13.25</v>
      </c>
      <c r="F3421">
        <v>2422018</v>
      </c>
      <c r="G3421" s="5">
        <v>43140</v>
      </c>
    </row>
    <row r="3422" spans="1:7" x14ac:dyDescent="0.4">
      <c r="A3422">
        <v>21</v>
      </c>
      <c r="B3422" t="s">
        <v>1736</v>
      </c>
      <c r="C3422" s="10">
        <v>15.43</v>
      </c>
      <c r="D3422" s="10">
        <v>1.63</v>
      </c>
      <c r="E3422" s="16">
        <v>11.81</v>
      </c>
      <c r="F3422">
        <v>2739109</v>
      </c>
      <c r="G3422" s="5">
        <v>43140</v>
      </c>
    </row>
    <row r="3423" spans="1:7" x14ac:dyDescent="0.4">
      <c r="A3423">
        <v>22</v>
      </c>
      <c r="B3423" t="s">
        <v>340</v>
      </c>
      <c r="C3423" s="10">
        <v>5.37</v>
      </c>
      <c r="D3423" s="10">
        <v>0.56000000000000005</v>
      </c>
      <c r="E3423" s="16">
        <v>11.69</v>
      </c>
      <c r="F3423">
        <v>36837</v>
      </c>
      <c r="G3423" s="5">
        <v>43140</v>
      </c>
    </row>
    <row r="3424" spans="1:7" x14ac:dyDescent="0.4">
      <c r="A3424">
        <v>23</v>
      </c>
      <c r="B3424" t="s">
        <v>1767</v>
      </c>
      <c r="C3424" s="10">
        <v>33.4</v>
      </c>
      <c r="D3424" s="10">
        <v>3.4</v>
      </c>
      <c r="E3424" s="16">
        <v>11.33</v>
      </c>
      <c r="F3424">
        <v>744785</v>
      </c>
      <c r="G3424" s="5">
        <v>43140</v>
      </c>
    </row>
    <row r="3425" spans="1:7" x14ac:dyDescent="0.4">
      <c r="A3425">
        <v>24</v>
      </c>
      <c r="B3425" t="s">
        <v>504</v>
      </c>
      <c r="C3425" s="10">
        <v>6.45</v>
      </c>
      <c r="D3425" s="10">
        <v>0.65</v>
      </c>
      <c r="E3425" s="16">
        <v>11.21</v>
      </c>
      <c r="F3425">
        <v>185990</v>
      </c>
      <c r="G3425" s="5">
        <v>43140</v>
      </c>
    </row>
    <row r="3426" spans="1:7" x14ac:dyDescent="0.4">
      <c r="A3426">
        <v>25</v>
      </c>
      <c r="B3426" t="s">
        <v>990</v>
      </c>
      <c r="C3426" s="10">
        <v>7.95</v>
      </c>
      <c r="D3426" s="10">
        <v>0.8</v>
      </c>
      <c r="E3426" s="16">
        <v>11.19</v>
      </c>
      <c r="F3426">
        <v>1450486</v>
      </c>
      <c r="G3426" s="5">
        <v>43140</v>
      </c>
    </row>
    <row r="3427" spans="1:7" x14ac:dyDescent="0.4">
      <c r="A3427">
        <v>26</v>
      </c>
      <c r="B3427" t="s">
        <v>579</v>
      </c>
      <c r="C3427" s="10">
        <v>3</v>
      </c>
      <c r="D3427" s="10">
        <v>0.3</v>
      </c>
      <c r="E3427" s="16">
        <v>11.11</v>
      </c>
      <c r="F3427">
        <v>43757</v>
      </c>
      <c r="G3427" s="5">
        <v>43140</v>
      </c>
    </row>
    <row r="3428" spans="1:7" x14ac:dyDescent="0.4">
      <c r="A3428">
        <v>27</v>
      </c>
      <c r="B3428" t="s">
        <v>1768</v>
      </c>
      <c r="C3428" s="10">
        <v>2.2400000000000002</v>
      </c>
      <c r="D3428" s="10">
        <v>0.22</v>
      </c>
      <c r="E3428" s="16">
        <v>10.89</v>
      </c>
      <c r="F3428">
        <v>18285</v>
      </c>
      <c r="G3428" s="5">
        <v>43140</v>
      </c>
    </row>
    <row r="3429" spans="1:7" x14ac:dyDescent="0.4">
      <c r="A3429">
        <v>28</v>
      </c>
      <c r="B3429" t="s">
        <v>1769</v>
      </c>
      <c r="C3429" s="10">
        <v>46.55</v>
      </c>
      <c r="D3429" s="10">
        <v>4.5</v>
      </c>
      <c r="E3429" s="16">
        <v>10.7</v>
      </c>
      <c r="F3429">
        <v>2132992</v>
      </c>
      <c r="G3429" s="5">
        <v>43140</v>
      </c>
    </row>
    <row r="3430" spans="1:7" x14ac:dyDescent="0.4">
      <c r="A3430">
        <v>29</v>
      </c>
      <c r="B3430" t="s">
        <v>494</v>
      </c>
      <c r="C3430" s="10">
        <v>15.55</v>
      </c>
      <c r="D3430" s="10">
        <v>1.45</v>
      </c>
      <c r="E3430" s="16">
        <v>10.28</v>
      </c>
      <c r="F3430">
        <v>503269</v>
      </c>
      <c r="G3430" s="5">
        <v>43140</v>
      </c>
    </row>
    <row r="3431" spans="1:7" x14ac:dyDescent="0.4">
      <c r="A3431">
        <v>30</v>
      </c>
      <c r="B3431" t="s">
        <v>115</v>
      </c>
      <c r="C3431" s="10">
        <v>4.17</v>
      </c>
      <c r="D3431" s="10">
        <v>0.38</v>
      </c>
      <c r="E3431" s="16">
        <v>10.029999999999999</v>
      </c>
      <c r="F3431">
        <v>87254</v>
      </c>
      <c r="G3431" s="5">
        <v>43140</v>
      </c>
    </row>
    <row r="3432" spans="1:7" x14ac:dyDescent="0.4">
      <c r="A3432">
        <v>31</v>
      </c>
      <c r="B3432" t="s">
        <v>167</v>
      </c>
      <c r="C3432" s="10">
        <v>9.4499999999999993</v>
      </c>
      <c r="D3432" s="10">
        <v>0.83</v>
      </c>
      <c r="E3432" s="16">
        <v>9.6300000000000008</v>
      </c>
      <c r="F3432">
        <v>866785</v>
      </c>
      <c r="G3432" s="5">
        <v>43140</v>
      </c>
    </row>
    <row r="3433" spans="1:7" x14ac:dyDescent="0.4">
      <c r="A3433">
        <v>32</v>
      </c>
      <c r="B3433" t="s">
        <v>1770</v>
      </c>
      <c r="C3433" s="10">
        <v>14</v>
      </c>
      <c r="D3433" s="10">
        <v>1.2</v>
      </c>
      <c r="E3433" s="16">
        <v>9.3699999999999992</v>
      </c>
      <c r="F3433">
        <v>51214</v>
      </c>
      <c r="G3433" s="5">
        <v>43140</v>
      </c>
    </row>
    <row r="3434" spans="1:7" x14ac:dyDescent="0.4">
      <c r="A3434">
        <v>33</v>
      </c>
      <c r="B3434" t="s">
        <v>1771</v>
      </c>
      <c r="C3434" s="10">
        <v>15.44</v>
      </c>
      <c r="D3434" s="10">
        <v>1.32</v>
      </c>
      <c r="E3434" s="16">
        <v>9.35</v>
      </c>
      <c r="F3434">
        <v>20907246</v>
      </c>
      <c r="G3434" s="5">
        <v>43140</v>
      </c>
    </row>
    <row r="3435" spans="1:7" x14ac:dyDescent="0.4">
      <c r="A3435">
        <v>34</v>
      </c>
      <c r="B3435" t="s">
        <v>1772</v>
      </c>
      <c r="C3435" s="10">
        <v>45.65</v>
      </c>
      <c r="D3435" s="10">
        <v>3.9</v>
      </c>
      <c r="E3435" s="16">
        <v>9.34</v>
      </c>
      <c r="F3435">
        <v>155309</v>
      </c>
      <c r="G3435" s="5">
        <v>43140</v>
      </c>
    </row>
    <row r="3436" spans="1:7" x14ac:dyDescent="0.4">
      <c r="A3436">
        <v>35</v>
      </c>
      <c r="B3436" t="s">
        <v>1773</v>
      </c>
      <c r="C3436" s="10">
        <v>4.16</v>
      </c>
      <c r="D3436" s="10">
        <v>0.35</v>
      </c>
      <c r="E3436" s="16">
        <v>9.19</v>
      </c>
      <c r="F3436">
        <v>833568</v>
      </c>
      <c r="G3436" s="5">
        <v>43140</v>
      </c>
    </row>
    <row r="3437" spans="1:7" x14ac:dyDescent="0.4">
      <c r="A3437">
        <v>36</v>
      </c>
      <c r="B3437" t="s">
        <v>274</v>
      </c>
      <c r="C3437" s="10">
        <v>4.67</v>
      </c>
      <c r="D3437" s="10">
        <v>0.39</v>
      </c>
      <c r="E3437" s="16">
        <v>9.11</v>
      </c>
      <c r="F3437">
        <v>1719363</v>
      </c>
      <c r="G3437" s="5">
        <v>43140</v>
      </c>
    </row>
    <row r="3438" spans="1:7" x14ac:dyDescent="0.4">
      <c r="A3438">
        <v>37</v>
      </c>
      <c r="B3438" t="s">
        <v>742</v>
      </c>
      <c r="C3438" s="10">
        <v>133.44</v>
      </c>
      <c r="D3438" s="10">
        <v>11.14</v>
      </c>
      <c r="E3438" s="16">
        <v>9.11</v>
      </c>
      <c r="F3438">
        <v>1372597</v>
      </c>
      <c r="G3438" s="5">
        <v>43140</v>
      </c>
    </row>
    <row r="3439" spans="1:7" x14ac:dyDescent="0.4">
      <c r="A3439">
        <v>38</v>
      </c>
      <c r="B3439" t="s">
        <v>1733</v>
      </c>
      <c r="C3439" s="10">
        <v>2.4</v>
      </c>
      <c r="D3439" s="10">
        <v>0.2</v>
      </c>
      <c r="E3439" s="16">
        <v>9.09</v>
      </c>
      <c r="F3439">
        <v>249890</v>
      </c>
      <c r="G3439" s="5">
        <v>43140</v>
      </c>
    </row>
    <row r="3440" spans="1:7" x14ac:dyDescent="0.4">
      <c r="A3440">
        <v>39</v>
      </c>
      <c r="B3440" t="s">
        <v>490</v>
      </c>
      <c r="C3440" s="10">
        <v>58.6</v>
      </c>
      <c r="D3440" s="10">
        <v>4.6500000000000004</v>
      </c>
      <c r="E3440" s="16">
        <v>8.6199999999999992</v>
      </c>
      <c r="F3440">
        <v>3925084</v>
      </c>
      <c r="G3440" s="5">
        <v>43140</v>
      </c>
    </row>
    <row r="3441" spans="1:7" x14ac:dyDescent="0.4">
      <c r="A3441">
        <v>40</v>
      </c>
      <c r="B3441" t="s">
        <v>286</v>
      </c>
      <c r="C3441" s="10">
        <v>5.46</v>
      </c>
      <c r="D3441" s="10">
        <v>0.43</v>
      </c>
      <c r="E3441" s="16">
        <v>8.5500000000000007</v>
      </c>
      <c r="F3441">
        <v>429751</v>
      </c>
      <c r="G3441" s="5">
        <v>43140</v>
      </c>
    </row>
    <row r="3442" spans="1:7" x14ac:dyDescent="0.4">
      <c r="A3442">
        <v>41</v>
      </c>
      <c r="B3442" t="s">
        <v>754</v>
      </c>
      <c r="C3442" s="10">
        <v>93.25</v>
      </c>
      <c r="D3442" s="10">
        <v>7.16</v>
      </c>
      <c r="E3442" s="16">
        <v>8.32</v>
      </c>
      <c r="F3442">
        <v>135085</v>
      </c>
      <c r="G3442" s="5">
        <v>43140</v>
      </c>
    </row>
    <row r="3443" spans="1:7" x14ac:dyDescent="0.4">
      <c r="A3443">
        <v>42</v>
      </c>
      <c r="B3443" t="s">
        <v>280</v>
      </c>
      <c r="C3443" s="10">
        <v>31.14</v>
      </c>
      <c r="D3443" s="10">
        <v>2.37</v>
      </c>
      <c r="E3443" s="16">
        <v>8.24</v>
      </c>
      <c r="F3443">
        <v>5880226</v>
      </c>
      <c r="G3443" s="5">
        <v>43140</v>
      </c>
    </row>
    <row r="3444" spans="1:7" x14ac:dyDescent="0.4">
      <c r="A3444">
        <v>43</v>
      </c>
      <c r="B3444" t="s">
        <v>327</v>
      </c>
      <c r="C3444" s="10">
        <v>17.36</v>
      </c>
      <c r="D3444" s="10">
        <v>1.31</v>
      </c>
      <c r="E3444" s="16">
        <v>8.16</v>
      </c>
      <c r="F3444">
        <v>2068040</v>
      </c>
      <c r="G3444" s="5">
        <v>43140</v>
      </c>
    </row>
    <row r="3445" spans="1:7" x14ac:dyDescent="0.4">
      <c r="A3445">
        <v>44</v>
      </c>
      <c r="B3445" t="s">
        <v>1774</v>
      </c>
      <c r="C3445" s="10">
        <v>17.27</v>
      </c>
      <c r="D3445" s="10">
        <v>1.27</v>
      </c>
      <c r="E3445" s="16">
        <v>7.94</v>
      </c>
      <c r="F3445">
        <v>9751278</v>
      </c>
      <c r="G3445" s="5">
        <v>43140</v>
      </c>
    </row>
    <row r="3446" spans="1:7" x14ac:dyDescent="0.4">
      <c r="A3446">
        <v>45</v>
      </c>
      <c r="B3446" t="s">
        <v>164</v>
      </c>
      <c r="C3446" s="10">
        <v>6.85</v>
      </c>
      <c r="D3446" s="10">
        <v>0.5</v>
      </c>
      <c r="E3446" s="16">
        <v>7.87</v>
      </c>
      <c r="F3446">
        <v>48715</v>
      </c>
      <c r="G3446" s="5">
        <v>43140</v>
      </c>
    </row>
    <row r="3447" spans="1:7" x14ac:dyDescent="0.4">
      <c r="A3447">
        <v>46</v>
      </c>
      <c r="B3447" t="s">
        <v>1775</v>
      </c>
      <c r="C3447" s="10">
        <v>25.41</v>
      </c>
      <c r="D3447" s="10">
        <v>1.84</v>
      </c>
      <c r="E3447" s="16">
        <v>7.81</v>
      </c>
      <c r="F3447">
        <v>536748</v>
      </c>
      <c r="G3447" s="5">
        <v>43140</v>
      </c>
    </row>
    <row r="3448" spans="1:7" x14ac:dyDescent="0.4">
      <c r="A3448">
        <v>47</v>
      </c>
      <c r="B3448" t="s">
        <v>377</v>
      </c>
      <c r="C3448" s="10">
        <v>16.05</v>
      </c>
      <c r="D3448" s="10">
        <v>1.1599999999999999</v>
      </c>
      <c r="E3448" s="16">
        <v>7.79</v>
      </c>
      <c r="F3448">
        <v>2492395</v>
      </c>
      <c r="G3448" s="5">
        <v>43140</v>
      </c>
    </row>
    <row r="3449" spans="1:7" x14ac:dyDescent="0.4">
      <c r="A3449">
        <v>48</v>
      </c>
      <c r="B3449" t="s">
        <v>527</v>
      </c>
      <c r="C3449" s="10">
        <v>5.6</v>
      </c>
      <c r="D3449" s="10">
        <v>0.4</v>
      </c>
      <c r="E3449" s="16">
        <v>7.69</v>
      </c>
      <c r="F3449">
        <v>370030</v>
      </c>
      <c r="G3449" s="5">
        <v>43140</v>
      </c>
    </row>
    <row r="3450" spans="1:7" x14ac:dyDescent="0.4">
      <c r="A3450">
        <v>49</v>
      </c>
      <c r="B3450" t="s">
        <v>1776</v>
      </c>
      <c r="C3450" s="10">
        <v>5.6</v>
      </c>
      <c r="D3450" s="10">
        <v>0.4</v>
      </c>
      <c r="E3450" s="16">
        <v>7.69</v>
      </c>
      <c r="F3450">
        <v>88662</v>
      </c>
      <c r="G3450" s="5">
        <v>43140</v>
      </c>
    </row>
    <row r="3451" spans="1:7" x14ac:dyDescent="0.4">
      <c r="A3451">
        <v>50</v>
      </c>
      <c r="B3451" t="s">
        <v>862</v>
      </c>
      <c r="C3451" s="10">
        <v>15.99</v>
      </c>
      <c r="D3451" s="10">
        <v>1.1399999999999999</v>
      </c>
      <c r="E3451" s="16">
        <v>7.68</v>
      </c>
      <c r="F3451">
        <v>472467</v>
      </c>
      <c r="G3451" s="5">
        <v>43140</v>
      </c>
    </row>
    <row r="3452" spans="1:7" x14ac:dyDescent="0.4">
      <c r="A3452">
        <v>51</v>
      </c>
      <c r="B3452" t="s">
        <v>1777</v>
      </c>
      <c r="C3452" s="10">
        <v>21.2</v>
      </c>
      <c r="D3452" s="10">
        <v>1.5</v>
      </c>
      <c r="E3452" s="16">
        <v>7.61</v>
      </c>
      <c r="F3452">
        <v>8591</v>
      </c>
      <c r="G3452" s="5">
        <v>43140</v>
      </c>
    </row>
    <row r="3453" spans="1:7" x14ac:dyDescent="0.4">
      <c r="A3453">
        <v>52</v>
      </c>
      <c r="B3453" t="s">
        <v>1778</v>
      </c>
      <c r="C3453" s="10">
        <v>45</v>
      </c>
      <c r="D3453" s="10">
        <v>3.18</v>
      </c>
      <c r="E3453" s="16">
        <v>7.6</v>
      </c>
      <c r="F3453">
        <v>957157</v>
      </c>
      <c r="G3453" s="5">
        <v>43140</v>
      </c>
    </row>
    <row r="3454" spans="1:7" x14ac:dyDescent="0.4">
      <c r="A3454">
        <v>53</v>
      </c>
      <c r="B3454" t="s">
        <v>1779</v>
      </c>
      <c r="C3454" s="10">
        <v>41.06</v>
      </c>
      <c r="D3454" s="10">
        <v>2.88</v>
      </c>
      <c r="E3454" s="16">
        <v>7.54</v>
      </c>
      <c r="F3454">
        <v>8126230</v>
      </c>
      <c r="G3454" s="5">
        <v>43140</v>
      </c>
    </row>
    <row r="3455" spans="1:7" x14ac:dyDescent="0.4">
      <c r="A3455">
        <v>54</v>
      </c>
      <c r="B3455" t="s">
        <v>1441</v>
      </c>
      <c r="C3455" s="10">
        <v>12.58</v>
      </c>
      <c r="D3455" s="10">
        <v>0.88</v>
      </c>
      <c r="E3455" s="16">
        <v>7.52</v>
      </c>
      <c r="F3455">
        <v>8250631</v>
      </c>
      <c r="G3455" s="5">
        <v>43140</v>
      </c>
    </row>
    <row r="3456" spans="1:7" x14ac:dyDescent="0.4">
      <c r="A3456">
        <v>55</v>
      </c>
      <c r="B3456" t="s">
        <v>307</v>
      </c>
      <c r="C3456" s="10">
        <v>56.27</v>
      </c>
      <c r="D3456" s="10">
        <v>3.76</v>
      </c>
      <c r="E3456" s="16">
        <v>7.16</v>
      </c>
      <c r="F3456">
        <v>138115</v>
      </c>
      <c r="G3456" s="5">
        <v>43140</v>
      </c>
    </row>
    <row r="3457" spans="1:7" x14ac:dyDescent="0.4">
      <c r="A3457">
        <v>56</v>
      </c>
      <c r="B3457" t="s">
        <v>1692</v>
      </c>
      <c r="C3457" s="10">
        <v>15.75</v>
      </c>
      <c r="D3457" s="10">
        <v>1.03</v>
      </c>
      <c r="E3457" s="16">
        <v>7</v>
      </c>
      <c r="F3457">
        <v>29920</v>
      </c>
      <c r="G3457" s="5">
        <v>43140</v>
      </c>
    </row>
    <row r="3458" spans="1:7" x14ac:dyDescent="0.4">
      <c r="A3458">
        <v>57</v>
      </c>
      <c r="B3458" t="s">
        <v>1780</v>
      </c>
      <c r="C3458" s="10">
        <v>7.73</v>
      </c>
      <c r="D3458" s="10">
        <v>0.5</v>
      </c>
      <c r="E3458" s="16">
        <v>6.92</v>
      </c>
      <c r="F3458">
        <v>55039</v>
      </c>
      <c r="G3458" s="5">
        <v>43140</v>
      </c>
    </row>
    <row r="3459" spans="1:7" x14ac:dyDescent="0.4">
      <c r="A3459">
        <v>58</v>
      </c>
      <c r="B3459" t="s">
        <v>747</v>
      </c>
      <c r="C3459" s="10">
        <v>49.86</v>
      </c>
      <c r="D3459" s="10">
        <v>3.22</v>
      </c>
      <c r="E3459" s="16">
        <v>6.9</v>
      </c>
      <c r="F3459">
        <v>52076</v>
      </c>
      <c r="G3459" s="5">
        <v>43140</v>
      </c>
    </row>
    <row r="3460" spans="1:7" x14ac:dyDescent="0.4">
      <c r="A3460">
        <v>59</v>
      </c>
      <c r="B3460" t="s">
        <v>829</v>
      </c>
      <c r="C3460" s="10">
        <v>67.34</v>
      </c>
      <c r="D3460" s="10">
        <v>4.34</v>
      </c>
      <c r="E3460" s="16">
        <v>6.89</v>
      </c>
      <c r="F3460">
        <v>1391088</v>
      </c>
      <c r="G3460" s="5">
        <v>43140</v>
      </c>
    </row>
    <row r="3461" spans="1:7" x14ac:dyDescent="0.4">
      <c r="A3461">
        <v>60</v>
      </c>
      <c r="B3461" t="s">
        <v>1781</v>
      </c>
      <c r="C3461" s="10">
        <v>37.65</v>
      </c>
      <c r="D3461" s="10">
        <v>2.42</v>
      </c>
      <c r="E3461" s="16">
        <v>6.87</v>
      </c>
      <c r="F3461">
        <v>396309</v>
      </c>
      <c r="G3461" s="5">
        <v>43140</v>
      </c>
    </row>
    <row r="3462" spans="1:7" x14ac:dyDescent="0.4">
      <c r="A3462">
        <v>61</v>
      </c>
      <c r="B3462" t="s">
        <v>1782</v>
      </c>
      <c r="C3462" s="10">
        <v>2.1800000000000002</v>
      </c>
      <c r="D3462" s="10">
        <v>0.14000000000000001</v>
      </c>
      <c r="E3462" s="16">
        <v>6.86</v>
      </c>
      <c r="F3462">
        <v>24589</v>
      </c>
      <c r="G3462" s="5">
        <v>43140</v>
      </c>
    </row>
    <row r="3463" spans="1:7" x14ac:dyDescent="0.4">
      <c r="A3463">
        <v>62</v>
      </c>
      <c r="B3463" t="s">
        <v>1783</v>
      </c>
      <c r="C3463" s="10">
        <v>12.39</v>
      </c>
      <c r="D3463" s="10">
        <v>0.79</v>
      </c>
      <c r="E3463" s="16">
        <v>6.81</v>
      </c>
      <c r="F3463">
        <v>1351253</v>
      </c>
      <c r="G3463" s="5">
        <v>43140</v>
      </c>
    </row>
    <row r="3464" spans="1:7" x14ac:dyDescent="0.4">
      <c r="A3464">
        <v>63</v>
      </c>
      <c r="B3464" t="s">
        <v>1784</v>
      </c>
      <c r="C3464" s="10">
        <v>11</v>
      </c>
      <c r="D3464" s="10">
        <v>0.7</v>
      </c>
      <c r="E3464" s="16">
        <v>6.8</v>
      </c>
      <c r="F3464">
        <v>1070078</v>
      </c>
      <c r="G3464" s="5">
        <v>43140</v>
      </c>
    </row>
    <row r="3465" spans="1:7" x14ac:dyDescent="0.4">
      <c r="A3465">
        <v>64</v>
      </c>
      <c r="B3465" t="s">
        <v>1785</v>
      </c>
      <c r="C3465" s="10">
        <v>128.35</v>
      </c>
      <c r="D3465" s="10">
        <v>8.15</v>
      </c>
      <c r="E3465" s="16">
        <v>6.78</v>
      </c>
      <c r="F3465">
        <v>167146</v>
      </c>
      <c r="G3465" s="5">
        <v>43140</v>
      </c>
    </row>
    <row r="3466" spans="1:7" x14ac:dyDescent="0.4">
      <c r="A3466">
        <v>65</v>
      </c>
      <c r="B3466" t="s">
        <v>1786</v>
      </c>
      <c r="C3466" s="10">
        <v>29.95</v>
      </c>
      <c r="D3466" s="10">
        <v>1.89</v>
      </c>
      <c r="E3466" s="16">
        <v>6.75</v>
      </c>
      <c r="F3466">
        <v>2395</v>
      </c>
      <c r="G3466" s="5">
        <v>43140</v>
      </c>
    </row>
    <row r="3467" spans="1:7" x14ac:dyDescent="0.4">
      <c r="A3467">
        <v>66</v>
      </c>
      <c r="B3467" t="s">
        <v>1787</v>
      </c>
      <c r="C3467" s="10">
        <v>232.08</v>
      </c>
      <c r="D3467" s="10">
        <v>14.56</v>
      </c>
      <c r="E3467" s="16">
        <v>6.69</v>
      </c>
      <c r="F3467">
        <v>41630286</v>
      </c>
      <c r="G3467" s="5">
        <v>43140</v>
      </c>
    </row>
    <row r="3468" spans="1:7" x14ac:dyDescent="0.4">
      <c r="A3468">
        <v>67</v>
      </c>
      <c r="B3468" t="s">
        <v>1788</v>
      </c>
      <c r="C3468" s="10">
        <v>3.21</v>
      </c>
      <c r="D3468" s="10">
        <v>0.2</v>
      </c>
      <c r="E3468" s="16">
        <v>6.64</v>
      </c>
      <c r="F3468">
        <v>6125266</v>
      </c>
      <c r="G3468" s="5">
        <v>43140</v>
      </c>
    </row>
    <row r="3469" spans="1:7" x14ac:dyDescent="0.4">
      <c r="A3469">
        <v>68</v>
      </c>
      <c r="B3469" t="s">
        <v>497</v>
      </c>
      <c r="C3469" s="10">
        <v>23.88</v>
      </c>
      <c r="D3469" s="10">
        <v>1.47</v>
      </c>
      <c r="E3469" s="16">
        <v>6.56</v>
      </c>
      <c r="F3469">
        <v>3053315</v>
      </c>
      <c r="G3469" s="5">
        <v>43140</v>
      </c>
    </row>
    <row r="3470" spans="1:7" x14ac:dyDescent="0.4">
      <c r="A3470">
        <v>69</v>
      </c>
      <c r="B3470" t="s">
        <v>1389</v>
      </c>
      <c r="C3470" s="10">
        <v>36.75</v>
      </c>
      <c r="D3470" s="10">
        <v>2.25</v>
      </c>
      <c r="E3470" s="16">
        <v>6.52</v>
      </c>
      <c r="F3470">
        <v>1235529</v>
      </c>
      <c r="G3470" s="5">
        <v>43140</v>
      </c>
    </row>
    <row r="3471" spans="1:7" x14ac:dyDescent="0.4">
      <c r="A3471">
        <v>70</v>
      </c>
      <c r="B3471" t="s">
        <v>435</v>
      </c>
      <c r="C3471" s="10">
        <v>9.69</v>
      </c>
      <c r="D3471" s="10">
        <v>0.59</v>
      </c>
      <c r="E3471" s="16">
        <v>6.48</v>
      </c>
      <c r="F3471">
        <v>99605</v>
      </c>
      <c r="G3471" s="5">
        <v>43140</v>
      </c>
    </row>
    <row r="3472" spans="1:7" x14ac:dyDescent="0.4">
      <c r="A3472">
        <v>71</v>
      </c>
      <c r="B3472" t="s">
        <v>76</v>
      </c>
      <c r="C3472" s="10">
        <v>3.63</v>
      </c>
      <c r="D3472" s="10">
        <v>0.22</v>
      </c>
      <c r="E3472" s="16">
        <v>6.45</v>
      </c>
      <c r="F3472">
        <v>18833</v>
      </c>
      <c r="G3472" s="5">
        <v>43140</v>
      </c>
    </row>
    <row r="3473" spans="1:7" x14ac:dyDescent="0.4">
      <c r="A3473">
        <v>72</v>
      </c>
      <c r="B3473" t="s">
        <v>428</v>
      </c>
      <c r="C3473" s="10">
        <v>4.8099999999999996</v>
      </c>
      <c r="D3473" s="10">
        <v>0.28999999999999998</v>
      </c>
      <c r="E3473" s="16">
        <v>6.42</v>
      </c>
      <c r="F3473">
        <v>36652</v>
      </c>
      <c r="G3473" s="5">
        <v>43140</v>
      </c>
    </row>
    <row r="3474" spans="1:7" x14ac:dyDescent="0.4">
      <c r="A3474">
        <v>73</v>
      </c>
      <c r="B3474" t="s">
        <v>908</v>
      </c>
      <c r="C3474" s="10">
        <v>24.9</v>
      </c>
      <c r="D3474" s="10">
        <v>1.5</v>
      </c>
      <c r="E3474" s="16">
        <v>6.41</v>
      </c>
      <c r="F3474">
        <v>117640</v>
      </c>
      <c r="G3474" s="5">
        <v>43140</v>
      </c>
    </row>
    <row r="3475" spans="1:7" x14ac:dyDescent="0.4">
      <c r="A3475">
        <v>74</v>
      </c>
      <c r="B3475" t="s">
        <v>352</v>
      </c>
      <c r="C3475" s="10">
        <v>15.5</v>
      </c>
      <c r="D3475" s="10">
        <v>0.93</v>
      </c>
      <c r="E3475" s="16">
        <v>6.39</v>
      </c>
      <c r="F3475">
        <v>20087</v>
      </c>
      <c r="G3475" s="5">
        <v>43140</v>
      </c>
    </row>
    <row r="3476" spans="1:7" x14ac:dyDescent="0.4">
      <c r="A3476">
        <v>75</v>
      </c>
      <c r="B3476" t="s">
        <v>393</v>
      </c>
      <c r="C3476" s="10">
        <v>4.17</v>
      </c>
      <c r="D3476" s="10">
        <v>0.25</v>
      </c>
      <c r="E3476" s="16">
        <v>6.38</v>
      </c>
      <c r="F3476">
        <v>103645</v>
      </c>
      <c r="G3476" s="5">
        <v>43140</v>
      </c>
    </row>
    <row r="3477" spans="1:7" x14ac:dyDescent="0.4">
      <c r="A3477">
        <v>76</v>
      </c>
      <c r="B3477" t="s">
        <v>1789</v>
      </c>
      <c r="C3477" s="10">
        <v>3.01</v>
      </c>
      <c r="D3477" s="10">
        <v>0.18</v>
      </c>
      <c r="E3477" s="16">
        <v>6.36</v>
      </c>
      <c r="F3477">
        <v>53334</v>
      </c>
      <c r="G3477" s="5">
        <v>43140</v>
      </c>
    </row>
    <row r="3478" spans="1:7" x14ac:dyDescent="0.4">
      <c r="A3478">
        <v>77</v>
      </c>
      <c r="B3478" t="s">
        <v>753</v>
      </c>
      <c r="C3478" s="10">
        <v>118.68</v>
      </c>
      <c r="D3478" s="10">
        <v>7.09</v>
      </c>
      <c r="E3478" s="16">
        <v>6.35</v>
      </c>
      <c r="F3478">
        <v>31270</v>
      </c>
      <c r="G3478" s="5">
        <v>43140</v>
      </c>
    </row>
    <row r="3479" spans="1:7" x14ac:dyDescent="0.4">
      <c r="A3479">
        <v>78</v>
      </c>
      <c r="B3479" t="s">
        <v>1790</v>
      </c>
      <c r="C3479" s="10">
        <v>35.71</v>
      </c>
      <c r="D3479" s="10">
        <v>2.11</v>
      </c>
      <c r="E3479" s="16">
        <v>6.28</v>
      </c>
      <c r="F3479">
        <v>3995120</v>
      </c>
      <c r="G3479" s="5">
        <v>43140</v>
      </c>
    </row>
    <row r="3480" spans="1:7" x14ac:dyDescent="0.4">
      <c r="A3480">
        <v>79</v>
      </c>
      <c r="B3480" t="s">
        <v>538</v>
      </c>
      <c r="C3480" s="10">
        <v>30.46</v>
      </c>
      <c r="D3480" s="10">
        <v>1.79</v>
      </c>
      <c r="E3480" s="16">
        <v>6.24</v>
      </c>
      <c r="F3480">
        <v>6014057</v>
      </c>
      <c r="G3480" s="5">
        <v>43140</v>
      </c>
    </row>
    <row r="3481" spans="1:7" x14ac:dyDescent="0.4">
      <c r="A3481">
        <v>80</v>
      </c>
      <c r="B3481" t="s">
        <v>1482</v>
      </c>
      <c r="C3481" s="10">
        <v>3.61</v>
      </c>
      <c r="D3481" s="10">
        <v>0.21</v>
      </c>
      <c r="E3481" s="16">
        <v>6.18</v>
      </c>
      <c r="F3481">
        <v>1148543</v>
      </c>
      <c r="G3481" s="5">
        <v>43140</v>
      </c>
    </row>
    <row r="3482" spans="1:7" x14ac:dyDescent="0.4">
      <c r="A3482">
        <v>81</v>
      </c>
      <c r="B3482" t="s">
        <v>1791</v>
      </c>
      <c r="C3482" s="10">
        <v>2.27</v>
      </c>
      <c r="D3482" s="10">
        <v>0.13</v>
      </c>
      <c r="E3482" s="16">
        <v>6.07</v>
      </c>
      <c r="F3482">
        <v>422094</v>
      </c>
      <c r="G3482" s="5">
        <v>43140</v>
      </c>
    </row>
    <row r="3483" spans="1:7" x14ac:dyDescent="0.4">
      <c r="A3483">
        <v>82</v>
      </c>
      <c r="B3483" t="s">
        <v>1792</v>
      </c>
      <c r="C3483" s="10">
        <v>110.08</v>
      </c>
      <c r="D3483" s="10">
        <v>6.26</v>
      </c>
      <c r="E3483" s="16">
        <v>6.03</v>
      </c>
      <c r="F3483">
        <v>1033087</v>
      </c>
      <c r="G3483" s="5">
        <v>43140</v>
      </c>
    </row>
    <row r="3484" spans="1:7" x14ac:dyDescent="0.4">
      <c r="A3484">
        <v>83</v>
      </c>
      <c r="B3484" t="s">
        <v>1370</v>
      </c>
      <c r="C3484" s="10">
        <v>18.920000000000002</v>
      </c>
      <c r="D3484" s="10">
        <v>1.07</v>
      </c>
      <c r="E3484" s="16">
        <v>5.99</v>
      </c>
      <c r="F3484">
        <v>3857143</v>
      </c>
      <c r="G3484" s="5">
        <v>43140</v>
      </c>
    </row>
    <row r="3485" spans="1:7" x14ac:dyDescent="0.4">
      <c r="A3485">
        <v>84</v>
      </c>
      <c r="B3485" t="s">
        <v>1793</v>
      </c>
      <c r="C3485" s="10">
        <v>31.95</v>
      </c>
      <c r="D3485" s="10">
        <v>1.8</v>
      </c>
      <c r="E3485" s="16">
        <v>5.97</v>
      </c>
      <c r="F3485">
        <v>125292</v>
      </c>
      <c r="G3485" s="5">
        <v>43140</v>
      </c>
    </row>
    <row r="3486" spans="1:7" x14ac:dyDescent="0.4">
      <c r="A3486">
        <v>85</v>
      </c>
      <c r="B3486" t="s">
        <v>1794</v>
      </c>
      <c r="C3486" s="10">
        <v>58.24</v>
      </c>
      <c r="D3486" s="10">
        <v>3.27</v>
      </c>
      <c r="E3486" s="16">
        <v>5.95</v>
      </c>
      <c r="F3486">
        <v>1542993</v>
      </c>
      <c r="G3486" s="5">
        <v>43140</v>
      </c>
    </row>
    <row r="3487" spans="1:7" x14ac:dyDescent="0.4">
      <c r="A3487">
        <v>86</v>
      </c>
      <c r="B3487" t="s">
        <v>1795</v>
      </c>
      <c r="C3487" s="10">
        <v>107.62</v>
      </c>
      <c r="D3487" s="10">
        <v>6.04</v>
      </c>
      <c r="E3487" s="16">
        <v>5.95</v>
      </c>
      <c r="F3487">
        <v>4136148</v>
      </c>
      <c r="G3487" s="5">
        <v>43140</v>
      </c>
    </row>
    <row r="3488" spans="1:7" x14ac:dyDescent="0.4">
      <c r="A3488">
        <v>87</v>
      </c>
      <c r="B3488" t="s">
        <v>205</v>
      </c>
      <c r="C3488" s="10">
        <v>2.86</v>
      </c>
      <c r="D3488" s="10">
        <v>0.16</v>
      </c>
      <c r="E3488" s="16">
        <v>5.93</v>
      </c>
      <c r="F3488">
        <v>38842</v>
      </c>
      <c r="G3488" s="5">
        <v>43140</v>
      </c>
    </row>
    <row r="3489" spans="1:7" x14ac:dyDescent="0.4">
      <c r="A3489">
        <v>88</v>
      </c>
      <c r="B3489" t="s">
        <v>922</v>
      </c>
      <c r="C3489" s="10">
        <v>46.72</v>
      </c>
      <c r="D3489" s="10">
        <v>2.61</v>
      </c>
      <c r="E3489" s="16">
        <v>5.92</v>
      </c>
      <c r="F3489">
        <v>638062</v>
      </c>
      <c r="G3489" s="5">
        <v>43140</v>
      </c>
    </row>
    <row r="3490" spans="1:7" x14ac:dyDescent="0.4">
      <c r="A3490">
        <v>89</v>
      </c>
      <c r="B3490" t="s">
        <v>188</v>
      </c>
      <c r="C3490" s="10">
        <v>2.7</v>
      </c>
      <c r="D3490" s="10">
        <v>0.15</v>
      </c>
      <c r="E3490" s="16">
        <v>5.88</v>
      </c>
      <c r="F3490">
        <v>265277</v>
      </c>
      <c r="G3490" s="5">
        <v>43140</v>
      </c>
    </row>
    <row r="3491" spans="1:7" x14ac:dyDescent="0.4">
      <c r="A3491">
        <v>90</v>
      </c>
      <c r="B3491" t="s">
        <v>751</v>
      </c>
      <c r="C3491" s="10">
        <v>75.78</v>
      </c>
      <c r="D3491" s="10">
        <v>4.17</v>
      </c>
      <c r="E3491" s="16">
        <v>5.82</v>
      </c>
      <c r="F3491">
        <v>28637</v>
      </c>
      <c r="G3491" s="5">
        <v>43140</v>
      </c>
    </row>
    <row r="3492" spans="1:7" x14ac:dyDescent="0.4">
      <c r="A3492">
        <v>91</v>
      </c>
      <c r="B3492" t="s">
        <v>1796</v>
      </c>
      <c r="C3492" s="10">
        <v>17.350000000000001</v>
      </c>
      <c r="D3492" s="10">
        <v>0.95</v>
      </c>
      <c r="E3492" s="16">
        <v>5.79</v>
      </c>
      <c r="F3492">
        <v>511505</v>
      </c>
      <c r="G3492" s="5">
        <v>43140</v>
      </c>
    </row>
    <row r="3493" spans="1:7" x14ac:dyDescent="0.4">
      <c r="A3493">
        <v>92</v>
      </c>
      <c r="B3493" t="s">
        <v>1797</v>
      </c>
      <c r="C3493" s="10">
        <v>34.229999999999997</v>
      </c>
      <c r="D3493" s="10">
        <v>1.87</v>
      </c>
      <c r="E3493" s="16">
        <v>5.78</v>
      </c>
      <c r="F3493">
        <v>5005229</v>
      </c>
      <c r="G3493" s="5">
        <v>43140</v>
      </c>
    </row>
    <row r="3494" spans="1:7" x14ac:dyDescent="0.4">
      <c r="A3494">
        <v>93</v>
      </c>
      <c r="B3494" t="s">
        <v>512</v>
      </c>
      <c r="C3494" s="10">
        <v>117.64</v>
      </c>
      <c r="D3494" s="10">
        <v>6.41</v>
      </c>
      <c r="E3494" s="16">
        <v>5.76</v>
      </c>
      <c r="F3494">
        <v>2167235</v>
      </c>
      <c r="G3494" s="5">
        <v>43140</v>
      </c>
    </row>
    <row r="3495" spans="1:7" x14ac:dyDescent="0.4">
      <c r="A3495">
        <v>94</v>
      </c>
      <c r="B3495" t="s">
        <v>869</v>
      </c>
      <c r="C3495" s="10">
        <v>38.68</v>
      </c>
      <c r="D3495" s="10">
        <v>2.1</v>
      </c>
      <c r="E3495" s="16">
        <v>5.74</v>
      </c>
      <c r="F3495">
        <v>558734</v>
      </c>
      <c r="G3495" s="5">
        <v>43140</v>
      </c>
    </row>
    <row r="3496" spans="1:7" x14ac:dyDescent="0.4">
      <c r="A3496">
        <v>95</v>
      </c>
      <c r="B3496" t="s">
        <v>199</v>
      </c>
      <c r="C3496" s="10">
        <v>2.77</v>
      </c>
      <c r="D3496" s="10">
        <v>0.15</v>
      </c>
      <c r="E3496" s="16">
        <v>5.73</v>
      </c>
      <c r="F3496">
        <v>536476</v>
      </c>
      <c r="G3496" s="5">
        <v>43140</v>
      </c>
    </row>
    <row r="3497" spans="1:7" x14ac:dyDescent="0.4">
      <c r="A3497">
        <v>96</v>
      </c>
      <c r="B3497" t="s">
        <v>828</v>
      </c>
      <c r="C3497" s="10">
        <v>21.16</v>
      </c>
      <c r="D3497" s="10">
        <v>1.1399999999999999</v>
      </c>
      <c r="E3497" s="16">
        <v>5.68</v>
      </c>
      <c r="F3497">
        <v>23394</v>
      </c>
      <c r="G3497" s="5">
        <v>43140</v>
      </c>
    </row>
    <row r="3498" spans="1:7" x14ac:dyDescent="0.4">
      <c r="A3498">
        <v>97</v>
      </c>
      <c r="B3498" t="s">
        <v>685</v>
      </c>
      <c r="C3498" s="10">
        <v>11.39</v>
      </c>
      <c r="D3498" s="10">
        <v>0.61</v>
      </c>
      <c r="E3498" s="16">
        <v>5.66</v>
      </c>
      <c r="F3498">
        <v>7538</v>
      </c>
      <c r="G3498" s="5">
        <v>43140</v>
      </c>
    </row>
    <row r="3499" spans="1:7" x14ac:dyDescent="0.4">
      <c r="A3499">
        <v>98</v>
      </c>
      <c r="B3499" t="s">
        <v>413</v>
      </c>
      <c r="C3499" s="10">
        <v>3.65</v>
      </c>
      <c r="D3499" s="10">
        <v>0.19</v>
      </c>
      <c r="E3499" s="16">
        <v>5.6</v>
      </c>
      <c r="F3499">
        <v>399517</v>
      </c>
      <c r="G3499" s="5">
        <v>43140</v>
      </c>
    </row>
    <row r="3500" spans="1:7" x14ac:dyDescent="0.4">
      <c r="A3500">
        <v>99</v>
      </c>
      <c r="B3500" t="s">
        <v>1798</v>
      </c>
      <c r="C3500" s="10">
        <v>96.99</v>
      </c>
      <c r="D3500" s="10">
        <v>5.07</v>
      </c>
      <c r="E3500" s="16">
        <v>5.52</v>
      </c>
      <c r="F3500">
        <v>3524971</v>
      </c>
      <c r="G3500" s="5">
        <v>43140</v>
      </c>
    </row>
    <row r="3501" spans="1:7" x14ac:dyDescent="0.4">
      <c r="A3501">
        <v>100</v>
      </c>
      <c r="B3501" t="s">
        <v>1799</v>
      </c>
      <c r="C3501" s="10">
        <v>13.4</v>
      </c>
      <c r="D3501" s="10">
        <v>0.7</v>
      </c>
      <c r="E3501" s="16">
        <v>5.51</v>
      </c>
      <c r="F3501">
        <v>111117</v>
      </c>
      <c r="G3501" s="5">
        <v>43140</v>
      </c>
    </row>
    <row r="3502" spans="1:7" x14ac:dyDescent="0.4">
      <c r="A3502">
        <v>1</v>
      </c>
      <c r="B3502" t="s">
        <v>431</v>
      </c>
      <c r="C3502" s="10">
        <v>17.739999999999998</v>
      </c>
      <c r="D3502" s="10">
        <v>6.11</v>
      </c>
      <c r="E3502" s="16">
        <v>52.51</v>
      </c>
      <c r="F3502">
        <v>15215</v>
      </c>
      <c r="G3502" s="5">
        <v>43139</v>
      </c>
    </row>
    <row r="3503" spans="1:7" x14ac:dyDescent="0.4">
      <c r="A3503">
        <v>2</v>
      </c>
      <c r="B3503" t="s">
        <v>436</v>
      </c>
      <c r="C3503" s="10">
        <v>22.62</v>
      </c>
      <c r="D3503" s="10">
        <v>7.61</v>
      </c>
      <c r="E3503" s="16">
        <v>50.7</v>
      </c>
      <c r="F3503">
        <v>339945</v>
      </c>
      <c r="G3503" s="5">
        <v>43139</v>
      </c>
    </row>
    <row r="3504" spans="1:7" x14ac:dyDescent="0.4">
      <c r="A3504">
        <v>3</v>
      </c>
      <c r="B3504" t="s">
        <v>430</v>
      </c>
      <c r="C3504" s="10">
        <v>27.91</v>
      </c>
      <c r="D3504" s="10">
        <v>9.26</v>
      </c>
      <c r="E3504" s="16">
        <v>49.65</v>
      </c>
      <c r="F3504">
        <v>109315768</v>
      </c>
      <c r="G3504" s="5">
        <v>43139</v>
      </c>
    </row>
    <row r="3505" spans="1:7" x14ac:dyDescent="0.4">
      <c r="A3505">
        <v>4</v>
      </c>
      <c r="B3505" t="s">
        <v>429</v>
      </c>
      <c r="C3505" s="10">
        <v>13.5</v>
      </c>
      <c r="D3505" s="10">
        <v>4.41</v>
      </c>
      <c r="E3505" s="16">
        <v>48.51</v>
      </c>
      <c r="F3505">
        <v>110529982</v>
      </c>
      <c r="G3505" s="5">
        <v>43139</v>
      </c>
    </row>
    <row r="3506" spans="1:7" x14ac:dyDescent="0.4">
      <c r="A3506">
        <v>5</v>
      </c>
      <c r="B3506" t="s">
        <v>475</v>
      </c>
      <c r="C3506" s="10">
        <v>18.420000000000002</v>
      </c>
      <c r="D3506" s="10">
        <v>4.5199999999999996</v>
      </c>
      <c r="E3506" s="16">
        <v>32.54</v>
      </c>
      <c r="F3506">
        <v>130805</v>
      </c>
      <c r="G3506" s="5">
        <v>43139</v>
      </c>
    </row>
    <row r="3507" spans="1:7" x14ac:dyDescent="0.4">
      <c r="A3507">
        <v>6</v>
      </c>
      <c r="B3507" t="s">
        <v>1616</v>
      </c>
      <c r="C3507" s="10">
        <v>26.5</v>
      </c>
      <c r="D3507" s="10">
        <v>6.45</v>
      </c>
      <c r="E3507" s="16">
        <v>32.17</v>
      </c>
      <c r="F3507">
        <v>5009281</v>
      </c>
      <c r="G3507" s="5">
        <v>43139</v>
      </c>
    </row>
    <row r="3508" spans="1:7" x14ac:dyDescent="0.4">
      <c r="A3508">
        <v>7</v>
      </c>
      <c r="B3508" t="s">
        <v>1800</v>
      </c>
      <c r="C3508" s="10">
        <v>8.9600000000000009</v>
      </c>
      <c r="D3508" s="10">
        <v>2.06</v>
      </c>
      <c r="E3508" s="16">
        <v>29.86</v>
      </c>
      <c r="F3508">
        <v>12103611</v>
      </c>
      <c r="G3508" s="5">
        <v>43139</v>
      </c>
    </row>
    <row r="3509" spans="1:7" x14ac:dyDescent="0.4">
      <c r="A3509">
        <v>8</v>
      </c>
      <c r="B3509" t="s">
        <v>39</v>
      </c>
      <c r="C3509" s="10">
        <v>2.5499999999999998</v>
      </c>
      <c r="D3509" s="10">
        <v>0.55000000000000004</v>
      </c>
      <c r="E3509" s="16">
        <v>27.5</v>
      </c>
      <c r="F3509">
        <v>11203831</v>
      </c>
      <c r="G3509" s="5">
        <v>43139</v>
      </c>
    </row>
    <row r="3510" spans="1:7" x14ac:dyDescent="0.4">
      <c r="A3510">
        <v>9</v>
      </c>
      <c r="B3510" t="s">
        <v>1801</v>
      </c>
      <c r="C3510" s="10">
        <v>89.04</v>
      </c>
      <c r="D3510" s="10">
        <v>19.13</v>
      </c>
      <c r="E3510" s="16">
        <v>27.36</v>
      </c>
      <c r="F3510">
        <v>13489391</v>
      </c>
      <c r="G3510" s="5">
        <v>43139</v>
      </c>
    </row>
    <row r="3511" spans="1:7" x14ac:dyDescent="0.4">
      <c r="A3511">
        <v>10</v>
      </c>
      <c r="B3511" t="s">
        <v>442</v>
      </c>
      <c r="C3511" s="10">
        <v>45.77</v>
      </c>
      <c r="D3511" s="10">
        <v>8.9</v>
      </c>
      <c r="E3511" s="16">
        <v>24.14</v>
      </c>
      <c r="F3511">
        <v>8974655</v>
      </c>
      <c r="G3511" s="5">
        <v>43139</v>
      </c>
    </row>
    <row r="3512" spans="1:7" x14ac:dyDescent="0.4">
      <c r="A3512">
        <v>11</v>
      </c>
      <c r="B3512" t="s">
        <v>440</v>
      </c>
      <c r="C3512" s="10">
        <v>55.24</v>
      </c>
      <c r="D3512" s="10">
        <v>10.67</v>
      </c>
      <c r="E3512" s="16">
        <v>23.94</v>
      </c>
      <c r="F3512">
        <v>81328944</v>
      </c>
      <c r="G3512" s="5">
        <v>43139</v>
      </c>
    </row>
    <row r="3513" spans="1:7" x14ac:dyDescent="0.4">
      <c r="A3513">
        <v>12</v>
      </c>
      <c r="B3513" t="s">
        <v>441</v>
      </c>
      <c r="C3513" s="10">
        <v>23.35</v>
      </c>
      <c r="D3513" s="10">
        <v>4.5</v>
      </c>
      <c r="E3513" s="16">
        <v>23.87</v>
      </c>
      <c r="F3513">
        <v>1352818</v>
      </c>
      <c r="G3513" s="5">
        <v>43139</v>
      </c>
    </row>
    <row r="3514" spans="1:7" x14ac:dyDescent="0.4">
      <c r="A3514">
        <v>13</v>
      </c>
      <c r="B3514" t="s">
        <v>467</v>
      </c>
      <c r="C3514" s="10">
        <v>14.16</v>
      </c>
      <c r="D3514" s="10">
        <v>1.92</v>
      </c>
      <c r="E3514" s="16">
        <v>15.69</v>
      </c>
      <c r="F3514">
        <v>47306</v>
      </c>
      <c r="G3514" s="5">
        <v>43139</v>
      </c>
    </row>
    <row r="3515" spans="1:7" x14ac:dyDescent="0.4">
      <c r="A3515">
        <v>14</v>
      </c>
      <c r="B3515" t="s">
        <v>964</v>
      </c>
      <c r="C3515" s="10">
        <v>3.7</v>
      </c>
      <c r="D3515" s="10">
        <v>0.5</v>
      </c>
      <c r="E3515" s="16">
        <v>15.63</v>
      </c>
      <c r="F3515">
        <v>8195164</v>
      </c>
      <c r="G3515" s="5">
        <v>43139</v>
      </c>
    </row>
    <row r="3516" spans="1:7" x14ac:dyDescent="0.4">
      <c r="A3516">
        <v>15</v>
      </c>
      <c r="B3516" t="s">
        <v>552</v>
      </c>
      <c r="C3516" s="10">
        <v>23.05</v>
      </c>
      <c r="D3516" s="10">
        <v>3.05</v>
      </c>
      <c r="E3516" s="16">
        <v>15.25</v>
      </c>
      <c r="F3516">
        <v>436787</v>
      </c>
      <c r="G3516" s="5">
        <v>43139</v>
      </c>
    </row>
    <row r="3517" spans="1:7" x14ac:dyDescent="0.4">
      <c r="A3517">
        <v>16</v>
      </c>
      <c r="B3517" t="s">
        <v>641</v>
      </c>
      <c r="C3517" s="10">
        <v>8.5500000000000007</v>
      </c>
      <c r="D3517" s="10">
        <v>1.1299999999999999</v>
      </c>
      <c r="E3517" s="16">
        <v>15.23</v>
      </c>
      <c r="F3517">
        <v>12015</v>
      </c>
      <c r="G3517" s="5">
        <v>43139</v>
      </c>
    </row>
    <row r="3518" spans="1:7" x14ac:dyDescent="0.4">
      <c r="A3518">
        <v>17</v>
      </c>
      <c r="B3518" t="s">
        <v>351</v>
      </c>
      <c r="C3518" s="10">
        <v>3.96</v>
      </c>
      <c r="D3518" s="10">
        <v>0.52</v>
      </c>
      <c r="E3518" s="16">
        <v>15.12</v>
      </c>
      <c r="F3518">
        <v>16320610</v>
      </c>
      <c r="G3518" s="5">
        <v>43139</v>
      </c>
    </row>
    <row r="3519" spans="1:7" x14ac:dyDescent="0.4">
      <c r="A3519">
        <v>18</v>
      </c>
      <c r="B3519" t="s">
        <v>465</v>
      </c>
      <c r="C3519" s="10">
        <v>11.27</v>
      </c>
      <c r="D3519" s="10">
        <v>1.42</v>
      </c>
      <c r="E3519" s="16">
        <v>14.4</v>
      </c>
      <c r="F3519">
        <v>43406</v>
      </c>
      <c r="G3519" s="5">
        <v>43139</v>
      </c>
    </row>
    <row r="3520" spans="1:7" x14ac:dyDescent="0.4">
      <c r="A3520">
        <v>19</v>
      </c>
      <c r="B3520" t="s">
        <v>1802</v>
      </c>
      <c r="C3520" s="10">
        <v>19.96</v>
      </c>
      <c r="D3520" s="10">
        <v>2.48</v>
      </c>
      <c r="E3520" s="16">
        <v>14.19</v>
      </c>
      <c r="F3520">
        <v>14534433</v>
      </c>
      <c r="G3520" s="5">
        <v>43139</v>
      </c>
    </row>
    <row r="3521" spans="1:7" x14ac:dyDescent="0.4">
      <c r="A3521">
        <v>20</v>
      </c>
      <c r="B3521" t="s">
        <v>1803</v>
      </c>
      <c r="C3521" s="10">
        <v>4.58</v>
      </c>
      <c r="D3521" s="10">
        <v>0.54</v>
      </c>
      <c r="E3521" s="16">
        <v>13.37</v>
      </c>
      <c r="F3521">
        <v>1259611</v>
      </c>
      <c r="G3521" s="5">
        <v>43139</v>
      </c>
    </row>
    <row r="3522" spans="1:7" x14ac:dyDescent="0.4">
      <c r="A3522">
        <v>21</v>
      </c>
      <c r="B3522" t="s">
        <v>642</v>
      </c>
      <c r="C3522" s="10">
        <v>5.62</v>
      </c>
      <c r="D3522" s="10">
        <v>0.65</v>
      </c>
      <c r="E3522" s="16">
        <v>13.08</v>
      </c>
      <c r="F3522">
        <v>3261933</v>
      </c>
      <c r="G3522" s="5">
        <v>43139</v>
      </c>
    </row>
    <row r="3523" spans="1:7" x14ac:dyDescent="0.4">
      <c r="A3523">
        <v>22</v>
      </c>
      <c r="B3523" t="s">
        <v>207</v>
      </c>
      <c r="C3523" s="10">
        <v>16.75</v>
      </c>
      <c r="D3523" s="10">
        <v>1.88</v>
      </c>
      <c r="E3523" s="16">
        <v>12.64</v>
      </c>
      <c r="F3523">
        <v>3162750</v>
      </c>
      <c r="G3523" s="5">
        <v>43139</v>
      </c>
    </row>
    <row r="3524" spans="1:7" x14ac:dyDescent="0.4">
      <c r="A3524">
        <v>23</v>
      </c>
      <c r="B3524" t="s">
        <v>458</v>
      </c>
      <c r="C3524" s="10">
        <v>21.77</v>
      </c>
      <c r="D3524" s="10">
        <v>2.4300000000000002</v>
      </c>
      <c r="E3524" s="16">
        <v>12.56</v>
      </c>
      <c r="F3524">
        <v>26583662</v>
      </c>
      <c r="G3524" s="5">
        <v>43139</v>
      </c>
    </row>
    <row r="3525" spans="1:7" x14ac:dyDescent="0.4">
      <c r="A3525">
        <v>24</v>
      </c>
      <c r="B3525" t="s">
        <v>339</v>
      </c>
      <c r="C3525" s="10">
        <v>18</v>
      </c>
      <c r="D3525" s="10">
        <v>2</v>
      </c>
      <c r="E3525" s="16">
        <v>12.5</v>
      </c>
      <c r="F3525">
        <v>67536</v>
      </c>
      <c r="G3525" s="5">
        <v>43139</v>
      </c>
    </row>
    <row r="3526" spans="1:7" x14ac:dyDescent="0.4">
      <c r="A3526">
        <v>25</v>
      </c>
      <c r="B3526" t="s">
        <v>318</v>
      </c>
      <c r="C3526" s="10">
        <v>32.31</v>
      </c>
      <c r="D3526" s="10">
        <v>3.58</v>
      </c>
      <c r="E3526" s="16">
        <v>12.46</v>
      </c>
      <c r="F3526">
        <v>27490</v>
      </c>
      <c r="G3526" s="5">
        <v>43139</v>
      </c>
    </row>
    <row r="3527" spans="1:7" x14ac:dyDescent="0.4">
      <c r="A3527">
        <v>26</v>
      </c>
      <c r="B3527" t="s">
        <v>645</v>
      </c>
      <c r="C3527" s="10">
        <v>12.86</v>
      </c>
      <c r="D3527" s="10">
        <v>1.41</v>
      </c>
      <c r="E3527" s="16">
        <v>12.31</v>
      </c>
      <c r="F3527">
        <v>6745118</v>
      </c>
      <c r="G3527" s="5">
        <v>43139</v>
      </c>
    </row>
    <row r="3528" spans="1:7" x14ac:dyDescent="0.4">
      <c r="A3528">
        <v>27</v>
      </c>
      <c r="B3528" t="s">
        <v>462</v>
      </c>
      <c r="C3528" s="10">
        <v>7.3</v>
      </c>
      <c r="D3528" s="10">
        <v>0.8</v>
      </c>
      <c r="E3528" s="16">
        <v>12.31</v>
      </c>
      <c r="F3528">
        <v>1240639</v>
      </c>
      <c r="G3528" s="5">
        <v>43139</v>
      </c>
    </row>
    <row r="3529" spans="1:7" x14ac:dyDescent="0.4">
      <c r="A3529">
        <v>28</v>
      </c>
      <c r="B3529" t="s">
        <v>646</v>
      </c>
      <c r="C3529" s="10">
        <v>21.09</v>
      </c>
      <c r="D3529" s="10">
        <v>2.2999999999999998</v>
      </c>
      <c r="E3529" s="16">
        <v>12.24</v>
      </c>
      <c r="F3529">
        <v>14274029</v>
      </c>
      <c r="G3529" s="5">
        <v>43139</v>
      </c>
    </row>
    <row r="3530" spans="1:7" x14ac:dyDescent="0.4">
      <c r="A3530">
        <v>29</v>
      </c>
      <c r="B3530" t="s">
        <v>241</v>
      </c>
      <c r="C3530" s="10">
        <v>30.18</v>
      </c>
      <c r="D3530" s="10">
        <v>3.27</v>
      </c>
      <c r="E3530" s="16">
        <v>12.15</v>
      </c>
      <c r="F3530">
        <v>160942446</v>
      </c>
      <c r="G3530" s="5">
        <v>43139</v>
      </c>
    </row>
    <row r="3531" spans="1:7" x14ac:dyDescent="0.4">
      <c r="A3531">
        <v>30</v>
      </c>
      <c r="B3531" t="s">
        <v>445</v>
      </c>
      <c r="C3531" s="10">
        <v>17.100000000000001</v>
      </c>
      <c r="D3531" s="10">
        <v>1.85</v>
      </c>
      <c r="E3531" s="16">
        <v>12.13</v>
      </c>
      <c r="F3531">
        <v>2207006</v>
      </c>
      <c r="G3531" s="5">
        <v>43139</v>
      </c>
    </row>
    <row r="3532" spans="1:7" x14ac:dyDescent="0.4">
      <c r="A3532">
        <v>31</v>
      </c>
      <c r="B3532" t="s">
        <v>1804</v>
      </c>
      <c r="C3532" s="10">
        <v>17.12</v>
      </c>
      <c r="D3532" s="10">
        <v>1.79</v>
      </c>
      <c r="E3532" s="16">
        <v>11.68</v>
      </c>
      <c r="F3532">
        <v>2962205</v>
      </c>
      <c r="G3532" s="5">
        <v>43139</v>
      </c>
    </row>
    <row r="3533" spans="1:7" x14ac:dyDescent="0.4">
      <c r="A3533">
        <v>32</v>
      </c>
      <c r="B3533" t="s">
        <v>730</v>
      </c>
      <c r="C3533" s="10">
        <v>2.92</v>
      </c>
      <c r="D3533" s="10">
        <v>0.3</v>
      </c>
      <c r="E3533" s="16">
        <v>11.45</v>
      </c>
      <c r="F3533">
        <v>380053</v>
      </c>
      <c r="G3533" s="5">
        <v>43139</v>
      </c>
    </row>
    <row r="3534" spans="1:7" x14ac:dyDescent="0.4">
      <c r="A3534">
        <v>33</v>
      </c>
      <c r="B3534" t="s">
        <v>650</v>
      </c>
      <c r="C3534" s="10">
        <v>12.36</v>
      </c>
      <c r="D3534" s="10">
        <v>1.24</v>
      </c>
      <c r="E3534" s="16">
        <v>11.15</v>
      </c>
      <c r="F3534">
        <v>34123282</v>
      </c>
      <c r="G3534" s="5">
        <v>43139</v>
      </c>
    </row>
    <row r="3535" spans="1:7" x14ac:dyDescent="0.4">
      <c r="A3535">
        <v>34</v>
      </c>
      <c r="B3535" t="s">
        <v>653</v>
      </c>
      <c r="C3535" s="10">
        <v>32.6</v>
      </c>
      <c r="D3535" s="10">
        <v>3.27</v>
      </c>
      <c r="E3535" s="16">
        <v>11.15</v>
      </c>
      <c r="F3535">
        <v>10318525</v>
      </c>
      <c r="G3535" s="5">
        <v>43139</v>
      </c>
    </row>
    <row r="3536" spans="1:7" x14ac:dyDescent="0.4">
      <c r="A3536">
        <v>35</v>
      </c>
      <c r="B3536" t="s">
        <v>644</v>
      </c>
      <c r="C3536" s="10">
        <v>9.58</v>
      </c>
      <c r="D3536" s="10">
        <v>0.94</v>
      </c>
      <c r="E3536" s="16">
        <v>10.88</v>
      </c>
      <c r="F3536">
        <v>2760172</v>
      </c>
      <c r="G3536" s="5">
        <v>43139</v>
      </c>
    </row>
    <row r="3537" spans="1:7" x14ac:dyDescent="0.4">
      <c r="A3537">
        <v>36</v>
      </c>
      <c r="B3537" t="s">
        <v>654</v>
      </c>
      <c r="C3537" s="10">
        <v>11.76</v>
      </c>
      <c r="D3537" s="10">
        <v>1.1299999999999999</v>
      </c>
      <c r="E3537" s="16">
        <v>10.63</v>
      </c>
      <c r="F3537">
        <v>5376</v>
      </c>
      <c r="G3537" s="5">
        <v>43139</v>
      </c>
    </row>
    <row r="3538" spans="1:7" x14ac:dyDescent="0.4">
      <c r="A3538">
        <v>37</v>
      </c>
      <c r="B3538" t="s">
        <v>1468</v>
      </c>
      <c r="C3538" s="10">
        <v>9</v>
      </c>
      <c r="D3538" s="10">
        <v>0.85</v>
      </c>
      <c r="E3538" s="16">
        <v>10.43</v>
      </c>
      <c r="F3538">
        <v>1813928</v>
      </c>
      <c r="G3538" s="5">
        <v>43139</v>
      </c>
    </row>
    <row r="3539" spans="1:7" x14ac:dyDescent="0.4">
      <c r="A3539">
        <v>38</v>
      </c>
      <c r="B3539" t="s">
        <v>491</v>
      </c>
      <c r="C3539" s="10">
        <v>17.36</v>
      </c>
      <c r="D3539" s="10">
        <v>1.61</v>
      </c>
      <c r="E3539" s="16">
        <v>10.23</v>
      </c>
      <c r="F3539">
        <v>28481</v>
      </c>
      <c r="G3539" s="5">
        <v>43139</v>
      </c>
    </row>
    <row r="3540" spans="1:7" x14ac:dyDescent="0.4">
      <c r="A3540">
        <v>39</v>
      </c>
      <c r="B3540" t="s">
        <v>656</v>
      </c>
      <c r="C3540" s="10">
        <v>15.55</v>
      </c>
      <c r="D3540" s="10">
        <v>1.44</v>
      </c>
      <c r="E3540" s="16">
        <v>10.210000000000001</v>
      </c>
      <c r="F3540">
        <v>39014</v>
      </c>
      <c r="G3540" s="5">
        <v>43139</v>
      </c>
    </row>
    <row r="3541" spans="1:7" x14ac:dyDescent="0.4">
      <c r="A3541">
        <v>40</v>
      </c>
      <c r="B3541" t="s">
        <v>1805</v>
      </c>
      <c r="C3541" s="10">
        <v>46.33</v>
      </c>
      <c r="D3541" s="10">
        <v>4.29</v>
      </c>
      <c r="E3541" s="16">
        <v>10.199999999999999</v>
      </c>
      <c r="F3541">
        <v>557850</v>
      </c>
      <c r="G3541" s="5">
        <v>43139</v>
      </c>
    </row>
    <row r="3542" spans="1:7" x14ac:dyDescent="0.4">
      <c r="A3542">
        <v>41</v>
      </c>
      <c r="B3542" t="s">
        <v>404</v>
      </c>
      <c r="C3542" s="10">
        <v>5.31</v>
      </c>
      <c r="D3542" s="10">
        <v>0.49</v>
      </c>
      <c r="E3542" s="16">
        <v>10.17</v>
      </c>
      <c r="F3542">
        <v>1359778</v>
      </c>
      <c r="G3542" s="5">
        <v>43139</v>
      </c>
    </row>
    <row r="3543" spans="1:7" x14ac:dyDescent="0.4">
      <c r="A3543">
        <v>42</v>
      </c>
      <c r="B3543" t="s">
        <v>1806</v>
      </c>
      <c r="C3543" s="10">
        <v>24.4</v>
      </c>
      <c r="D3543" s="10">
        <v>2.25</v>
      </c>
      <c r="E3543" s="16">
        <v>10.16</v>
      </c>
      <c r="F3543">
        <v>7656657</v>
      </c>
      <c r="G3543" s="5">
        <v>43139</v>
      </c>
    </row>
    <row r="3544" spans="1:7" x14ac:dyDescent="0.4">
      <c r="A3544">
        <v>43</v>
      </c>
      <c r="B3544" t="s">
        <v>154</v>
      </c>
      <c r="C3544" s="10">
        <v>53.13</v>
      </c>
      <c r="D3544" s="10">
        <v>4.8600000000000003</v>
      </c>
      <c r="E3544" s="16">
        <v>10.06</v>
      </c>
      <c r="F3544">
        <v>48255</v>
      </c>
      <c r="G3544" s="5">
        <v>43139</v>
      </c>
    </row>
    <row r="3545" spans="1:7" x14ac:dyDescent="0.4">
      <c r="A3545">
        <v>44</v>
      </c>
      <c r="B3545" t="s">
        <v>1807</v>
      </c>
      <c r="C3545" s="10">
        <v>9.9499999999999993</v>
      </c>
      <c r="D3545" s="10">
        <v>0.88</v>
      </c>
      <c r="E3545" s="16">
        <v>9.64</v>
      </c>
      <c r="F3545">
        <v>5773</v>
      </c>
      <c r="G3545" s="5">
        <v>43139</v>
      </c>
    </row>
    <row r="3546" spans="1:7" x14ac:dyDescent="0.4">
      <c r="A3546">
        <v>45</v>
      </c>
      <c r="B3546" t="s">
        <v>54</v>
      </c>
      <c r="C3546" s="10">
        <v>2.61</v>
      </c>
      <c r="D3546" s="10">
        <v>0.22</v>
      </c>
      <c r="E3546" s="16">
        <v>9.2100000000000009</v>
      </c>
      <c r="F3546">
        <v>47732</v>
      </c>
      <c r="G3546" s="5">
        <v>43139</v>
      </c>
    </row>
    <row r="3547" spans="1:7" x14ac:dyDescent="0.4">
      <c r="A3547">
        <v>46</v>
      </c>
      <c r="B3547" t="s">
        <v>1808</v>
      </c>
      <c r="C3547" s="10">
        <v>6.55</v>
      </c>
      <c r="D3547" s="10">
        <v>0.55000000000000004</v>
      </c>
      <c r="E3547" s="16">
        <v>9.17</v>
      </c>
      <c r="F3547">
        <v>69658</v>
      </c>
      <c r="G3547" s="5">
        <v>43139</v>
      </c>
    </row>
    <row r="3548" spans="1:7" x14ac:dyDescent="0.4">
      <c r="A3548">
        <v>47</v>
      </c>
      <c r="B3548" t="s">
        <v>486</v>
      </c>
      <c r="C3548" s="10">
        <v>10.98</v>
      </c>
      <c r="D3548" s="10">
        <v>0.92</v>
      </c>
      <c r="E3548" s="16">
        <v>9.15</v>
      </c>
      <c r="F3548">
        <v>2067538</v>
      </c>
      <c r="G3548" s="5">
        <v>43139</v>
      </c>
    </row>
    <row r="3549" spans="1:7" x14ac:dyDescent="0.4">
      <c r="A3549">
        <v>48</v>
      </c>
      <c r="B3549" t="s">
        <v>251</v>
      </c>
      <c r="C3549" s="10">
        <v>2.72</v>
      </c>
      <c r="D3549" s="10">
        <v>0.23</v>
      </c>
      <c r="E3549" s="16">
        <v>9.0500000000000007</v>
      </c>
      <c r="F3549">
        <v>30459</v>
      </c>
      <c r="G3549" s="5">
        <v>43139</v>
      </c>
    </row>
    <row r="3550" spans="1:7" x14ac:dyDescent="0.4">
      <c r="A3550">
        <v>49</v>
      </c>
      <c r="B3550" t="s">
        <v>1809</v>
      </c>
      <c r="C3550" s="10">
        <v>39.47</v>
      </c>
      <c r="D3550" s="10">
        <v>3.24</v>
      </c>
      <c r="E3550" s="16">
        <v>8.94</v>
      </c>
      <c r="F3550">
        <v>270662</v>
      </c>
      <c r="G3550" s="5">
        <v>43139</v>
      </c>
    </row>
    <row r="3551" spans="1:7" x14ac:dyDescent="0.4">
      <c r="A3551">
        <v>50</v>
      </c>
      <c r="B3551" t="s">
        <v>659</v>
      </c>
      <c r="C3551" s="10">
        <v>36.6</v>
      </c>
      <c r="D3551" s="10">
        <v>2.97</v>
      </c>
      <c r="E3551" s="16">
        <v>8.83</v>
      </c>
      <c r="F3551">
        <v>804772</v>
      </c>
      <c r="G3551" s="5">
        <v>43139</v>
      </c>
    </row>
    <row r="3552" spans="1:7" x14ac:dyDescent="0.4">
      <c r="A3552">
        <v>51</v>
      </c>
      <c r="B3552" t="s">
        <v>1000</v>
      </c>
      <c r="C3552" s="10">
        <v>5.0599999999999996</v>
      </c>
      <c r="D3552" s="10">
        <v>0.41</v>
      </c>
      <c r="E3552" s="16">
        <v>8.82</v>
      </c>
      <c r="F3552">
        <v>216010</v>
      </c>
      <c r="G3552" s="5">
        <v>43139</v>
      </c>
    </row>
    <row r="3553" spans="1:7" x14ac:dyDescent="0.4">
      <c r="A3553">
        <v>52</v>
      </c>
      <c r="B3553" t="s">
        <v>660</v>
      </c>
      <c r="C3553" s="10">
        <v>13.89</v>
      </c>
      <c r="D3553" s="10">
        <v>1.1100000000000001</v>
      </c>
      <c r="E3553" s="16">
        <v>8.69</v>
      </c>
      <c r="F3553">
        <v>16572105</v>
      </c>
      <c r="G3553" s="5">
        <v>43139</v>
      </c>
    </row>
    <row r="3554" spans="1:7" x14ac:dyDescent="0.4">
      <c r="A3554">
        <v>53</v>
      </c>
      <c r="B3554" t="s">
        <v>85</v>
      </c>
      <c r="C3554" s="10">
        <v>5.65</v>
      </c>
      <c r="D3554" s="10">
        <v>0.45</v>
      </c>
      <c r="E3554" s="16">
        <v>8.65</v>
      </c>
      <c r="F3554">
        <v>1371698</v>
      </c>
      <c r="G3554" s="5">
        <v>43139</v>
      </c>
    </row>
    <row r="3555" spans="1:7" x14ac:dyDescent="0.4">
      <c r="A3555">
        <v>54</v>
      </c>
      <c r="B3555" t="s">
        <v>651</v>
      </c>
      <c r="C3555" s="10">
        <v>16.63</v>
      </c>
      <c r="D3555" s="10">
        <v>1.32</v>
      </c>
      <c r="E3555" s="16">
        <v>8.6199999999999992</v>
      </c>
      <c r="F3555">
        <v>249173</v>
      </c>
      <c r="G3555" s="5">
        <v>43139</v>
      </c>
    </row>
    <row r="3556" spans="1:7" x14ac:dyDescent="0.4">
      <c r="A3556">
        <v>55</v>
      </c>
      <c r="B3556" t="s">
        <v>728</v>
      </c>
      <c r="C3556" s="10">
        <v>15.5</v>
      </c>
      <c r="D3556" s="10">
        <v>1.23</v>
      </c>
      <c r="E3556" s="16">
        <v>8.6199999999999992</v>
      </c>
      <c r="F3556">
        <v>121030</v>
      </c>
      <c r="G3556" s="5">
        <v>43139</v>
      </c>
    </row>
    <row r="3557" spans="1:7" x14ac:dyDescent="0.4">
      <c r="A3557">
        <v>56</v>
      </c>
      <c r="B3557" t="s">
        <v>718</v>
      </c>
      <c r="C3557" s="10">
        <v>30.86</v>
      </c>
      <c r="D3557" s="10">
        <v>2.42</v>
      </c>
      <c r="E3557" s="16">
        <v>8.51</v>
      </c>
      <c r="F3557">
        <v>3105</v>
      </c>
      <c r="G3557" s="5">
        <v>43139</v>
      </c>
    </row>
    <row r="3558" spans="1:7" x14ac:dyDescent="0.4">
      <c r="A3558">
        <v>57</v>
      </c>
      <c r="B3558" t="s">
        <v>1810</v>
      </c>
      <c r="C3558" s="10">
        <v>2.17</v>
      </c>
      <c r="D3558" s="10">
        <v>0.17</v>
      </c>
      <c r="E3558" s="16">
        <v>8.5</v>
      </c>
      <c r="F3558">
        <v>23086</v>
      </c>
      <c r="G3558" s="5">
        <v>43139</v>
      </c>
    </row>
    <row r="3559" spans="1:7" x14ac:dyDescent="0.4">
      <c r="A3559">
        <v>58</v>
      </c>
      <c r="B3559" t="s">
        <v>683</v>
      </c>
      <c r="C3559" s="10">
        <v>22.31</v>
      </c>
      <c r="D3559" s="10">
        <v>1.75</v>
      </c>
      <c r="E3559" s="16">
        <v>8.5</v>
      </c>
      <c r="F3559">
        <v>131419</v>
      </c>
      <c r="G3559" s="5">
        <v>43139</v>
      </c>
    </row>
    <row r="3560" spans="1:7" x14ac:dyDescent="0.4">
      <c r="A3560">
        <v>59</v>
      </c>
      <c r="B3560" t="s">
        <v>666</v>
      </c>
      <c r="C3560" s="10">
        <v>13.25</v>
      </c>
      <c r="D3560" s="10">
        <v>1.04</v>
      </c>
      <c r="E3560" s="16">
        <v>8.48</v>
      </c>
      <c r="F3560">
        <v>34282</v>
      </c>
      <c r="G3560" s="5">
        <v>43139</v>
      </c>
    </row>
    <row r="3561" spans="1:7" x14ac:dyDescent="0.4">
      <c r="A3561">
        <v>60</v>
      </c>
      <c r="B3561" t="s">
        <v>941</v>
      </c>
      <c r="C3561" s="10">
        <v>7.05</v>
      </c>
      <c r="D3561" s="10">
        <v>0.55000000000000004</v>
      </c>
      <c r="E3561" s="16">
        <v>8.4600000000000009</v>
      </c>
      <c r="F3561">
        <v>2495</v>
      </c>
      <c r="G3561" s="5">
        <v>43139</v>
      </c>
    </row>
    <row r="3562" spans="1:7" x14ac:dyDescent="0.4">
      <c r="A3562">
        <v>61</v>
      </c>
      <c r="B3562" t="s">
        <v>674</v>
      </c>
      <c r="C3562" s="10">
        <v>13.6</v>
      </c>
      <c r="D3562" s="10">
        <v>1.06</v>
      </c>
      <c r="E3562" s="16">
        <v>8.4499999999999993</v>
      </c>
      <c r="F3562">
        <v>13353104</v>
      </c>
      <c r="G3562" s="5">
        <v>43139</v>
      </c>
    </row>
    <row r="3563" spans="1:7" x14ac:dyDescent="0.4">
      <c r="A3563">
        <v>62</v>
      </c>
      <c r="B3563" t="s">
        <v>1811</v>
      </c>
      <c r="C3563" s="10">
        <v>37.950000000000003</v>
      </c>
      <c r="D3563" s="10">
        <v>2.94</v>
      </c>
      <c r="E3563" s="16">
        <v>8.4</v>
      </c>
      <c r="F3563">
        <v>682784</v>
      </c>
      <c r="G3563" s="5">
        <v>43139</v>
      </c>
    </row>
    <row r="3564" spans="1:7" x14ac:dyDescent="0.4">
      <c r="A3564">
        <v>63</v>
      </c>
      <c r="B3564" t="s">
        <v>661</v>
      </c>
      <c r="C3564" s="10">
        <v>22.45</v>
      </c>
      <c r="D3564" s="10">
        <v>1.69</v>
      </c>
      <c r="E3564" s="16">
        <v>8.14</v>
      </c>
      <c r="F3564">
        <v>92557</v>
      </c>
      <c r="G3564" s="5">
        <v>43139</v>
      </c>
    </row>
    <row r="3565" spans="1:7" x14ac:dyDescent="0.4">
      <c r="A3565">
        <v>64</v>
      </c>
      <c r="B3565" t="s">
        <v>664</v>
      </c>
      <c r="C3565" s="10">
        <v>9.19</v>
      </c>
      <c r="D3565" s="10">
        <v>0.69</v>
      </c>
      <c r="E3565" s="16">
        <v>8.1199999999999992</v>
      </c>
      <c r="F3565">
        <v>6652119</v>
      </c>
      <c r="G3565" s="5">
        <v>43139</v>
      </c>
    </row>
    <row r="3566" spans="1:7" x14ac:dyDescent="0.4">
      <c r="A3566">
        <v>65</v>
      </c>
      <c r="B3566" t="s">
        <v>427</v>
      </c>
      <c r="C3566" s="10">
        <v>21.47</v>
      </c>
      <c r="D3566" s="10">
        <v>1.57</v>
      </c>
      <c r="E3566" s="16">
        <v>7.89</v>
      </c>
      <c r="F3566">
        <v>33337</v>
      </c>
      <c r="G3566" s="5">
        <v>43139</v>
      </c>
    </row>
    <row r="3567" spans="1:7" x14ac:dyDescent="0.4">
      <c r="A3567">
        <v>66</v>
      </c>
      <c r="B3567" t="s">
        <v>1812</v>
      </c>
      <c r="C3567" s="10">
        <v>18.5</v>
      </c>
      <c r="D3567" s="10">
        <v>1.35</v>
      </c>
      <c r="E3567" s="16">
        <v>7.87</v>
      </c>
      <c r="F3567">
        <v>1424519</v>
      </c>
      <c r="G3567" s="5">
        <v>43139</v>
      </c>
    </row>
    <row r="3568" spans="1:7" x14ac:dyDescent="0.4">
      <c r="A3568">
        <v>67</v>
      </c>
      <c r="B3568" t="s">
        <v>838</v>
      </c>
      <c r="C3568" s="10">
        <v>22.77</v>
      </c>
      <c r="D3568" s="10">
        <v>1.66</v>
      </c>
      <c r="E3568" s="16">
        <v>7.86</v>
      </c>
      <c r="F3568">
        <v>984982</v>
      </c>
      <c r="G3568" s="5">
        <v>43139</v>
      </c>
    </row>
    <row r="3569" spans="1:7" x14ac:dyDescent="0.4">
      <c r="A3569">
        <v>68</v>
      </c>
      <c r="B3569" t="s">
        <v>474</v>
      </c>
      <c r="C3569" s="10">
        <v>10.75</v>
      </c>
      <c r="D3569" s="10">
        <v>0.78</v>
      </c>
      <c r="E3569" s="16">
        <v>7.82</v>
      </c>
      <c r="F3569">
        <v>18442</v>
      </c>
      <c r="G3569" s="5">
        <v>43139</v>
      </c>
    </row>
    <row r="3570" spans="1:7" x14ac:dyDescent="0.4">
      <c r="A3570">
        <v>69</v>
      </c>
      <c r="B3570" t="s">
        <v>176</v>
      </c>
      <c r="C3570" s="10">
        <v>21</v>
      </c>
      <c r="D3570" s="10">
        <v>1.52</v>
      </c>
      <c r="E3570" s="16">
        <v>7.8</v>
      </c>
      <c r="F3570">
        <v>131732</v>
      </c>
      <c r="G3570" s="5">
        <v>43139</v>
      </c>
    </row>
    <row r="3571" spans="1:7" x14ac:dyDescent="0.4">
      <c r="A3571">
        <v>70</v>
      </c>
      <c r="B3571" t="s">
        <v>839</v>
      </c>
      <c r="C3571" s="10">
        <v>27.48</v>
      </c>
      <c r="D3571" s="10">
        <v>1.98</v>
      </c>
      <c r="E3571" s="16">
        <v>7.76</v>
      </c>
      <c r="F3571">
        <v>237348</v>
      </c>
      <c r="G3571" s="5">
        <v>43139</v>
      </c>
    </row>
    <row r="3572" spans="1:7" x14ac:dyDescent="0.4">
      <c r="A3572">
        <v>71</v>
      </c>
      <c r="B3572" t="s">
        <v>196</v>
      </c>
      <c r="C3572" s="10">
        <v>3.53</v>
      </c>
      <c r="D3572" s="10">
        <v>0.25</v>
      </c>
      <c r="E3572" s="16">
        <v>7.62</v>
      </c>
      <c r="F3572">
        <v>4985</v>
      </c>
      <c r="G3572" s="5">
        <v>43139</v>
      </c>
    </row>
    <row r="3573" spans="1:7" x14ac:dyDescent="0.4">
      <c r="A3573">
        <v>72</v>
      </c>
      <c r="B3573" t="s">
        <v>1813</v>
      </c>
      <c r="C3573" s="10">
        <v>24.05</v>
      </c>
      <c r="D3573" s="10">
        <v>1.7</v>
      </c>
      <c r="E3573" s="16">
        <v>7.61</v>
      </c>
      <c r="F3573">
        <v>492342</v>
      </c>
      <c r="G3573" s="5">
        <v>43139</v>
      </c>
    </row>
    <row r="3574" spans="1:7" x14ac:dyDescent="0.4">
      <c r="A3574">
        <v>73</v>
      </c>
      <c r="B3574" t="s">
        <v>1814</v>
      </c>
      <c r="C3574" s="10">
        <v>82.93</v>
      </c>
      <c r="D3574" s="10">
        <v>5.76</v>
      </c>
      <c r="E3574" s="16">
        <v>7.46</v>
      </c>
      <c r="F3574">
        <v>6340392</v>
      </c>
      <c r="G3574" s="5">
        <v>43139</v>
      </c>
    </row>
    <row r="3575" spans="1:7" x14ac:dyDescent="0.4">
      <c r="A3575">
        <v>74</v>
      </c>
      <c r="B3575" t="s">
        <v>678</v>
      </c>
      <c r="C3575" s="10">
        <v>43.64</v>
      </c>
      <c r="D3575" s="10">
        <v>3.02</v>
      </c>
      <c r="E3575" s="16">
        <v>7.43</v>
      </c>
      <c r="F3575">
        <v>13931613</v>
      </c>
      <c r="G3575" s="5">
        <v>43139</v>
      </c>
    </row>
    <row r="3576" spans="1:7" x14ac:dyDescent="0.4">
      <c r="A3576">
        <v>75</v>
      </c>
      <c r="B3576" t="s">
        <v>665</v>
      </c>
      <c r="C3576" s="10">
        <v>14.76</v>
      </c>
      <c r="D3576" s="10">
        <v>1.01</v>
      </c>
      <c r="E3576" s="16">
        <v>7.35</v>
      </c>
      <c r="F3576">
        <v>22321</v>
      </c>
      <c r="G3576" s="5">
        <v>43139</v>
      </c>
    </row>
    <row r="3577" spans="1:7" x14ac:dyDescent="0.4">
      <c r="A3577">
        <v>76</v>
      </c>
      <c r="B3577" t="s">
        <v>1245</v>
      </c>
      <c r="C3577" s="10">
        <v>7.85</v>
      </c>
      <c r="D3577" s="10">
        <v>0.53</v>
      </c>
      <c r="E3577" s="16">
        <v>7.24</v>
      </c>
      <c r="F3577">
        <v>86333</v>
      </c>
      <c r="G3577" s="5">
        <v>43139</v>
      </c>
    </row>
    <row r="3578" spans="1:7" x14ac:dyDescent="0.4">
      <c r="A3578">
        <v>77</v>
      </c>
      <c r="B3578" t="s">
        <v>1815</v>
      </c>
      <c r="C3578" s="10">
        <v>32.71</v>
      </c>
      <c r="D3578" s="10">
        <v>2.2000000000000002</v>
      </c>
      <c r="E3578" s="16">
        <v>7.21</v>
      </c>
      <c r="F3578">
        <v>11600892</v>
      </c>
      <c r="G3578" s="5">
        <v>43139</v>
      </c>
    </row>
    <row r="3579" spans="1:7" x14ac:dyDescent="0.4">
      <c r="A3579">
        <v>78</v>
      </c>
      <c r="B3579" t="s">
        <v>1816</v>
      </c>
      <c r="C3579" s="10">
        <v>43.95</v>
      </c>
      <c r="D3579" s="10">
        <v>2.95</v>
      </c>
      <c r="E3579" s="16">
        <v>7.2</v>
      </c>
      <c r="F3579">
        <v>3141910</v>
      </c>
      <c r="G3579" s="5">
        <v>43139</v>
      </c>
    </row>
    <row r="3580" spans="1:7" x14ac:dyDescent="0.4">
      <c r="A3580">
        <v>79</v>
      </c>
      <c r="B3580" t="s">
        <v>296</v>
      </c>
      <c r="C3580" s="10">
        <v>4.6399999999999997</v>
      </c>
      <c r="D3580" s="10">
        <v>0.31</v>
      </c>
      <c r="E3580" s="16">
        <v>7.16</v>
      </c>
      <c r="F3580">
        <v>47783</v>
      </c>
      <c r="G3580" s="5">
        <v>43139</v>
      </c>
    </row>
    <row r="3581" spans="1:7" x14ac:dyDescent="0.4">
      <c r="A3581">
        <v>80</v>
      </c>
      <c r="B3581" t="s">
        <v>131</v>
      </c>
      <c r="C3581" s="10">
        <v>3.01</v>
      </c>
      <c r="D3581" s="10">
        <v>0.2</v>
      </c>
      <c r="E3581" s="16">
        <v>7.12</v>
      </c>
      <c r="F3581">
        <v>2554</v>
      </c>
      <c r="G3581" s="5">
        <v>43139</v>
      </c>
    </row>
    <row r="3582" spans="1:7" x14ac:dyDescent="0.4">
      <c r="A3582">
        <v>81</v>
      </c>
      <c r="B3582" t="s">
        <v>658</v>
      </c>
      <c r="C3582" s="10">
        <v>8.73</v>
      </c>
      <c r="D3582" s="10">
        <v>0.57999999999999996</v>
      </c>
      <c r="E3582" s="16">
        <v>7.12</v>
      </c>
      <c r="F3582">
        <v>155819</v>
      </c>
      <c r="G3582" s="5">
        <v>43139</v>
      </c>
    </row>
    <row r="3583" spans="1:7" x14ac:dyDescent="0.4">
      <c r="A3583">
        <v>82</v>
      </c>
      <c r="B3583" t="s">
        <v>652</v>
      </c>
      <c r="C3583" s="10">
        <v>14.48</v>
      </c>
      <c r="D3583" s="10">
        <v>0.94</v>
      </c>
      <c r="E3583" s="16">
        <v>6.94</v>
      </c>
      <c r="F3583">
        <v>15093</v>
      </c>
      <c r="G3583" s="5">
        <v>43139</v>
      </c>
    </row>
    <row r="3584" spans="1:7" x14ac:dyDescent="0.4">
      <c r="A3584">
        <v>83</v>
      </c>
      <c r="B3584" t="s">
        <v>668</v>
      </c>
      <c r="C3584" s="10">
        <v>20.69</v>
      </c>
      <c r="D3584" s="10">
        <v>1.34</v>
      </c>
      <c r="E3584" s="16">
        <v>6.94</v>
      </c>
      <c r="F3584">
        <v>31066</v>
      </c>
      <c r="G3584" s="5">
        <v>43139</v>
      </c>
    </row>
    <row r="3585" spans="1:7" x14ac:dyDescent="0.4">
      <c r="A3585">
        <v>84</v>
      </c>
      <c r="B3585" t="s">
        <v>1252</v>
      </c>
      <c r="C3585" s="10">
        <v>27.42</v>
      </c>
      <c r="D3585" s="10">
        <v>1.77</v>
      </c>
      <c r="E3585" s="16">
        <v>6.91</v>
      </c>
      <c r="F3585">
        <v>8343</v>
      </c>
      <c r="G3585" s="5">
        <v>43139</v>
      </c>
    </row>
    <row r="3586" spans="1:7" x14ac:dyDescent="0.4">
      <c r="A3586">
        <v>85</v>
      </c>
      <c r="B3586" t="s">
        <v>671</v>
      </c>
      <c r="C3586" s="10">
        <v>10.38</v>
      </c>
      <c r="D3586" s="10">
        <v>0.67</v>
      </c>
      <c r="E3586" s="16">
        <v>6.9</v>
      </c>
      <c r="F3586">
        <v>1039598</v>
      </c>
      <c r="G3586" s="5">
        <v>43139</v>
      </c>
    </row>
    <row r="3587" spans="1:7" x14ac:dyDescent="0.4">
      <c r="A3587">
        <v>86</v>
      </c>
      <c r="B3587" t="s">
        <v>1227</v>
      </c>
      <c r="C3587" s="10">
        <v>2.95</v>
      </c>
      <c r="D3587" s="10">
        <v>0.19</v>
      </c>
      <c r="E3587" s="16">
        <v>6.88</v>
      </c>
      <c r="F3587">
        <v>419622</v>
      </c>
      <c r="G3587" s="5">
        <v>43139</v>
      </c>
    </row>
    <row r="3588" spans="1:7" x14ac:dyDescent="0.4">
      <c r="A3588">
        <v>87</v>
      </c>
      <c r="B3588" t="s">
        <v>1817</v>
      </c>
      <c r="C3588" s="10">
        <v>2.39</v>
      </c>
      <c r="D3588" s="10">
        <v>0.15</v>
      </c>
      <c r="E3588" s="16">
        <v>6.69</v>
      </c>
      <c r="F3588">
        <v>7271</v>
      </c>
      <c r="G3588" s="5">
        <v>43139</v>
      </c>
    </row>
    <row r="3589" spans="1:7" x14ac:dyDescent="0.4">
      <c r="A3589">
        <v>88</v>
      </c>
      <c r="B3589" t="s">
        <v>670</v>
      </c>
      <c r="C3589" s="10">
        <v>13.5</v>
      </c>
      <c r="D3589" s="10">
        <v>0.84</v>
      </c>
      <c r="E3589" s="16">
        <v>6.64</v>
      </c>
      <c r="F3589">
        <v>6827198</v>
      </c>
      <c r="G3589" s="5">
        <v>43139</v>
      </c>
    </row>
    <row r="3590" spans="1:7" x14ac:dyDescent="0.4">
      <c r="A3590">
        <v>89</v>
      </c>
      <c r="B3590" t="s">
        <v>355</v>
      </c>
      <c r="C3590" s="10">
        <v>8.08</v>
      </c>
      <c r="D3590" s="10">
        <v>0.5</v>
      </c>
      <c r="E3590" s="16">
        <v>6.6</v>
      </c>
      <c r="F3590">
        <v>372853</v>
      </c>
      <c r="G3590" s="5">
        <v>43139</v>
      </c>
    </row>
    <row r="3591" spans="1:7" x14ac:dyDescent="0.4">
      <c r="A3591">
        <v>90</v>
      </c>
      <c r="B3591" t="s">
        <v>1818</v>
      </c>
      <c r="C3591" s="10">
        <v>20.25</v>
      </c>
      <c r="D3591" s="10">
        <v>1.25</v>
      </c>
      <c r="E3591" s="16">
        <v>6.58</v>
      </c>
      <c r="F3591">
        <v>14914319</v>
      </c>
      <c r="G3591" s="5">
        <v>43139</v>
      </c>
    </row>
    <row r="3592" spans="1:7" x14ac:dyDescent="0.4">
      <c r="A3592">
        <v>91</v>
      </c>
      <c r="B3592" t="s">
        <v>1819</v>
      </c>
      <c r="C3592" s="10">
        <v>18.25</v>
      </c>
      <c r="D3592" s="10">
        <v>1.1000000000000001</v>
      </c>
      <c r="E3592" s="16">
        <v>6.41</v>
      </c>
      <c r="F3592">
        <v>1605963</v>
      </c>
      <c r="G3592" s="5">
        <v>43139</v>
      </c>
    </row>
    <row r="3593" spans="1:7" x14ac:dyDescent="0.4">
      <c r="A3593">
        <v>92</v>
      </c>
      <c r="B3593" t="s">
        <v>1242</v>
      </c>
      <c r="C3593" s="10">
        <v>3.19</v>
      </c>
      <c r="D3593" s="10">
        <v>0.19</v>
      </c>
      <c r="E3593" s="16">
        <v>6.34</v>
      </c>
      <c r="F3593">
        <v>83016</v>
      </c>
      <c r="G3593" s="5">
        <v>43139</v>
      </c>
    </row>
    <row r="3594" spans="1:7" x14ac:dyDescent="0.4">
      <c r="A3594">
        <v>93</v>
      </c>
      <c r="B3594" t="s">
        <v>1820</v>
      </c>
      <c r="C3594" s="10">
        <v>70.680000000000007</v>
      </c>
      <c r="D3594" s="10">
        <v>4.2</v>
      </c>
      <c r="E3594" s="16">
        <v>6.32</v>
      </c>
      <c r="F3594">
        <v>742897</v>
      </c>
      <c r="G3594" s="5">
        <v>43139</v>
      </c>
    </row>
    <row r="3595" spans="1:7" x14ac:dyDescent="0.4">
      <c r="A3595">
        <v>94</v>
      </c>
      <c r="B3595" t="s">
        <v>1289</v>
      </c>
      <c r="C3595" s="10">
        <v>42.93</v>
      </c>
      <c r="D3595" s="10">
        <v>2.54</v>
      </c>
      <c r="E3595" s="16">
        <v>6.29</v>
      </c>
      <c r="F3595">
        <v>172540</v>
      </c>
      <c r="G3595" s="5">
        <v>43139</v>
      </c>
    </row>
    <row r="3596" spans="1:7" x14ac:dyDescent="0.4">
      <c r="A3596">
        <v>95</v>
      </c>
      <c r="B3596" t="s">
        <v>685</v>
      </c>
      <c r="C3596" s="10">
        <v>10.78</v>
      </c>
      <c r="D3596" s="10">
        <v>0.63</v>
      </c>
      <c r="E3596" s="16">
        <v>6.21</v>
      </c>
      <c r="F3596">
        <v>3769</v>
      </c>
      <c r="G3596" s="5">
        <v>43139</v>
      </c>
    </row>
    <row r="3597" spans="1:7" x14ac:dyDescent="0.4">
      <c r="A3597">
        <v>96</v>
      </c>
      <c r="B3597" t="s">
        <v>1081</v>
      </c>
      <c r="C3597" s="10">
        <v>4.3</v>
      </c>
      <c r="D3597" s="10">
        <v>0.25</v>
      </c>
      <c r="E3597" s="16">
        <v>6.17</v>
      </c>
      <c r="F3597">
        <v>79955</v>
      </c>
      <c r="G3597" s="5">
        <v>43139</v>
      </c>
    </row>
    <row r="3598" spans="1:7" x14ac:dyDescent="0.4">
      <c r="A3598">
        <v>97</v>
      </c>
      <c r="B3598" t="s">
        <v>700</v>
      </c>
      <c r="C3598" s="10">
        <v>17.29</v>
      </c>
      <c r="D3598" s="10">
        <v>0.99</v>
      </c>
      <c r="E3598" s="16">
        <v>6.07</v>
      </c>
      <c r="F3598">
        <v>2348</v>
      </c>
      <c r="G3598" s="5">
        <v>43139</v>
      </c>
    </row>
    <row r="3599" spans="1:7" x14ac:dyDescent="0.4">
      <c r="A3599">
        <v>98</v>
      </c>
      <c r="B3599" t="s">
        <v>1821</v>
      </c>
      <c r="C3599" s="10">
        <v>27.98</v>
      </c>
      <c r="D3599" s="10">
        <v>1.59</v>
      </c>
      <c r="E3599" s="16">
        <v>6.03</v>
      </c>
      <c r="F3599">
        <v>1071976</v>
      </c>
      <c r="G3599" s="5">
        <v>43139</v>
      </c>
    </row>
    <row r="3600" spans="1:7" x14ac:dyDescent="0.4">
      <c r="A3600">
        <v>99</v>
      </c>
      <c r="B3600" t="s">
        <v>1455</v>
      </c>
      <c r="C3600" s="10">
        <v>36.9</v>
      </c>
      <c r="D3600" s="10">
        <v>2.09</v>
      </c>
      <c r="E3600" s="16">
        <v>6</v>
      </c>
      <c r="F3600">
        <v>57218</v>
      </c>
      <c r="G3600" s="5">
        <v>43139</v>
      </c>
    </row>
    <row r="3601" spans="1:7" x14ac:dyDescent="0.4">
      <c r="A3601">
        <v>100</v>
      </c>
      <c r="B3601" t="s">
        <v>1822</v>
      </c>
      <c r="C3601" s="10">
        <v>7.95</v>
      </c>
      <c r="D3601" s="10">
        <v>0.45</v>
      </c>
      <c r="E3601" s="16">
        <v>6</v>
      </c>
      <c r="F3601">
        <v>183354</v>
      </c>
      <c r="G3601" s="5">
        <v>43139</v>
      </c>
    </row>
    <row r="3602" spans="1:7" x14ac:dyDescent="0.4">
      <c r="A3602">
        <v>1</v>
      </c>
      <c r="B3602" t="s">
        <v>1413</v>
      </c>
      <c r="C3602" s="10">
        <v>20.75</v>
      </c>
      <c r="D3602" s="10">
        <v>6.69</v>
      </c>
      <c r="E3602" s="16">
        <v>47.58</v>
      </c>
      <c r="F3602">
        <v>230956943</v>
      </c>
      <c r="G3602" s="5">
        <v>43138</v>
      </c>
    </row>
    <row r="3603" spans="1:7" x14ac:dyDescent="0.4">
      <c r="A3603">
        <v>2</v>
      </c>
      <c r="B3603" t="s">
        <v>274</v>
      </c>
      <c r="C3603" s="10">
        <v>4.26</v>
      </c>
      <c r="D3603" s="10">
        <v>0.9</v>
      </c>
      <c r="E3603" s="16">
        <v>26.79</v>
      </c>
      <c r="F3603">
        <v>2217735</v>
      </c>
      <c r="G3603" s="5">
        <v>43138</v>
      </c>
    </row>
    <row r="3604" spans="1:7" x14ac:dyDescent="0.4">
      <c r="A3604">
        <v>3</v>
      </c>
      <c r="B3604" t="s">
        <v>1823</v>
      </c>
      <c r="C3604" s="10">
        <v>17.399999999999999</v>
      </c>
      <c r="D3604" s="10">
        <v>3.65</v>
      </c>
      <c r="E3604" s="16">
        <v>26.55</v>
      </c>
      <c r="F3604">
        <v>1737423</v>
      </c>
      <c r="G3604" s="5">
        <v>43138</v>
      </c>
    </row>
    <row r="3605" spans="1:7" x14ac:dyDescent="0.4">
      <c r="A3605">
        <v>4</v>
      </c>
      <c r="B3605" t="s">
        <v>993</v>
      </c>
      <c r="C3605" s="10">
        <v>3.59</v>
      </c>
      <c r="D3605" s="10">
        <v>0.74</v>
      </c>
      <c r="E3605" s="16">
        <v>25.96</v>
      </c>
      <c r="F3605">
        <v>12168564</v>
      </c>
      <c r="G3605" s="5">
        <v>43138</v>
      </c>
    </row>
    <row r="3606" spans="1:7" x14ac:dyDescent="0.4">
      <c r="A3606">
        <v>5</v>
      </c>
      <c r="B3606" t="s">
        <v>430</v>
      </c>
      <c r="C3606" s="10">
        <v>18.649999999999999</v>
      </c>
      <c r="D3606" s="10">
        <v>3.43</v>
      </c>
      <c r="E3606" s="16">
        <v>22.54</v>
      </c>
      <c r="F3606">
        <v>77088999</v>
      </c>
      <c r="G3606" s="5">
        <v>43138</v>
      </c>
    </row>
    <row r="3607" spans="1:7" x14ac:dyDescent="0.4">
      <c r="A3607">
        <v>6</v>
      </c>
      <c r="B3607" t="s">
        <v>429</v>
      </c>
      <c r="C3607" s="10">
        <v>9.09</v>
      </c>
      <c r="D3607" s="10">
        <v>1.63</v>
      </c>
      <c r="E3607" s="16">
        <v>21.85</v>
      </c>
      <c r="F3607">
        <v>66104612</v>
      </c>
      <c r="G3607" s="5">
        <v>43138</v>
      </c>
    </row>
    <row r="3608" spans="1:7" x14ac:dyDescent="0.4">
      <c r="A3608">
        <v>7</v>
      </c>
      <c r="B3608" t="s">
        <v>436</v>
      </c>
      <c r="C3608" s="10">
        <v>15.01</v>
      </c>
      <c r="D3608" s="10">
        <v>2.62</v>
      </c>
      <c r="E3608" s="16">
        <v>21.15</v>
      </c>
      <c r="F3608">
        <v>24992</v>
      </c>
      <c r="G3608" s="5">
        <v>43138</v>
      </c>
    </row>
    <row r="3609" spans="1:7" x14ac:dyDescent="0.4">
      <c r="A3609">
        <v>8</v>
      </c>
      <c r="B3609" t="s">
        <v>1824</v>
      </c>
      <c r="C3609" s="10">
        <v>21.55</v>
      </c>
      <c r="D3609" s="10">
        <v>3.45</v>
      </c>
      <c r="E3609" s="16">
        <v>19.059999999999999</v>
      </c>
      <c r="F3609">
        <v>809093</v>
      </c>
      <c r="G3609" s="5">
        <v>43138</v>
      </c>
    </row>
    <row r="3610" spans="1:7" x14ac:dyDescent="0.4">
      <c r="A3610">
        <v>9</v>
      </c>
      <c r="B3610" t="s">
        <v>1825</v>
      </c>
      <c r="C3610" s="10">
        <v>73.97</v>
      </c>
      <c r="D3610" s="10">
        <v>10.91</v>
      </c>
      <c r="E3610" s="16">
        <v>17.3</v>
      </c>
      <c r="F3610">
        <v>5752431</v>
      </c>
      <c r="G3610" s="5">
        <v>43138</v>
      </c>
    </row>
    <row r="3611" spans="1:7" x14ac:dyDescent="0.4">
      <c r="A3611">
        <v>10</v>
      </c>
      <c r="B3611" t="s">
        <v>1826</v>
      </c>
      <c r="C3611" s="10">
        <v>27.06</v>
      </c>
      <c r="D3611" s="10">
        <v>3.88</v>
      </c>
      <c r="E3611" s="16">
        <v>16.739999999999998</v>
      </c>
      <c r="F3611">
        <v>496469</v>
      </c>
      <c r="G3611" s="5">
        <v>43138</v>
      </c>
    </row>
    <row r="3612" spans="1:7" x14ac:dyDescent="0.4">
      <c r="A3612">
        <v>11</v>
      </c>
      <c r="B3612" t="s">
        <v>1383</v>
      </c>
      <c r="C3612" s="10">
        <v>6.93</v>
      </c>
      <c r="D3612" s="10">
        <v>0.96</v>
      </c>
      <c r="E3612" s="16">
        <v>16.079999999999998</v>
      </c>
      <c r="F3612">
        <v>2913341</v>
      </c>
      <c r="G3612" s="5">
        <v>43138</v>
      </c>
    </row>
    <row r="3613" spans="1:7" x14ac:dyDescent="0.4">
      <c r="A3613">
        <v>12</v>
      </c>
      <c r="B3613" t="s">
        <v>431</v>
      </c>
      <c r="C3613" s="10">
        <v>11.63</v>
      </c>
      <c r="D3613" s="10">
        <v>1.6</v>
      </c>
      <c r="E3613" s="16">
        <v>15.97</v>
      </c>
      <c r="F3613">
        <v>84987</v>
      </c>
      <c r="G3613" s="5">
        <v>43138</v>
      </c>
    </row>
    <row r="3614" spans="1:7" x14ac:dyDescent="0.4">
      <c r="A3614">
        <v>13</v>
      </c>
      <c r="B3614" t="s">
        <v>642</v>
      </c>
      <c r="C3614" s="10">
        <v>4.97</v>
      </c>
      <c r="D3614" s="10">
        <v>0.66</v>
      </c>
      <c r="E3614" s="16">
        <v>15.31</v>
      </c>
      <c r="F3614">
        <v>2623412</v>
      </c>
      <c r="G3614" s="5">
        <v>43138</v>
      </c>
    </row>
    <row r="3615" spans="1:7" x14ac:dyDescent="0.4">
      <c r="A3615">
        <v>14</v>
      </c>
      <c r="B3615" t="s">
        <v>1827</v>
      </c>
      <c r="C3615" s="10">
        <v>31.45</v>
      </c>
      <c r="D3615" s="10">
        <v>4.07</v>
      </c>
      <c r="E3615" s="16">
        <v>14.86</v>
      </c>
      <c r="F3615">
        <v>728351</v>
      </c>
      <c r="G3615" s="5">
        <v>43138</v>
      </c>
    </row>
    <row r="3616" spans="1:7" x14ac:dyDescent="0.4">
      <c r="A3616">
        <v>15</v>
      </c>
      <c r="B3616" t="s">
        <v>1210</v>
      </c>
      <c r="C3616" s="10">
        <v>9.1300000000000008</v>
      </c>
      <c r="D3616" s="10">
        <v>1.18</v>
      </c>
      <c r="E3616" s="16">
        <v>14.84</v>
      </c>
      <c r="F3616">
        <v>1197927</v>
      </c>
      <c r="G3616" s="5">
        <v>43138</v>
      </c>
    </row>
    <row r="3617" spans="1:7" x14ac:dyDescent="0.4">
      <c r="A3617">
        <v>16</v>
      </c>
      <c r="B3617" t="s">
        <v>1194</v>
      </c>
      <c r="C3617" s="10">
        <v>28.01</v>
      </c>
      <c r="D3617" s="10">
        <v>3.57</v>
      </c>
      <c r="E3617" s="16">
        <v>14.61</v>
      </c>
      <c r="F3617">
        <v>1035616</v>
      </c>
      <c r="G3617" s="5">
        <v>43138</v>
      </c>
    </row>
    <row r="3618" spans="1:7" x14ac:dyDescent="0.4">
      <c r="A3618">
        <v>17</v>
      </c>
      <c r="B3618" t="s">
        <v>1828</v>
      </c>
      <c r="C3618" s="10">
        <v>169.6</v>
      </c>
      <c r="D3618" s="10">
        <v>21.25</v>
      </c>
      <c r="E3618" s="16">
        <v>14.32</v>
      </c>
      <c r="F3618">
        <v>90061</v>
      </c>
      <c r="G3618" s="5">
        <v>43138</v>
      </c>
    </row>
    <row r="3619" spans="1:7" x14ac:dyDescent="0.4">
      <c r="A3619">
        <v>18</v>
      </c>
      <c r="B3619" t="s">
        <v>600</v>
      </c>
      <c r="C3619" s="10">
        <v>18.2</v>
      </c>
      <c r="D3619" s="10">
        <v>2.25</v>
      </c>
      <c r="E3619" s="16">
        <v>14.11</v>
      </c>
      <c r="F3619">
        <v>2944877</v>
      </c>
      <c r="G3619" s="5">
        <v>43138</v>
      </c>
    </row>
    <row r="3620" spans="1:7" x14ac:dyDescent="0.4">
      <c r="A3620">
        <v>19</v>
      </c>
      <c r="B3620" t="s">
        <v>1463</v>
      </c>
      <c r="C3620" s="10">
        <v>41.67</v>
      </c>
      <c r="D3620" s="10">
        <v>5.1100000000000003</v>
      </c>
      <c r="E3620" s="16">
        <v>13.98</v>
      </c>
      <c r="F3620">
        <v>2028503</v>
      </c>
      <c r="G3620" s="5">
        <v>43138</v>
      </c>
    </row>
    <row r="3621" spans="1:7" x14ac:dyDescent="0.4">
      <c r="A3621">
        <v>20</v>
      </c>
      <c r="B3621" t="s">
        <v>27</v>
      </c>
      <c r="C3621" s="10">
        <v>2.87</v>
      </c>
      <c r="D3621" s="10">
        <v>0.35</v>
      </c>
      <c r="E3621" s="16">
        <v>13.89</v>
      </c>
      <c r="F3621">
        <v>15538</v>
      </c>
      <c r="G3621" s="5">
        <v>43138</v>
      </c>
    </row>
    <row r="3622" spans="1:7" x14ac:dyDescent="0.4">
      <c r="A3622">
        <v>21</v>
      </c>
      <c r="B3622" t="s">
        <v>238</v>
      </c>
      <c r="C3622" s="10">
        <v>4.3099999999999996</v>
      </c>
      <c r="D3622" s="10">
        <v>0.5</v>
      </c>
      <c r="E3622" s="16">
        <v>13.03</v>
      </c>
      <c r="F3622">
        <v>261094</v>
      </c>
      <c r="G3622" s="5">
        <v>43138</v>
      </c>
    </row>
    <row r="3623" spans="1:7" x14ac:dyDescent="0.4">
      <c r="A3623">
        <v>22</v>
      </c>
      <c r="B3623" t="s">
        <v>1349</v>
      </c>
      <c r="C3623" s="10">
        <v>8.69</v>
      </c>
      <c r="D3623" s="10">
        <v>0.97</v>
      </c>
      <c r="E3623" s="16">
        <v>12.56</v>
      </c>
      <c r="F3623">
        <v>741832</v>
      </c>
      <c r="G3623" s="5">
        <v>43138</v>
      </c>
    </row>
    <row r="3624" spans="1:7" x14ac:dyDescent="0.4">
      <c r="A3624">
        <v>23</v>
      </c>
      <c r="B3624" t="s">
        <v>1133</v>
      </c>
      <c r="C3624" s="10">
        <v>42</v>
      </c>
      <c r="D3624" s="10">
        <v>4.66</v>
      </c>
      <c r="E3624" s="16">
        <v>12.48</v>
      </c>
      <c r="F3624">
        <v>21900907</v>
      </c>
      <c r="G3624" s="5">
        <v>43138</v>
      </c>
    </row>
    <row r="3625" spans="1:7" x14ac:dyDescent="0.4">
      <c r="A3625">
        <v>24</v>
      </c>
      <c r="B3625" t="s">
        <v>1536</v>
      </c>
      <c r="C3625" s="10">
        <v>22.1</v>
      </c>
      <c r="D3625" s="10">
        <v>2.4500000000000002</v>
      </c>
      <c r="E3625" s="16">
        <v>12.47</v>
      </c>
      <c r="F3625">
        <v>3415594</v>
      </c>
      <c r="G3625" s="5">
        <v>43138</v>
      </c>
    </row>
    <row r="3626" spans="1:7" x14ac:dyDescent="0.4">
      <c r="A3626">
        <v>25</v>
      </c>
      <c r="B3626" t="s">
        <v>1829</v>
      </c>
      <c r="C3626" s="10">
        <v>4.13</v>
      </c>
      <c r="D3626" s="10">
        <v>0.45</v>
      </c>
      <c r="E3626" s="16">
        <v>12.36</v>
      </c>
      <c r="F3626">
        <v>68043</v>
      </c>
      <c r="G3626" s="5">
        <v>43138</v>
      </c>
    </row>
    <row r="3627" spans="1:7" x14ac:dyDescent="0.4">
      <c r="A3627">
        <v>26</v>
      </c>
      <c r="B3627" t="s">
        <v>914</v>
      </c>
      <c r="C3627" s="10">
        <v>7.86</v>
      </c>
      <c r="D3627" s="10">
        <v>0.83</v>
      </c>
      <c r="E3627" s="16">
        <v>11.81</v>
      </c>
      <c r="F3627">
        <v>443093</v>
      </c>
      <c r="G3627" s="5">
        <v>43138</v>
      </c>
    </row>
    <row r="3628" spans="1:7" x14ac:dyDescent="0.4">
      <c r="A3628">
        <v>27</v>
      </c>
      <c r="B3628" t="s">
        <v>130</v>
      </c>
      <c r="C3628" s="10">
        <v>3.14</v>
      </c>
      <c r="D3628" s="10">
        <v>0.33</v>
      </c>
      <c r="E3628" s="16">
        <v>11.74</v>
      </c>
      <c r="F3628">
        <v>95790</v>
      </c>
      <c r="G3628" s="5">
        <v>43138</v>
      </c>
    </row>
    <row r="3629" spans="1:7" x14ac:dyDescent="0.4">
      <c r="A3629">
        <v>28</v>
      </c>
      <c r="B3629" t="s">
        <v>708</v>
      </c>
      <c r="C3629" s="10">
        <v>11.68</v>
      </c>
      <c r="D3629" s="10">
        <v>1.22</v>
      </c>
      <c r="E3629" s="16">
        <v>11.66</v>
      </c>
      <c r="F3629">
        <v>216713</v>
      </c>
      <c r="G3629" s="5">
        <v>43138</v>
      </c>
    </row>
    <row r="3630" spans="1:7" x14ac:dyDescent="0.4">
      <c r="A3630">
        <v>29</v>
      </c>
      <c r="B3630" t="s">
        <v>1830</v>
      </c>
      <c r="C3630" s="10">
        <v>22.15</v>
      </c>
      <c r="D3630" s="10">
        <v>2.2999999999999998</v>
      </c>
      <c r="E3630" s="16">
        <v>11.59</v>
      </c>
      <c r="F3630">
        <v>178153</v>
      </c>
      <c r="G3630" s="5">
        <v>43138</v>
      </c>
    </row>
    <row r="3631" spans="1:7" x14ac:dyDescent="0.4">
      <c r="A3631">
        <v>30</v>
      </c>
      <c r="B3631" t="s">
        <v>1636</v>
      </c>
      <c r="C3631" s="10">
        <v>6.33</v>
      </c>
      <c r="D3631" s="10">
        <v>0.61</v>
      </c>
      <c r="E3631" s="16">
        <v>10.66</v>
      </c>
      <c r="F3631">
        <v>1098001</v>
      </c>
      <c r="G3631" s="5">
        <v>43138</v>
      </c>
    </row>
    <row r="3632" spans="1:7" x14ac:dyDescent="0.4">
      <c r="A3632">
        <v>31</v>
      </c>
      <c r="B3632" t="s">
        <v>377</v>
      </c>
      <c r="C3632" s="10">
        <v>14.32</v>
      </c>
      <c r="D3632" s="10">
        <v>1.37</v>
      </c>
      <c r="E3632" s="16">
        <v>10.58</v>
      </c>
      <c r="F3632">
        <v>7182253</v>
      </c>
      <c r="G3632" s="5">
        <v>43138</v>
      </c>
    </row>
    <row r="3633" spans="1:7" x14ac:dyDescent="0.4">
      <c r="A3633">
        <v>32</v>
      </c>
      <c r="B3633" t="s">
        <v>1831</v>
      </c>
      <c r="C3633" s="10">
        <v>10.26</v>
      </c>
      <c r="D3633" s="10">
        <v>0.95</v>
      </c>
      <c r="E3633" s="16">
        <v>10.199999999999999</v>
      </c>
      <c r="F3633">
        <v>4710414</v>
      </c>
      <c r="G3633" s="5">
        <v>43138</v>
      </c>
    </row>
    <row r="3634" spans="1:7" x14ac:dyDescent="0.4">
      <c r="A3634">
        <v>33</v>
      </c>
      <c r="B3634" t="s">
        <v>916</v>
      </c>
      <c r="C3634" s="10">
        <v>3.46</v>
      </c>
      <c r="D3634" s="10">
        <v>0.32</v>
      </c>
      <c r="E3634" s="16">
        <v>10.19</v>
      </c>
      <c r="F3634">
        <v>213459</v>
      </c>
      <c r="G3634" s="5">
        <v>43138</v>
      </c>
    </row>
    <row r="3635" spans="1:7" x14ac:dyDescent="0.4">
      <c r="A3635">
        <v>34</v>
      </c>
      <c r="B3635" t="s">
        <v>1832</v>
      </c>
      <c r="C3635" s="10">
        <v>25.97</v>
      </c>
      <c r="D3635" s="10">
        <v>2.4</v>
      </c>
      <c r="E3635" s="16">
        <v>10.18</v>
      </c>
      <c r="F3635">
        <v>538847</v>
      </c>
      <c r="G3635" s="5">
        <v>43138</v>
      </c>
    </row>
    <row r="3636" spans="1:7" x14ac:dyDescent="0.4">
      <c r="A3636">
        <v>35</v>
      </c>
      <c r="B3636" t="s">
        <v>651</v>
      </c>
      <c r="C3636" s="10">
        <v>15.31</v>
      </c>
      <c r="D3636" s="10">
        <v>1.4</v>
      </c>
      <c r="E3636" s="16">
        <v>10.029999999999999</v>
      </c>
      <c r="F3636">
        <v>71966</v>
      </c>
      <c r="G3636" s="5">
        <v>43138</v>
      </c>
    </row>
    <row r="3637" spans="1:7" x14ac:dyDescent="0.4">
      <c r="A3637">
        <v>36</v>
      </c>
      <c r="B3637" t="s">
        <v>140</v>
      </c>
      <c r="C3637" s="10">
        <v>6.15</v>
      </c>
      <c r="D3637" s="10">
        <v>0.55000000000000004</v>
      </c>
      <c r="E3637" s="16">
        <v>9.82</v>
      </c>
      <c r="F3637">
        <v>244754</v>
      </c>
      <c r="G3637" s="5">
        <v>43138</v>
      </c>
    </row>
    <row r="3638" spans="1:7" x14ac:dyDescent="0.4">
      <c r="A3638">
        <v>37</v>
      </c>
      <c r="B3638" t="s">
        <v>1833</v>
      </c>
      <c r="C3638" s="10">
        <v>55.35</v>
      </c>
      <c r="D3638" s="10">
        <v>4.95</v>
      </c>
      <c r="E3638" s="16">
        <v>9.82</v>
      </c>
      <c r="F3638">
        <v>393972</v>
      </c>
      <c r="G3638" s="5">
        <v>43138</v>
      </c>
    </row>
    <row r="3639" spans="1:7" x14ac:dyDescent="0.4">
      <c r="A3639">
        <v>38</v>
      </c>
      <c r="B3639" t="s">
        <v>359</v>
      </c>
      <c r="C3639" s="10">
        <v>11.78</v>
      </c>
      <c r="D3639" s="10">
        <v>1.05</v>
      </c>
      <c r="E3639" s="16">
        <v>9.8000000000000007</v>
      </c>
      <c r="F3639">
        <v>76910</v>
      </c>
      <c r="G3639" s="5">
        <v>43138</v>
      </c>
    </row>
    <row r="3640" spans="1:7" x14ac:dyDescent="0.4">
      <c r="A3640">
        <v>39</v>
      </c>
      <c r="B3640" t="s">
        <v>1755</v>
      </c>
      <c r="C3640" s="10">
        <v>18.399999999999999</v>
      </c>
      <c r="D3640" s="10">
        <v>1.6</v>
      </c>
      <c r="E3640" s="16">
        <v>9.52</v>
      </c>
      <c r="F3640">
        <v>1539060</v>
      </c>
      <c r="G3640" s="5">
        <v>43138</v>
      </c>
    </row>
    <row r="3641" spans="1:7" x14ac:dyDescent="0.4">
      <c r="A3641">
        <v>40</v>
      </c>
      <c r="B3641" t="s">
        <v>248</v>
      </c>
      <c r="C3641" s="10">
        <v>2.5299999999999998</v>
      </c>
      <c r="D3641" s="10">
        <v>0.22</v>
      </c>
      <c r="E3641" s="16">
        <v>9.52</v>
      </c>
      <c r="F3641">
        <v>1061605</v>
      </c>
      <c r="G3641" s="5">
        <v>43138</v>
      </c>
    </row>
    <row r="3642" spans="1:7" x14ac:dyDescent="0.4">
      <c r="A3642">
        <v>41</v>
      </c>
      <c r="B3642" t="s">
        <v>340</v>
      </c>
      <c r="C3642" s="10">
        <v>4.95</v>
      </c>
      <c r="D3642" s="10">
        <v>0.43</v>
      </c>
      <c r="E3642" s="16">
        <v>9.51</v>
      </c>
      <c r="F3642">
        <v>14979</v>
      </c>
      <c r="G3642" s="5">
        <v>43138</v>
      </c>
    </row>
    <row r="3643" spans="1:7" x14ac:dyDescent="0.4">
      <c r="A3643">
        <v>42</v>
      </c>
      <c r="B3643" t="s">
        <v>1834</v>
      </c>
      <c r="C3643" s="10">
        <v>9.8000000000000007</v>
      </c>
      <c r="D3643" s="10">
        <v>0.85</v>
      </c>
      <c r="E3643" s="16">
        <v>9.5</v>
      </c>
      <c r="F3643">
        <v>32526</v>
      </c>
      <c r="G3643" s="5">
        <v>43138</v>
      </c>
    </row>
    <row r="3644" spans="1:7" x14ac:dyDescent="0.4">
      <c r="A3644">
        <v>43</v>
      </c>
      <c r="B3644" t="s">
        <v>1308</v>
      </c>
      <c r="C3644" s="10">
        <v>3.6</v>
      </c>
      <c r="D3644" s="10">
        <v>0.31</v>
      </c>
      <c r="E3644" s="16">
        <v>9.42</v>
      </c>
      <c r="F3644">
        <v>65780</v>
      </c>
      <c r="G3644" s="5">
        <v>43138</v>
      </c>
    </row>
    <row r="3645" spans="1:7" x14ac:dyDescent="0.4">
      <c r="A3645">
        <v>44</v>
      </c>
      <c r="B3645" t="s">
        <v>1719</v>
      </c>
      <c r="C3645" s="10">
        <v>111.93</v>
      </c>
      <c r="D3645" s="10">
        <v>9.58</v>
      </c>
      <c r="E3645" s="16">
        <v>9.36</v>
      </c>
      <c r="F3645">
        <v>368675</v>
      </c>
      <c r="G3645" s="5">
        <v>43138</v>
      </c>
    </row>
    <row r="3646" spans="1:7" x14ac:dyDescent="0.4">
      <c r="A3646">
        <v>45</v>
      </c>
      <c r="B3646" t="s">
        <v>445</v>
      </c>
      <c r="C3646" s="10">
        <v>15.25</v>
      </c>
      <c r="D3646" s="10">
        <v>1.3</v>
      </c>
      <c r="E3646" s="16">
        <v>9.32</v>
      </c>
      <c r="F3646">
        <v>2062542</v>
      </c>
      <c r="G3646" s="5">
        <v>43138</v>
      </c>
    </row>
    <row r="3647" spans="1:7" x14ac:dyDescent="0.4">
      <c r="A3647">
        <v>46</v>
      </c>
      <c r="B3647" t="s">
        <v>55</v>
      </c>
      <c r="C3647" s="10">
        <v>3.55</v>
      </c>
      <c r="D3647" s="10">
        <v>0.3</v>
      </c>
      <c r="E3647" s="16">
        <v>9.23</v>
      </c>
      <c r="F3647">
        <v>637111</v>
      </c>
      <c r="G3647" s="5">
        <v>43138</v>
      </c>
    </row>
    <row r="3648" spans="1:7" x14ac:dyDescent="0.4">
      <c r="A3648">
        <v>47</v>
      </c>
      <c r="B3648" t="s">
        <v>644</v>
      </c>
      <c r="C3648" s="10">
        <v>8.64</v>
      </c>
      <c r="D3648" s="10">
        <v>0.72</v>
      </c>
      <c r="E3648" s="16">
        <v>9.09</v>
      </c>
      <c r="F3648">
        <v>1332510</v>
      </c>
      <c r="G3648" s="5">
        <v>43138</v>
      </c>
    </row>
    <row r="3649" spans="1:7" x14ac:dyDescent="0.4">
      <c r="A3649">
        <v>48</v>
      </c>
      <c r="B3649" t="s">
        <v>150</v>
      </c>
      <c r="C3649" s="10">
        <v>2.4</v>
      </c>
      <c r="D3649" s="10">
        <v>0.2</v>
      </c>
      <c r="E3649" s="16">
        <v>9.09</v>
      </c>
      <c r="F3649">
        <v>70819</v>
      </c>
      <c r="G3649" s="5">
        <v>43138</v>
      </c>
    </row>
    <row r="3650" spans="1:7" x14ac:dyDescent="0.4">
      <c r="A3650">
        <v>49</v>
      </c>
      <c r="B3650" t="s">
        <v>772</v>
      </c>
      <c r="C3650" s="10">
        <v>45.69</v>
      </c>
      <c r="D3650" s="10">
        <v>3.79</v>
      </c>
      <c r="E3650" s="16">
        <v>9.0500000000000007</v>
      </c>
      <c r="F3650">
        <v>4716847</v>
      </c>
      <c r="G3650" s="5">
        <v>43138</v>
      </c>
    </row>
    <row r="3651" spans="1:7" x14ac:dyDescent="0.4">
      <c r="A3651">
        <v>50</v>
      </c>
      <c r="B3651" t="s">
        <v>1835</v>
      </c>
      <c r="C3651" s="10">
        <v>64.63</v>
      </c>
      <c r="D3651" s="10">
        <v>5.33</v>
      </c>
      <c r="E3651" s="16">
        <v>8.99</v>
      </c>
      <c r="F3651">
        <v>1070759</v>
      </c>
      <c r="G3651" s="5">
        <v>43138</v>
      </c>
    </row>
    <row r="3652" spans="1:7" x14ac:dyDescent="0.4">
      <c r="A3652">
        <v>51</v>
      </c>
      <c r="B3652" t="s">
        <v>760</v>
      </c>
      <c r="C3652" s="10">
        <v>4.55</v>
      </c>
      <c r="D3652" s="10">
        <v>0.37</v>
      </c>
      <c r="E3652" s="16">
        <v>8.85</v>
      </c>
      <c r="F3652">
        <v>597378</v>
      </c>
      <c r="G3652" s="5">
        <v>43138</v>
      </c>
    </row>
    <row r="3653" spans="1:7" x14ac:dyDescent="0.4">
      <c r="A3653">
        <v>52</v>
      </c>
      <c r="B3653" t="s">
        <v>1836</v>
      </c>
      <c r="C3653" s="10">
        <v>102.22</v>
      </c>
      <c r="D3653" s="10">
        <v>8.2899999999999991</v>
      </c>
      <c r="E3653" s="16">
        <v>8.83</v>
      </c>
      <c r="F3653">
        <v>7232963</v>
      </c>
      <c r="G3653" s="5">
        <v>43138</v>
      </c>
    </row>
    <row r="3654" spans="1:7" x14ac:dyDescent="0.4">
      <c r="A3654">
        <v>53</v>
      </c>
      <c r="B3654" t="s">
        <v>891</v>
      </c>
      <c r="C3654" s="10">
        <v>8.18</v>
      </c>
      <c r="D3654" s="10">
        <v>0.65</v>
      </c>
      <c r="E3654" s="16">
        <v>8.6999999999999993</v>
      </c>
      <c r="F3654">
        <v>593713</v>
      </c>
      <c r="G3654" s="5">
        <v>43138</v>
      </c>
    </row>
    <row r="3655" spans="1:7" x14ac:dyDescent="0.4">
      <c r="A3655">
        <v>54</v>
      </c>
      <c r="B3655" t="s">
        <v>1837</v>
      </c>
      <c r="C3655" s="10">
        <v>64.5</v>
      </c>
      <c r="D3655" s="10">
        <v>5.15</v>
      </c>
      <c r="E3655" s="16">
        <v>8.68</v>
      </c>
      <c r="F3655">
        <v>156841</v>
      </c>
      <c r="G3655" s="5">
        <v>43138</v>
      </c>
    </row>
    <row r="3656" spans="1:7" x14ac:dyDescent="0.4">
      <c r="A3656">
        <v>55</v>
      </c>
      <c r="B3656" t="s">
        <v>1027</v>
      </c>
      <c r="C3656" s="10">
        <v>177.32</v>
      </c>
      <c r="D3656" s="10">
        <v>14.1</v>
      </c>
      <c r="E3656" s="16">
        <v>8.64</v>
      </c>
      <c r="F3656">
        <v>15681683</v>
      </c>
      <c r="G3656" s="5">
        <v>43138</v>
      </c>
    </row>
    <row r="3657" spans="1:7" x14ac:dyDescent="0.4">
      <c r="A3657">
        <v>56</v>
      </c>
      <c r="B3657" t="s">
        <v>226</v>
      </c>
      <c r="C3657" s="10">
        <v>3.15</v>
      </c>
      <c r="D3657" s="10">
        <v>0.25</v>
      </c>
      <c r="E3657" s="16">
        <v>8.6199999999999992</v>
      </c>
      <c r="F3657">
        <v>137937</v>
      </c>
      <c r="G3657" s="5">
        <v>43138</v>
      </c>
    </row>
    <row r="3658" spans="1:7" x14ac:dyDescent="0.4">
      <c r="A3658">
        <v>57</v>
      </c>
      <c r="B3658" t="s">
        <v>562</v>
      </c>
      <c r="C3658" s="10">
        <v>23.81</v>
      </c>
      <c r="D3658" s="10">
        <v>1.88</v>
      </c>
      <c r="E3658" s="16">
        <v>8.57</v>
      </c>
      <c r="F3658">
        <v>526530</v>
      </c>
      <c r="G3658" s="5">
        <v>43138</v>
      </c>
    </row>
    <row r="3659" spans="1:7" x14ac:dyDescent="0.4">
      <c r="A3659">
        <v>58</v>
      </c>
      <c r="B3659" t="s">
        <v>312</v>
      </c>
      <c r="C3659" s="10">
        <v>10.31</v>
      </c>
      <c r="D3659" s="10">
        <v>0.81</v>
      </c>
      <c r="E3659" s="16">
        <v>8.5299999999999994</v>
      </c>
      <c r="F3659">
        <v>101143</v>
      </c>
      <c r="G3659" s="5">
        <v>43138</v>
      </c>
    </row>
    <row r="3660" spans="1:7" x14ac:dyDescent="0.4">
      <c r="A3660">
        <v>59</v>
      </c>
      <c r="B3660" t="s">
        <v>989</v>
      </c>
      <c r="C3660" s="10">
        <v>22.43</v>
      </c>
      <c r="D3660" s="10">
        <v>1.76</v>
      </c>
      <c r="E3660" s="16">
        <v>8.51</v>
      </c>
      <c r="F3660">
        <v>27802</v>
      </c>
      <c r="G3660" s="5">
        <v>43138</v>
      </c>
    </row>
    <row r="3661" spans="1:7" x14ac:dyDescent="0.4">
      <c r="A3661">
        <v>60</v>
      </c>
      <c r="B3661" t="s">
        <v>338</v>
      </c>
      <c r="C3661" s="10">
        <v>2.5499999999999998</v>
      </c>
      <c r="D3661" s="10">
        <v>0.2</v>
      </c>
      <c r="E3661" s="16">
        <v>8.51</v>
      </c>
      <c r="F3661">
        <v>20572</v>
      </c>
      <c r="G3661" s="5">
        <v>43138</v>
      </c>
    </row>
    <row r="3662" spans="1:7" x14ac:dyDescent="0.4">
      <c r="A3662">
        <v>61</v>
      </c>
      <c r="B3662" t="s">
        <v>670</v>
      </c>
      <c r="C3662" s="10">
        <v>12.66</v>
      </c>
      <c r="D3662" s="10">
        <v>0.99</v>
      </c>
      <c r="E3662" s="16">
        <v>8.48</v>
      </c>
      <c r="F3662">
        <v>9161471</v>
      </c>
      <c r="G3662" s="5">
        <v>43138</v>
      </c>
    </row>
    <row r="3663" spans="1:7" x14ac:dyDescent="0.4">
      <c r="A3663">
        <v>62</v>
      </c>
      <c r="B3663" t="s">
        <v>176</v>
      </c>
      <c r="C3663" s="10">
        <v>19.48</v>
      </c>
      <c r="D3663" s="10">
        <v>1.52</v>
      </c>
      <c r="E3663" s="16">
        <v>8.4600000000000009</v>
      </c>
      <c r="F3663">
        <v>124551</v>
      </c>
      <c r="G3663" s="5">
        <v>43138</v>
      </c>
    </row>
    <row r="3664" spans="1:7" x14ac:dyDescent="0.4">
      <c r="A3664">
        <v>63</v>
      </c>
      <c r="B3664" t="s">
        <v>1351</v>
      </c>
      <c r="C3664" s="10">
        <v>5.15</v>
      </c>
      <c r="D3664" s="10">
        <v>0.4</v>
      </c>
      <c r="E3664" s="16">
        <v>8.42</v>
      </c>
      <c r="F3664">
        <v>57925</v>
      </c>
      <c r="G3664" s="5">
        <v>43138</v>
      </c>
    </row>
    <row r="3665" spans="1:7" x14ac:dyDescent="0.4">
      <c r="A3665">
        <v>64</v>
      </c>
      <c r="B3665" t="s">
        <v>341</v>
      </c>
      <c r="C3665" s="10">
        <v>40.090000000000003</v>
      </c>
      <c r="D3665" s="10">
        <v>3.11</v>
      </c>
      <c r="E3665" s="16">
        <v>8.41</v>
      </c>
      <c r="F3665">
        <v>1637733</v>
      </c>
      <c r="G3665" s="5">
        <v>43138</v>
      </c>
    </row>
    <row r="3666" spans="1:7" x14ac:dyDescent="0.4">
      <c r="A3666">
        <v>65</v>
      </c>
      <c r="B3666" t="s">
        <v>1838</v>
      </c>
      <c r="C3666" s="10">
        <v>11.13</v>
      </c>
      <c r="D3666" s="10">
        <v>0.86</v>
      </c>
      <c r="E3666" s="16">
        <v>8.3699999999999992</v>
      </c>
      <c r="F3666">
        <v>1462303</v>
      </c>
      <c r="G3666" s="5">
        <v>43138</v>
      </c>
    </row>
    <row r="3667" spans="1:7" x14ac:dyDescent="0.4">
      <c r="A3667">
        <v>66</v>
      </c>
      <c r="B3667" t="s">
        <v>1839</v>
      </c>
      <c r="C3667" s="10">
        <v>2.33</v>
      </c>
      <c r="D3667" s="10">
        <v>0.18</v>
      </c>
      <c r="E3667" s="16">
        <v>8.3699999999999992</v>
      </c>
      <c r="F3667">
        <v>243302</v>
      </c>
      <c r="G3667" s="5">
        <v>43138</v>
      </c>
    </row>
    <row r="3668" spans="1:7" x14ac:dyDescent="0.4">
      <c r="A3668">
        <v>67</v>
      </c>
      <c r="B3668" t="s">
        <v>671</v>
      </c>
      <c r="C3668" s="10">
        <v>9.7100000000000009</v>
      </c>
      <c r="D3668" s="10">
        <v>0.75</v>
      </c>
      <c r="E3668" s="16">
        <v>8.3699999999999992</v>
      </c>
      <c r="F3668">
        <v>1352654</v>
      </c>
      <c r="G3668" s="5">
        <v>43138</v>
      </c>
    </row>
    <row r="3669" spans="1:7" x14ac:dyDescent="0.4">
      <c r="A3669">
        <v>68</v>
      </c>
      <c r="B3669" t="s">
        <v>665</v>
      </c>
      <c r="C3669" s="10">
        <v>13.75</v>
      </c>
      <c r="D3669" s="10">
        <v>1.06</v>
      </c>
      <c r="E3669" s="16">
        <v>8.36</v>
      </c>
      <c r="F3669">
        <v>47715</v>
      </c>
      <c r="G3669" s="5">
        <v>43138</v>
      </c>
    </row>
    <row r="3670" spans="1:7" x14ac:dyDescent="0.4">
      <c r="A3670">
        <v>69</v>
      </c>
      <c r="B3670" t="s">
        <v>1790</v>
      </c>
      <c r="C3670" s="10">
        <v>36.03</v>
      </c>
      <c r="D3670" s="10">
        <v>2.77</v>
      </c>
      <c r="E3670" s="16">
        <v>8.33</v>
      </c>
      <c r="F3670">
        <v>4662785</v>
      </c>
      <c r="G3670" s="5">
        <v>43138</v>
      </c>
    </row>
    <row r="3671" spans="1:7" x14ac:dyDescent="0.4">
      <c r="A3671">
        <v>70</v>
      </c>
      <c r="B3671" t="s">
        <v>1840</v>
      </c>
      <c r="C3671" s="10">
        <v>99.34</v>
      </c>
      <c r="D3671" s="10">
        <v>7.59</v>
      </c>
      <c r="E3671" s="16">
        <v>8.27</v>
      </c>
      <c r="F3671">
        <v>1074382</v>
      </c>
      <c r="G3671" s="5">
        <v>43138</v>
      </c>
    </row>
    <row r="3672" spans="1:7" x14ac:dyDescent="0.4">
      <c r="A3672">
        <v>71</v>
      </c>
      <c r="B3672" t="s">
        <v>925</v>
      </c>
      <c r="C3672" s="10">
        <v>6.44</v>
      </c>
      <c r="D3672" s="10">
        <v>0.49</v>
      </c>
      <c r="E3672" s="16">
        <v>8.24</v>
      </c>
      <c r="F3672">
        <v>99263</v>
      </c>
      <c r="G3672" s="5">
        <v>43138</v>
      </c>
    </row>
    <row r="3673" spans="1:7" x14ac:dyDescent="0.4">
      <c r="A3673">
        <v>72</v>
      </c>
      <c r="B3673" t="s">
        <v>1841</v>
      </c>
      <c r="C3673" s="10">
        <v>4.97</v>
      </c>
      <c r="D3673" s="10">
        <v>0.37</v>
      </c>
      <c r="E3673" s="16">
        <v>8.0399999999999991</v>
      </c>
      <c r="F3673">
        <v>160991</v>
      </c>
      <c r="G3673" s="5">
        <v>43138</v>
      </c>
    </row>
    <row r="3674" spans="1:7" x14ac:dyDescent="0.4">
      <c r="A3674">
        <v>73</v>
      </c>
      <c r="B3674" t="s">
        <v>1842</v>
      </c>
      <c r="C3674" s="10">
        <v>5.51</v>
      </c>
      <c r="D3674" s="10">
        <v>0.41</v>
      </c>
      <c r="E3674" s="16">
        <v>8.0399999999999991</v>
      </c>
      <c r="F3674">
        <v>35166042</v>
      </c>
      <c r="G3674" s="5">
        <v>43138</v>
      </c>
    </row>
    <row r="3675" spans="1:7" x14ac:dyDescent="0.4">
      <c r="A3675">
        <v>74</v>
      </c>
      <c r="B3675" t="s">
        <v>1628</v>
      </c>
      <c r="C3675" s="10">
        <v>3.39</v>
      </c>
      <c r="D3675" s="10">
        <v>0.25</v>
      </c>
      <c r="E3675" s="16">
        <v>7.96</v>
      </c>
      <c r="F3675">
        <v>404882</v>
      </c>
      <c r="G3675" s="5">
        <v>43138</v>
      </c>
    </row>
    <row r="3676" spans="1:7" x14ac:dyDescent="0.4">
      <c r="A3676">
        <v>75</v>
      </c>
      <c r="B3676" t="s">
        <v>318</v>
      </c>
      <c r="C3676" s="10">
        <v>28.73</v>
      </c>
      <c r="D3676" s="10">
        <v>2.09</v>
      </c>
      <c r="E3676" s="16">
        <v>7.85</v>
      </c>
      <c r="F3676">
        <v>41846</v>
      </c>
      <c r="G3676" s="5">
        <v>43138</v>
      </c>
    </row>
    <row r="3677" spans="1:7" x14ac:dyDescent="0.4">
      <c r="A3677">
        <v>76</v>
      </c>
      <c r="B3677" t="s">
        <v>930</v>
      </c>
      <c r="C3677" s="10">
        <v>18.190000000000001</v>
      </c>
      <c r="D3677" s="10">
        <v>1.32</v>
      </c>
      <c r="E3677" s="16">
        <v>7.82</v>
      </c>
      <c r="F3677">
        <v>224921</v>
      </c>
      <c r="G3677" s="5">
        <v>43138</v>
      </c>
    </row>
    <row r="3678" spans="1:7" x14ac:dyDescent="0.4">
      <c r="A3678">
        <v>77</v>
      </c>
      <c r="B3678" t="s">
        <v>1843</v>
      </c>
      <c r="C3678" s="10">
        <v>17.55</v>
      </c>
      <c r="D3678" s="10">
        <v>1.27</v>
      </c>
      <c r="E3678" s="16">
        <v>7.8</v>
      </c>
      <c r="F3678">
        <v>9519369</v>
      </c>
      <c r="G3678" s="5">
        <v>43138</v>
      </c>
    </row>
    <row r="3679" spans="1:7" x14ac:dyDescent="0.4">
      <c r="A3679">
        <v>78</v>
      </c>
      <c r="B3679" t="s">
        <v>1443</v>
      </c>
      <c r="C3679" s="10">
        <v>7.45</v>
      </c>
      <c r="D3679" s="10">
        <v>0.53</v>
      </c>
      <c r="E3679" s="16">
        <v>7.66</v>
      </c>
      <c r="F3679">
        <v>44587</v>
      </c>
      <c r="G3679" s="5">
        <v>43138</v>
      </c>
    </row>
    <row r="3680" spans="1:7" x14ac:dyDescent="0.4">
      <c r="A3680">
        <v>79</v>
      </c>
      <c r="B3680" t="s">
        <v>627</v>
      </c>
      <c r="C3680" s="10">
        <v>2.96</v>
      </c>
      <c r="D3680" s="10">
        <v>0.21</v>
      </c>
      <c r="E3680" s="16">
        <v>7.64</v>
      </c>
      <c r="F3680">
        <v>10288440</v>
      </c>
      <c r="G3680" s="5">
        <v>43138</v>
      </c>
    </row>
    <row r="3681" spans="1:7" x14ac:dyDescent="0.4">
      <c r="A3681">
        <v>80</v>
      </c>
      <c r="B3681" t="s">
        <v>404</v>
      </c>
      <c r="C3681" s="10">
        <v>4.82</v>
      </c>
      <c r="D3681" s="10">
        <v>0.34</v>
      </c>
      <c r="E3681" s="16">
        <v>7.59</v>
      </c>
      <c r="F3681">
        <v>579814</v>
      </c>
      <c r="G3681" s="5">
        <v>43138</v>
      </c>
    </row>
    <row r="3682" spans="1:7" x14ac:dyDescent="0.4">
      <c r="A3682">
        <v>81</v>
      </c>
      <c r="B3682" t="s">
        <v>1362</v>
      </c>
      <c r="C3682" s="10">
        <v>8.83</v>
      </c>
      <c r="D3682" s="10">
        <v>0.62</v>
      </c>
      <c r="E3682" s="16">
        <v>7.55</v>
      </c>
      <c r="F3682">
        <v>2785179</v>
      </c>
      <c r="G3682" s="5">
        <v>43138</v>
      </c>
    </row>
    <row r="3683" spans="1:7" x14ac:dyDescent="0.4">
      <c r="A3683">
        <v>82</v>
      </c>
      <c r="B3683" t="s">
        <v>432</v>
      </c>
      <c r="C3683" s="10">
        <v>4.3499999999999996</v>
      </c>
      <c r="D3683" s="10">
        <v>0.3</v>
      </c>
      <c r="E3683" s="16">
        <v>7.41</v>
      </c>
      <c r="F3683">
        <v>26961</v>
      </c>
      <c r="G3683" s="5">
        <v>43138</v>
      </c>
    </row>
    <row r="3684" spans="1:7" x14ac:dyDescent="0.4">
      <c r="A3684">
        <v>83</v>
      </c>
      <c r="B3684" t="s">
        <v>1299</v>
      </c>
      <c r="C3684" s="10">
        <v>2.3199999999999998</v>
      </c>
      <c r="D3684" s="10">
        <v>0.16</v>
      </c>
      <c r="E3684" s="16">
        <v>7.41</v>
      </c>
      <c r="F3684">
        <v>610914</v>
      </c>
      <c r="G3684" s="5">
        <v>43138</v>
      </c>
    </row>
    <row r="3685" spans="1:7" x14ac:dyDescent="0.4">
      <c r="A3685">
        <v>84</v>
      </c>
      <c r="B3685" t="s">
        <v>966</v>
      </c>
      <c r="C3685" s="10">
        <v>5.1100000000000003</v>
      </c>
      <c r="D3685" s="10">
        <v>0.35</v>
      </c>
      <c r="E3685" s="16">
        <v>7.35</v>
      </c>
      <c r="F3685">
        <v>633675</v>
      </c>
      <c r="G3685" s="5">
        <v>43138</v>
      </c>
    </row>
    <row r="3686" spans="1:7" x14ac:dyDescent="0.4">
      <c r="A3686">
        <v>85</v>
      </c>
      <c r="B3686" t="s">
        <v>1738</v>
      </c>
      <c r="C3686" s="10">
        <v>3.65</v>
      </c>
      <c r="D3686" s="10">
        <v>0.25</v>
      </c>
      <c r="E3686" s="16">
        <v>7.35</v>
      </c>
      <c r="F3686">
        <v>107930</v>
      </c>
      <c r="G3686" s="5">
        <v>43138</v>
      </c>
    </row>
    <row r="3687" spans="1:7" x14ac:dyDescent="0.4">
      <c r="A3687">
        <v>86</v>
      </c>
      <c r="B3687" t="s">
        <v>855</v>
      </c>
      <c r="C3687" s="10">
        <v>11.32</v>
      </c>
      <c r="D3687" s="10">
        <v>0.77</v>
      </c>
      <c r="E3687" s="16">
        <v>7.3</v>
      </c>
      <c r="F3687">
        <v>3203895</v>
      </c>
      <c r="G3687" s="5">
        <v>43138</v>
      </c>
    </row>
    <row r="3688" spans="1:7" x14ac:dyDescent="0.4">
      <c r="A3688">
        <v>87</v>
      </c>
      <c r="B3688" t="s">
        <v>517</v>
      </c>
      <c r="C3688" s="10">
        <v>2.67</v>
      </c>
      <c r="D3688" s="10">
        <v>0.18</v>
      </c>
      <c r="E3688" s="16">
        <v>7.23</v>
      </c>
      <c r="F3688">
        <v>24608</v>
      </c>
      <c r="G3688" s="5">
        <v>43138</v>
      </c>
    </row>
    <row r="3689" spans="1:7" x14ac:dyDescent="0.4">
      <c r="A3689">
        <v>88</v>
      </c>
      <c r="B3689" t="s">
        <v>1844</v>
      </c>
      <c r="C3689" s="10">
        <v>232.17</v>
      </c>
      <c r="D3689" s="10">
        <v>15.58</v>
      </c>
      <c r="E3689" s="16">
        <v>7.19</v>
      </c>
      <c r="F3689">
        <v>1125774</v>
      </c>
      <c r="G3689" s="5">
        <v>43138</v>
      </c>
    </row>
    <row r="3690" spans="1:7" x14ac:dyDescent="0.4">
      <c r="A3690">
        <v>89</v>
      </c>
      <c r="B3690" t="s">
        <v>1788</v>
      </c>
      <c r="C3690" s="10">
        <v>3.02</v>
      </c>
      <c r="D3690" s="10">
        <v>0.2</v>
      </c>
      <c r="E3690" s="16">
        <v>7.09</v>
      </c>
      <c r="F3690">
        <v>550234</v>
      </c>
      <c r="G3690" s="5">
        <v>43138</v>
      </c>
    </row>
    <row r="3691" spans="1:7" x14ac:dyDescent="0.4">
      <c r="A3691">
        <v>90</v>
      </c>
      <c r="B3691" t="s">
        <v>648</v>
      </c>
      <c r="C3691" s="10">
        <v>5.3</v>
      </c>
      <c r="D3691" s="10">
        <v>0.35</v>
      </c>
      <c r="E3691" s="16">
        <v>7.07</v>
      </c>
      <c r="F3691">
        <v>179572</v>
      </c>
      <c r="G3691" s="5">
        <v>43138</v>
      </c>
    </row>
    <row r="3692" spans="1:7" x14ac:dyDescent="0.4">
      <c r="A3692">
        <v>91</v>
      </c>
      <c r="B3692" t="s">
        <v>41</v>
      </c>
      <c r="C3692" s="10">
        <v>2.74</v>
      </c>
      <c r="D3692" s="10">
        <v>0.18</v>
      </c>
      <c r="E3692" s="16">
        <v>7.03</v>
      </c>
      <c r="F3692">
        <v>120794</v>
      </c>
      <c r="G3692" s="5">
        <v>43138</v>
      </c>
    </row>
    <row r="3693" spans="1:7" x14ac:dyDescent="0.4">
      <c r="A3693">
        <v>92</v>
      </c>
      <c r="B3693" t="s">
        <v>1845</v>
      </c>
      <c r="C3693" s="10">
        <v>4.5999999999999996</v>
      </c>
      <c r="D3693" s="10">
        <v>0.3</v>
      </c>
      <c r="E3693" s="16">
        <v>6.98</v>
      </c>
      <c r="F3693">
        <v>7053</v>
      </c>
      <c r="G3693" s="5">
        <v>43138</v>
      </c>
    </row>
    <row r="3694" spans="1:7" x14ac:dyDescent="0.4">
      <c r="A3694">
        <v>93</v>
      </c>
      <c r="B3694" t="s">
        <v>35</v>
      </c>
      <c r="C3694" s="10">
        <v>4.88</v>
      </c>
      <c r="D3694" s="10">
        <v>0.31</v>
      </c>
      <c r="E3694" s="16">
        <v>6.91</v>
      </c>
      <c r="F3694">
        <v>254477</v>
      </c>
      <c r="G3694" s="5">
        <v>43138</v>
      </c>
    </row>
    <row r="3695" spans="1:7" x14ac:dyDescent="0.4">
      <c r="A3695">
        <v>94</v>
      </c>
      <c r="B3695" t="s">
        <v>799</v>
      </c>
      <c r="C3695" s="10">
        <v>32.049999999999997</v>
      </c>
      <c r="D3695" s="10">
        <v>2.0499999999999998</v>
      </c>
      <c r="E3695" s="16">
        <v>6.83</v>
      </c>
      <c r="F3695">
        <v>592978</v>
      </c>
      <c r="G3695" s="5">
        <v>43138</v>
      </c>
    </row>
    <row r="3696" spans="1:7" x14ac:dyDescent="0.4">
      <c r="A3696">
        <v>95</v>
      </c>
      <c r="B3696" t="s">
        <v>1050</v>
      </c>
      <c r="C3696" s="10">
        <v>5.95</v>
      </c>
      <c r="D3696" s="10">
        <v>0.38</v>
      </c>
      <c r="E3696" s="16">
        <v>6.82</v>
      </c>
      <c r="F3696">
        <v>154774</v>
      </c>
      <c r="G3696" s="5">
        <v>43138</v>
      </c>
    </row>
    <row r="3697" spans="1:7" x14ac:dyDescent="0.4">
      <c r="A3697">
        <v>96</v>
      </c>
      <c r="B3697" t="s">
        <v>280</v>
      </c>
      <c r="C3697" s="10">
        <v>28.68</v>
      </c>
      <c r="D3697" s="10">
        <v>1.82</v>
      </c>
      <c r="E3697" s="16">
        <v>6.78</v>
      </c>
      <c r="F3697">
        <v>7468406</v>
      </c>
      <c r="G3697" s="5">
        <v>43138</v>
      </c>
    </row>
    <row r="3698" spans="1:7" x14ac:dyDescent="0.4">
      <c r="A3698">
        <v>97</v>
      </c>
      <c r="B3698" t="s">
        <v>980</v>
      </c>
      <c r="C3698" s="10">
        <v>25.65</v>
      </c>
      <c r="D3698" s="10">
        <v>1.62</v>
      </c>
      <c r="E3698" s="16">
        <v>6.74</v>
      </c>
      <c r="F3698">
        <v>1170192</v>
      </c>
      <c r="G3698" s="5">
        <v>43138</v>
      </c>
    </row>
    <row r="3699" spans="1:7" x14ac:dyDescent="0.4">
      <c r="A3699">
        <v>98</v>
      </c>
      <c r="B3699" t="s">
        <v>1846</v>
      </c>
      <c r="C3699" s="10">
        <v>11.67</v>
      </c>
      <c r="D3699" s="10">
        <v>0.73</v>
      </c>
      <c r="E3699" s="16">
        <v>6.67</v>
      </c>
      <c r="F3699">
        <v>312108</v>
      </c>
      <c r="G3699" s="5">
        <v>43138</v>
      </c>
    </row>
    <row r="3700" spans="1:7" x14ac:dyDescent="0.4">
      <c r="A3700">
        <v>99</v>
      </c>
      <c r="B3700" t="s">
        <v>207</v>
      </c>
      <c r="C3700" s="10">
        <v>14.87</v>
      </c>
      <c r="D3700" s="10">
        <v>0.93</v>
      </c>
      <c r="E3700" s="16">
        <v>6.67</v>
      </c>
      <c r="F3700">
        <v>1630577</v>
      </c>
      <c r="G3700" s="5">
        <v>43138</v>
      </c>
    </row>
    <row r="3701" spans="1:7" x14ac:dyDescent="0.4">
      <c r="A3701">
        <v>100</v>
      </c>
      <c r="B3701" t="s">
        <v>241</v>
      </c>
      <c r="C3701" s="10">
        <v>26.91</v>
      </c>
      <c r="D3701" s="10">
        <v>1.67</v>
      </c>
      <c r="E3701" s="16">
        <v>6.62</v>
      </c>
      <c r="F3701">
        <v>48448944</v>
      </c>
      <c r="G3701" s="5">
        <v>43138</v>
      </c>
    </row>
    <row r="3702" spans="1:7" x14ac:dyDescent="0.4">
      <c r="A3702">
        <v>1</v>
      </c>
      <c r="B3702" t="s">
        <v>1100</v>
      </c>
      <c r="C3702" s="10">
        <v>10.25</v>
      </c>
      <c r="D3702" s="10">
        <v>3.1</v>
      </c>
      <c r="E3702" s="16">
        <v>43.36</v>
      </c>
      <c r="F3702">
        <v>197131</v>
      </c>
      <c r="G3702" s="5">
        <v>43137</v>
      </c>
    </row>
    <row r="3703" spans="1:7" x14ac:dyDescent="0.4">
      <c r="A3703">
        <v>2</v>
      </c>
      <c r="B3703" t="s">
        <v>1147</v>
      </c>
      <c r="C3703" s="10">
        <v>5.25</v>
      </c>
      <c r="D3703" s="10">
        <v>1.4</v>
      </c>
      <c r="E3703" s="16">
        <v>36.36</v>
      </c>
      <c r="F3703">
        <v>201412</v>
      </c>
      <c r="G3703" s="5">
        <v>43137</v>
      </c>
    </row>
    <row r="3704" spans="1:7" x14ac:dyDescent="0.4">
      <c r="A3704">
        <v>3</v>
      </c>
      <c r="B3704" t="s">
        <v>311</v>
      </c>
      <c r="C3704" s="10">
        <v>4.03</v>
      </c>
      <c r="D3704" s="10">
        <v>1.04</v>
      </c>
      <c r="E3704" s="16">
        <v>34.78</v>
      </c>
      <c r="F3704">
        <v>4348632</v>
      </c>
      <c r="G3704" s="5">
        <v>43137</v>
      </c>
    </row>
    <row r="3705" spans="1:7" x14ac:dyDescent="0.4">
      <c r="A3705">
        <v>4</v>
      </c>
      <c r="B3705" t="s">
        <v>335</v>
      </c>
      <c r="C3705" s="10">
        <v>6.19</v>
      </c>
      <c r="D3705" s="10">
        <v>1.53</v>
      </c>
      <c r="E3705" s="16">
        <v>32.83</v>
      </c>
      <c r="F3705">
        <v>138297</v>
      </c>
      <c r="G3705" s="5">
        <v>43137</v>
      </c>
    </row>
    <row r="3706" spans="1:7" x14ac:dyDescent="0.4">
      <c r="A3706">
        <v>5</v>
      </c>
      <c r="B3706" t="s">
        <v>1847</v>
      </c>
      <c r="C3706" s="10">
        <v>30</v>
      </c>
      <c r="D3706" s="10">
        <v>5.95</v>
      </c>
      <c r="E3706" s="16">
        <v>24.74</v>
      </c>
      <c r="F3706">
        <v>3345036</v>
      </c>
      <c r="G3706" s="5">
        <v>43137</v>
      </c>
    </row>
    <row r="3707" spans="1:7" x14ac:dyDescent="0.4">
      <c r="A3707">
        <v>6</v>
      </c>
      <c r="B3707" t="s">
        <v>1807</v>
      </c>
      <c r="C3707" s="10">
        <v>9</v>
      </c>
      <c r="D3707" s="10">
        <v>1.6</v>
      </c>
      <c r="E3707" s="16">
        <v>21.62</v>
      </c>
      <c r="F3707">
        <v>5980</v>
      </c>
      <c r="G3707" s="5">
        <v>43137</v>
      </c>
    </row>
    <row r="3708" spans="1:7" x14ac:dyDescent="0.4">
      <c r="A3708">
        <v>7</v>
      </c>
      <c r="B3708" t="s">
        <v>1848</v>
      </c>
      <c r="C3708" s="10">
        <v>51.65</v>
      </c>
      <c r="D3708" s="10">
        <v>9.0500000000000007</v>
      </c>
      <c r="E3708" s="16">
        <v>21.24</v>
      </c>
      <c r="F3708">
        <v>9745776</v>
      </c>
      <c r="G3708" s="5">
        <v>43137</v>
      </c>
    </row>
    <row r="3709" spans="1:7" x14ac:dyDescent="0.4">
      <c r="A3709">
        <v>8</v>
      </c>
      <c r="B3709" t="s">
        <v>377</v>
      </c>
      <c r="C3709" s="10">
        <v>12.95</v>
      </c>
      <c r="D3709" s="10">
        <v>2.25</v>
      </c>
      <c r="E3709" s="16">
        <v>21.03</v>
      </c>
      <c r="F3709">
        <v>2722265</v>
      </c>
      <c r="G3709" s="5">
        <v>43137</v>
      </c>
    </row>
    <row r="3710" spans="1:7" x14ac:dyDescent="0.4">
      <c r="A3710">
        <v>9</v>
      </c>
      <c r="B3710" t="s">
        <v>396</v>
      </c>
      <c r="C3710" s="10">
        <v>4.34</v>
      </c>
      <c r="D3710" s="10">
        <v>0.75</v>
      </c>
      <c r="E3710" s="16">
        <v>20.89</v>
      </c>
      <c r="F3710">
        <v>367931</v>
      </c>
      <c r="G3710" s="5">
        <v>43137</v>
      </c>
    </row>
    <row r="3711" spans="1:7" x14ac:dyDescent="0.4">
      <c r="A3711">
        <v>10</v>
      </c>
      <c r="B3711" t="s">
        <v>20</v>
      </c>
      <c r="C3711" s="10">
        <v>6.83</v>
      </c>
      <c r="D3711" s="10">
        <v>1.18</v>
      </c>
      <c r="E3711" s="16">
        <v>20.88</v>
      </c>
      <c r="F3711">
        <v>19314646</v>
      </c>
      <c r="G3711" s="5">
        <v>43137</v>
      </c>
    </row>
    <row r="3712" spans="1:7" x14ac:dyDescent="0.4">
      <c r="A3712">
        <v>11</v>
      </c>
      <c r="B3712" t="s">
        <v>1157</v>
      </c>
      <c r="C3712" s="10">
        <v>10.8</v>
      </c>
      <c r="D3712" s="10">
        <v>1.8</v>
      </c>
      <c r="E3712" s="16">
        <v>20</v>
      </c>
      <c r="F3712">
        <v>2716195</v>
      </c>
      <c r="G3712" s="5">
        <v>43137</v>
      </c>
    </row>
    <row r="3713" spans="1:7" x14ac:dyDescent="0.4">
      <c r="A3713">
        <v>12</v>
      </c>
      <c r="B3713" t="s">
        <v>18</v>
      </c>
      <c r="C3713" s="10">
        <v>6.96</v>
      </c>
      <c r="D3713" s="10">
        <v>1.02</v>
      </c>
      <c r="E3713" s="16">
        <v>17.170000000000002</v>
      </c>
      <c r="F3713">
        <v>982829</v>
      </c>
      <c r="G3713" s="5">
        <v>43137</v>
      </c>
    </row>
    <row r="3714" spans="1:7" x14ac:dyDescent="0.4">
      <c r="A3714">
        <v>13</v>
      </c>
      <c r="B3714" t="s">
        <v>1053</v>
      </c>
      <c r="C3714" s="10">
        <v>4.01</v>
      </c>
      <c r="D3714" s="10">
        <v>0.55000000000000004</v>
      </c>
      <c r="E3714" s="16">
        <v>15.9</v>
      </c>
      <c r="F3714">
        <v>2939738</v>
      </c>
      <c r="G3714" s="5">
        <v>43137</v>
      </c>
    </row>
    <row r="3715" spans="1:7" x14ac:dyDescent="0.4">
      <c r="A3715">
        <v>14</v>
      </c>
      <c r="B3715" t="s">
        <v>508</v>
      </c>
      <c r="C3715" s="10">
        <v>3.3</v>
      </c>
      <c r="D3715" s="10">
        <v>0.45</v>
      </c>
      <c r="E3715" s="16">
        <v>15.79</v>
      </c>
      <c r="F3715">
        <v>23897</v>
      </c>
      <c r="G3715" s="5">
        <v>43137</v>
      </c>
    </row>
    <row r="3716" spans="1:7" x14ac:dyDescent="0.4">
      <c r="A3716">
        <v>15</v>
      </c>
      <c r="B3716" t="s">
        <v>1843</v>
      </c>
      <c r="C3716" s="10">
        <v>16.28</v>
      </c>
      <c r="D3716" s="10">
        <v>2.19</v>
      </c>
      <c r="E3716" s="16">
        <v>15.54</v>
      </c>
      <c r="F3716">
        <v>10057461</v>
      </c>
      <c r="G3716" s="5">
        <v>43137</v>
      </c>
    </row>
    <row r="3717" spans="1:7" x14ac:dyDescent="0.4">
      <c r="A3717">
        <v>16</v>
      </c>
      <c r="B3717" t="s">
        <v>1849</v>
      </c>
      <c r="C3717" s="10">
        <v>40.840000000000003</v>
      </c>
      <c r="D3717" s="10">
        <v>5.22</v>
      </c>
      <c r="E3717" s="16">
        <v>14.65</v>
      </c>
      <c r="F3717">
        <v>11458193</v>
      </c>
      <c r="G3717" s="5">
        <v>43137</v>
      </c>
    </row>
    <row r="3718" spans="1:7" x14ac:dyDescent="0.4">
      <c r="A3718">
        <v>17</v>
      </c>
      <c r="B3718" t="s">
        <v>167</v>
      </c>
      <c r="C3718" s="10">
        <v>10.75</v>
      </c>
      <c r="D3718" s="10">
        <v>1.3</v>
      </c>
      <c r="E3718" s="16">
        <v>13.76</v>
      </c>
      <c r="F3718">
        <v>553281</v>
      </c>
      <c r="G3718" s="5">
        <v>43137</v>
      </c>
    </row>
    <row r="3719" spans="1:7" x14ac:dyDescent="0.4">
      <c r="A3719">
        <v>18</v>
      </c>
      <c r="B3719" t="s">
        <v>133</v>
      </c>
      <c r="C3719" s="10">
        <v>12</v>
      </c>
      <c r="D3719" s="10">
        <v>1.44</v>
      </c>
      <c r="E3719" s="16">
        <v>13.59</v>
      </c>
      <c r="F3719">
        <v>26763</v>
      </c>
      <c r="G3719" s="5">
        <v>43137</v>
      </c>
    </row>
    <row r="3720" spans="1:7" x14ac:dyDescent="0.4">
      <c r="A3720">
        <v>19</v>
      </c>
      <c r="B3720" t="s">
        <v>625</v>
      </c>
      <c r="C3720" s="10">
        <v>34.74</v>
      </c>
      <c r="D3720" s="10">
        <v>4.03</v>
      </c>
      <c r="E3720" s="16">
        <v>13.12</v>
      </c>
      <c r="F3720">
        <v>116691</v>
      </c>
      <c r="G3720" s="5">
        <v>43137</v>
      </c>
    </row>
    <row r="3721" spans="1:7" x14ac:dyDescent="0.4">
      <c r="A3721">
        <v>20</v>
      </c>
      <c r="B3721" t="s">
        <v>1010</v>
      </c>
      <c r="C3721" s="10">
        <v>15.11</v>
      </c>
      <c r="D3721" s="10">
        <v>1.75</v>
      </c>
      <c r="E3721" s="16">
        <v>13.1</v>
      </c>
      <c r="F3721">
        <v>1300766</v>
      </c>
      <c r="G3721" s="5">
        <v>43137</v>
      </c>
    </row>
    <row r="3722" spans="1:7" x14ac:dyDescent="0.4">
      <c r="A3722">
        <v>21</v>
      </c>
      <c r="B3722" t="s">
        <v>80</v>
      </c>
      <c r="C3722" s="10">
        <v>5.83</v>
      </c>
      <c r="D3722" s="10">
        <v>0.67</v>
      </c>
      <c r="E3722" s="16">
        <v>12.98</v>
      </c>
      <c r="F3722">
        <v>1934098</v>
      </c>
      <c r="G3722" s="5">
        <v>43137</v>
      </c>
    </row>
    <row r="3723" spans="1:7" x14ac:dyDescent="0.4">
      <c r="A3723">
        <v>22</v>
      </c>
      <c r="B3723" t="s">
        <v>1013</v>
      </c>
      <c r="C3723" s="10">
        <v>2.89</v>
      </c>
      <c r="D3723" s="10">
        <v>0.33</v>
      </c>
      <c r="E3723" s="16">
        <v>12.89</v>
      </c>
      <c r="F3723">
        <v>6110467</v>
      </c>
      <c r="G3723" s="5">
        <v>43137</v>
      </c>
    </row>
    <row r="3724" spans="1:7" x14ac:dyDescent="0.4">
      <c r="A3724">
        <v>23</v>
      </c>
      <c r="B3724" t="s">
        <v>1850</v>
      </c>
      <c r="C3724" s="10">
        <v>36.35</v>
      </c>
      <c r="D3724" s="10">
        <v>4.1500000000000004</v>
      </c>
      <c r="E3724" s="16">
        <v>12.89</v>
      </c>
      <c r="F3724">
        <v>156177</v>
      </c>
      <c r="G3724" s="5">
        <v>43137</v>
      </c>
    </row>
    <row r="3725" spans="1:7" x14ac:dyDescent="0.4">
      <c r="A3725">
        <v>24</v>
      </c>
      <c r="B3725" t="s">
        <v>775</v>
      </c>
      <c r="C3725" s="10">
        <v>51</v>
      </c>
      <c r="D3725" s="10">
        <v>5.78</v>
      </c>
      <c r="E3725" s="16">
        <v>12.78</v>
      </c>
      <c r="F3725">
        <v>209395</v>
      </c>
      <c r="G3725" s="5">
        <v>43137</v>
      </c>
    </row>
    <row r="3726" spans="1:7" x14ac:dyDescent="0.4">
      <c r="A3726">
        <v>25</v>
      </c>
      <c r="B3726" t="s">
        <v>1301</v>
      </c>
      <c r="C3726" s="10">
        <v>8.41</v>
      </c>
      <c r="D3726" s="10">
        <v>0.95</v>
      </c>
      <c r="E3726" s="16">
        <v>12.73</v>
      </c>
      <c r="F3726">
        <v>449050</v>
      </c>
      <c r="G3726" s="5">
        <v>43137</v>
      </c>
    </row>
    <row r="3727" spans="1:7" x14ac:dyDescent="0.4">
      <c r="A3727">
        <v>26</v>
      </c>
      <c r="B3727" t="s">
        <v>1851</v>
      </c>
      <c r="C3727" s="10">
        <v>3.5</v>
      </c>
      <c r="D3727" s="10">
        <v>0.38</v>
      </c>
      <c r="E3727" s="16">
        <v>12.18</v>
      </c>
      <c r="F3727">
        <v>3640</v>
      </c>
      <c r="G3727" s="5">
        <v>43137</v>
      </c>
    </row>
    <row r="3728" spans="1:7" x14ac:dyDescent="0.4">
      <c r="A3728">
        <v>27</v>
      </c>
      <c r="B3728" t="s">
        <v>1852</v>
      </c>
      <c r="C3728" s="10">
        <v>22.03</v>
      </c>
      <c r="D3728" s="10">
        <v>2.37</v>
      </c>
      <c r="E3728" s="16">
        <v>12.05</v>
      </c>
      <c r="F3728">
        <v>2956879</v>
      </c>
      <c r="G3728" s="5">
        <v>43137</v>
      </c>
    </row>
    <row r="3729" spans="1:7" x14ac:dyDescent="0.4">
      <c r="A3729">
        <v>28</v>
      </c>
      <c r="B3729" t="s">
        <v>747</v>
      </c>
      <c r="C3729" s="10">
        <v>60.49</v>
      </c>
      <c r="D3729" s="10">
        <v>6.43</v>
      </c>
      <c r="E3729" s="16">
        <v>11.89</v>
      </c>
      <c r="F3729">
        <v>38203</v>
      </c>
      <c r="G3729" s="5">
        <v>43137</v>
      </c>
    </row>
    <row r="3730" spans="1:7" x14ac:dyDescent="0.4">
      <c r="A3730">
        <v>29</v>
      </c>
      <c r="B3730" t="s">
        <v>1362</v>
      </c>
      <c r="C3730" s="10">
        <v>8.2100000000000009</v>
      </c>
      <c r="D3730" s="10">
        <v>0.87</v>
      </c>
      <c r="E3730" s="16">
        <v>11.85</v>
      </c>
      <c r="F3730">
        <v>2974383</v>
      </c>
      <c r="G3730" s="5">
        <v>43137</v>
      </c>
    </row>
    <row r="3731" spans="1:7" x14ac:dyDescent="0.4">
      <c r="A3731">
        <v>30</v>
      </c>
      <c r="B3731" t="s">
        <v>922</v>
      </c>
      <c r="C3731" s="10">
        <v>53.98</v>
      </c>
      <c r="D3731" s="10">
        <v>5.59</v>
      </c>
      <c r="E3731" s="16">
        <v>11.55</v>
      </c>
      <c r="F3731">
        <v>572974</v>
      </c>
      <c r="G3731" s="5">
        <v>43137</v>
      </c>
    </row>
    <row r="3732" spans="1:7" x14ac:dyDescent="0.4">
      <c r="A3732">
        <v>31</v>
      </c>
      <c r="B3732" t="s">
        <v>927</v>
      </c>
      <c r="C3732" s="10">
        <v>6.96</v>
      </c>
      <c r="D3732" s="10">
        <v>0.72</v>
      </c>
      <c r="E3732" s="16">
        <v>11.54</v>
      </c>
      <c r="F3732">
        <v>442431</v>
      </c>
      <c r="G3732" s="5">
        <v>43137</v>
      </c>
    </row>
    <row r="3733" spans="1:7" x14ac:dyDescent="0.4">
      <c r="A3733">
        <v>32</v>
      </c>
      <c r="B3733" t="s">
        <v>1750</v>
      </c>
      <c r="C3733" s="10">
        <v>12.49</v>
      </c>
      <c r="D3733" s="10">
        <v>1.29</v>
      </c>
      <c r="E3733" s="16">
        <v>11.52</v>
      </c>
      <c r="F3733">
        <v>508840</v>
      </c>
      <c r="G3733" s="5">
        <v>43137</v>
      </c>
    </row>
    <row r="3734" spans="1:7" x14ac:dyDescent="0.4">
      <c r="A3734">
        <v>33</v>
      </c>
      <c r="B3734" t="s">
        <v>1326</v>
      </c>
      <c r="C3734" s="10">
        <v>12.21</v>
      </c>
      <c r="D3734" s="10">
        <v>1.26</v>
      </c>
      <c r="E3734" s="16">
        <v>11.51</v>
      </c>
      <c r="F3734">
        <v>18627</v>
      </c>
      <c r="G3734" s="5">
        <v>43137</v>
      </c>
    </row>
    <row r="3735" spans="1:7" x14ac:dyDescent="0.4">
      <c r="A3735">
        <v>34</v>
      </c>
      <c r="B3735" t="s">
        <v>57</v>
      </c>
      <c r="C3735" s="10">
        <v>15.61</v>
      </c>
      <c r="D3735" s="10">
        <v>1.61</v>
      </c>
      <c r="E3735" s="16">
        <v>11.5</v>
      </c>
      <c r="F3735">
        <v>545829</v>
      </c>
      <c r="G3735" s="5">
        <v>43137</v>
      </c>
    </row>
    <row r="3736" spans="1:7" x14ac:dyDescent="0.4">
      <c r="A3736">
        <v>35</v>
      </c>
      <c r="B3736" t="s">
        <v>61</v>
      </c>
      <c r="C3736" s="10">
        <v>43.88</v>
      </c>
      <c r="D3736" s="10">
        <v>4.4800000000000004</v>
      </c>
      <c r="E3736" s="16">
        <v>11.37</v>
      </c>
      <c r="F3736">
        <v>66024556</v>
      </c>
      <c r="G3736" s="5">
        <v>43137</v>
      </c>
    </row>
    <row r="3737" spans="1:7" x14ac:dyDescent="0.4">
      <c r="A3737">
        <v>36</v>
      </c>
      <c r="B3737" t="s">
        <v>1467</v>
      </c>
      <c r="C3737" s="10">
        <v>32.090000000000003</v>
      </c>
      <c r="D3737" s="10">
        <v>3.27</v>
      </c>
      <c r="E3737" s="16">
        <v>11.35</v>
      </c>
      <c r="F3737">
        <v>2317148</v>
      </c>
      <c r="G3737" s="5">
        <v>43137</v>
      </c>
    </row>
    <row r="3738" spans="1:7" x14ac:dyDescent="0.4">
      <c r="A3738">
        <v>37</v>
      </c>
      <c r="B3738" t="s">
        <v>1333</v>
      </c>
      <c r="C3738" s="10">
        <v>3.7</v>
      </c>
      <c r="D3738" s="10">
        <v>0.37</v>
      </c>
      <c r="E3738" s="16">
        <v>11.22</v>
      </c>
      <c r="F3738">
        <v>28195</v>
      </c>
      <c r="G3738" s="5">
        <v>43137</v>
      </c>
    </row>
    <row r="3739" spans="1:7" x14ac:dyDescent="0.4">
      <c r="A3739">
        <v>38</v>
      </c>
      <c r="B3739" t="s">
        <v>1202</v>
      </c>
      <c r="C3739" s="10">
        <v>32.78</v>
      </c>
      <c r="D3739" s="10">
        <v>3.28</v>
      </c>
      <c r="E3739" s="16">
        <v>11.12</v>
      </c>
      <c r="F3739">
        <v>203788</v>
      </c>
      <c r="G3739" s="5">
        <v>43137</v>
      </c>
    </row>
    <row r="3740" spans="1:7" x14ac:dyDescent="0.4">
      <c r="A3740">
        <v>39</v>
      </c>
      <c r="B3740" t="s">
        <v>490</v>
      </c>
      <c r="C3740" s="10">
        <v>55</v>
      </c>
      <c r="D3740" s="10">
        <v>5.5</v>
      </c>
      <c r="E3740" s="16">
        <v>11.11</v>
      </c>
      <c r="F3740">
        <v>4841277</v>
      </c>
      <c r="G3740" s="5">
        <v>43137</v>
      </c>
    </row>
    <row r="3741" spans="1:7" x14ac:dyDescent="0.4">
      <c r="A3741">
        <v>40</v>
      </c>
      <c r="B3741" t="s">
        <v>1517</v>
      </c>
      <c r="C3741" s="10">
        <v>33.33</v>
      </c>
      <c r="D3741" s="10">
        <v>3.3</v>
      </c>
      <c r="E3741" s="16">
        <v>10.99</v>
      </c>
      <c r="F3741">
        <v>1167037</v>
      </c>
      <c r="G3741" s="5">
        <v>43137</v>
      </c>
    </row>
    <row r="3742" spans="1:7" x14ac:dyDescent="0.4">
      <c r="A3742">
        <v>41</v>
      </c>
      <c r="B3742" t="s">
        <v>504</v>
      </c>
      <c r="C3742" s="10">
        <v>6.6</v>
      </c>
      <c r="D3742" s="10">
        <v>0.65</v>
      </c>
      <c r="E3742" s="16">
        <v>10.92</v>
      </c>
      <c r="F3742">
        <v>133286</v>
      </c>
      <c r="G3742" s="5">
        <v>43137</v>
      </c>
    </row>
    <row r="3743" spans="1:7" x14ac:dyDescent="0.4">
      <c r="A3743">
        <v>42</v>
      </c>
      <c r="B3743" t="s">
        <v>913</v>
      </c>
      <c r="C3743" s="10">
        <v>6.34</v>
      </c>
      <c r="D3743" s="10">
        <v>0.62</v>
      </c>
      <c r="E3743" s="16">
        <v>10.87</v>
      </c>
      <c r="F3743">
        <v>75053</v>
      </c>
      <c r="G3743" s="5">
        <v>43137</v>
      </c>
    </row>
    <row r="3744" spans="1:7" x14ac:dyDescent="0.4">
      <c r="A3744">
        <v>43</v>
      </c>
      <c r="B3744" t="s">
        <v>786</v>
      </c>
      <c r="C3744" s="10">
        <v>74.84</v>
      </c>
      <c r="D3744" s="10">
        <v>7.27</v>
      </c>
      <c r="E3744" s="16">
        <v>10.76</v>
      </c>
      <c r="F3744">
        <v>196025</v>
      </c>
      <c r="G3744" s="5">
        <v>43137</v>
      </c>
    </row>
    <row r="3745" spans="1:7" x14ac:dyDescent="0.4">
      <c r="A3745">
        <v>44</v>
      </c>
      <c r="B3745" t="s">
        <v>961</v>
      </c>
      <c r="C3745" s="10">
        <v>29.9</v>
      </c>
      <c r="D3745" s="10">
        <v>2.9</v>
      </c>
      <c r="E3745" s="16">
        <v>10.74</v>
      </c>
      <c r="F3745">
        <v>846996</v>
      </c>
      <c r="G3745" s="5">
        <v>43137</v>
      </c>
    </row>
    <row r="3746" spans="1:7" x14ac:dyDescent="0.4">
      <c r="A3746">
        <v>45</v>
      </c>
      <c r="B3746" t="s">
        <v>38</v>
      </c>
      <c r="C3746" s="10">
        <v>35.5</v>
      </c>
      <c r="D3746" s="10">
        <v>3.44</v>
      </c>
      <c r="E3746" s="16">
        <v>10.73</v>
      </c>
      <c r="F3746">
        <v>210925</v>
      </c>
      <c r="G3746" s="5">
        <v>43137</v>
      </c>
    </row>
    <row r="3747" spans="1:7" x14ac:dyDescent="0.4">
      <c r="A3747">
        <v>46</v>
      </c>
      <c r="B3747" t="s">
        <v>1853</v>
      </c>
      <c r="C3747" s="10">
        <v>104.56</v>
      </c>
      <c r="D3747" s="10">
        <v>9.8800000000000008</v>
      </c>
      <c r="E3747" s="16">
        <v>10.44</v>
      </c>
      <c r="F3747">
        <v>8476242</v>
      </c>
      <c r="G3747" s="5">
        <v>43137</v>
      </c>
    </row>
    <row r="3748" spans="1:7" x14ac:dyDescent="0.4">
      <c r="A3748">
        <v>47</v>
      </c>
      <c r="B3748" t="s">
        <v>933</v>
      </c>
      <c r="C3748" s="10">
        <v>42.38</v>
      </c>
      <c r="D3748" s="10">
        <v>3.99</v>
      </c>
      <c r="E3748" s="16">
        <v>10.39</v>
      </c>
      <c r="F3748">
        <v>90035</v>
      </c>
      <c r="G3748" s="5">
        <v>43137</v>
      </c>
    </row>
    <row r="3749" spans="1:7" x14ac:dyDescent="0.4">
      <c r="A3749">
        <v>48</v>
      </c>
      <c r="B3749" t="s">
        <v>1854</v>
      </c>
      <c r="C3749" s="10">
        <v>23.8</v>
      </c>
      <c r="D3749" s="10">
        <v>2.23</v>
      </c>
      <c r="E3749" s="16">
        <v>10.34</v>
      </c>
      <c r="F3749">
        <v>947053</v>
      </c>
      <c r="G3749" s="5">
        <v>43137</v>
      </c>
    </row>
    <row r="3750" spans="1:7" x14ac:dyDescent="0.4">
      <c r="A3750">
        <v>49</v>
      </c>
      <c r="B3750" t="s">
        <v>754</v>
      </c>
      <c r="C3750" s="10">
        <v>98.22</v>
      </c>
      <c r="D3750" s="10">
        <v>9.1999999999999993</v>
      </c>
      <c r="E3750" s="16">
        <v>10.33</v>
      </c>
      <c r="F3750">
        <v>151391</v>
      </c>
      <c r="G3750" s="5">
        <v>43137</v>
      </c>
    </row>
    <row r="3751" spans="1:7" x14ac:dyDescent="0.4">
      <c r="A3751">
        <v>50</v>
      </c>
      <c r="B3751" t="s">
        <v>742</v>
      </c>
      <c r="C3751" s="10">
        <v>150</v>
      </c>
      <c r="D3751" s="10">
        <v>13.98</v>
      </c>
      <c r="E3751" s="16">
        <v>10.28</v>
      </c>
      <c r="F3751">
        <v>1368906</v>
      </c>
      <c r="G3751" s="5">
        <v>43137</v>
      </c>
    </row>
    <row r="3752" spans="1:7" x14ac:dyDescent="0.4">
      <c r="A3752">
        <v>51</v>
      </c>
      <c r="B3752" t="s">
        <v>1855</v>
      </c>
      <c r="C3752" s="10">
        <v>2.92</v>
      </c>
      <c r="D3752" s="10">
        <v>0.27</v>
      </c>
      <c r="E3752" s="16">
        <v>10.18</v>
      </c>
      <c r="F3752">
        <v>17287</v>
      </c>
      <c r="G3752" s="5">
        <v>43137</v>
      </c>
    </row>
    <row r="3753" spans="1:7" x14ac:dyDescent="0.4">
      <c r="A3753">
        <v>52</v>
      </c>
      <c r="B3753" t="s">
        <v>1310</v>
      </c>
      <c r="C3753" s="10">
        <v>2.61</v>
      </c>
      <c r="D3753" s="10">
        <v>0.24</v>
      </c>
      <c r="E3753" s="16">
        <v>10.130000000000001</v>
      </c>
      <c r="F3753">
        <v>839482</v>
      </c>
      <c r="G3753" s="5">
        <v>43137</v>
      </c>
    </row>
    <row r="3754" spans="1:7" x14ac:dyDescent="0.4">
      <c r="A3754">
        <v>53</v>
      </c>
      <c r="B3754" t="s">
        <v>540</v>
      </c>
      <c r="C3754" s="10">
        <v>4.3499999999999996</v>
      </c>
      <c r="D3754" s="10">
        <v>0.4</v>
      </c>
      <c r="E3754" s="16">
        <v>10.130000000000001</v>
      </c>
      <c r="F3754">
        <v>596428</v>
      </c>
      <c r="G3754" s="5">
        <v>43137</v>
      </c>
    </row>
    <row r="3755" spans="1:7" x14ac:dyDescent="0.4">
      <c r="A3755">
        <v>54</v>
      </c>
      <c r="B3755" t="s">
        <v>1856</v>
      </c>
      <c r="C3755" s="10">
        <v>28.75</v>
      </c>
      <c r="D3755" s="10">
        <v>2.63</v>
      </c>
      <c r="E3755" s="16">
        <v>10.07</v>
      </c>
      <c r="F3755">
        <v>19433739</v>
      </c>
      <c r="G3755" s="5">
        <v>43137</v>
      </c>
    </row>
    <row r="3756" spans="1:7" x14ac:dyDescent="0.4">
      <c r="A3756">
        <v>55</v>
      </c>
      <c r="B3756" t="s">
        <v>1043</v>
      </c>
      <c r="C3756" s="10">
        <v>7.7</v>
      </c>
      <c r="D3756" s="10">
        <v>0.7</v>
      </c>
      <c r="E3756" s="16">
        <v>10</v>
      </c>
      <c r="F3756">
        <v>1266948</v>
      </c>
      <c r="G3756" s="5">
        <v>43137</v>
      </c>
    </row>
    <row r="3757" spans="1:7" x14ac:dyDescent="0.4">
      <c r="A3757">
        <v>56</v>
      </c>
      <c r="B3757" t="s">
        <v>498</v>
      </c>
      <c r="C3757" s="10">
        <v>4.2</v>
      </c>
      <c r="D3757" s="10">
        <v>0.37</v>
      </c>
      <c r="E3757" s="16">
        <v>9.66</v>
      </c>
      <c r="F3757">
        <v>361069</v>
      </c>
      <c r="G3757" s="5">
        <v>43137</v>
      </c>
    </row>
    <row r="3758" spans="1:7" x14ac:dyDescent="0.4">
      <c r="A3758">
        <v>57</v>
      </c>
      <c r="B3758" t="s">
        <v>552</v>
      </c>
      <c r="C3758" s="10">
        <v>20.45</v>
      </c>
      <c r="D3758" s="10">
        <v>1.8</v>
      </c>
      <c r="E3758" s="16">
        <v>9.65</v>
      </c>
      <c r="F3758">
        <v>236494</v>
      </c>
      <c r="G3758" s="5">
        <v>43137</v>
      </c>
    </row>
    <row r="3759" spans="1:7" x14ac:dyDescent="0.4">
      <c r="A3759">
        <v>58</v>
      </c>
      <c r="B3759" t="s">
        <v>1857</v>
      </c>
      <c r="C3759" s="10">
        <v>33.24</v>
      </c>
      <c r="D3759" s="10">
        <v>2.9</v>
      </c>
      <c r="E3759" s="16">
        <v>9.56</v>
      </c>
      <c r="F3759">
        <v>1254218</v>
      </c>
      <c r="G3759" s="5">
        <v>43137</v>
      </c>
    </row>
    <row r="3760" spans="1:7" x14ac:dyDescent="0.4">
      <c r="A3760">
        <v>59</v>
      </c>
      <c r="B3760" t="s">
        <v>1104</v>
      </c>
      <c r="C3760" s="10">
        <v>7.49</v>
      </c>
      <c r="D3760" s="10">
        <v>0.65</v>
      </c>
      <c r="E3760" s="16">
        <v>9.5</v>
      </c>
      <c r="F3760">
        <v>78369</v>
      </c>
      <c r="G3760" s="5">
        <v>43137</v>
      </c>
    </row>
    <row r="3761" spans="1:7" x14ac:dyDescent="0.4">
      <c r="A3761">
        <v>60</v>
      </c>
      <c r="B3761" t="s">
        <v>1012</v>
      </c>
      <c r="C3761" s="10">
        <v>2.9</v>
      </c>
      <c r="D3761" s="10">
        <v>0.25</v>
      </c>
      <c r="E3761" s="16">
        <v>9.43</v>
      </c>
      <c r="F3761">
        <v>123465</v>
      </c>
      <c r="G3761" s="5">
        <v>43137</v>
      </c>
    </row>
    <row r="3762" spans="1:7" x14ac:dyDescent="0.4">
      <c r="A3762">
        <v>61</v>
      </c>
      <c r="B3762" t="s">
        <v>1858</v>
      </c>
      <c r="C3762" s="10">
        <v>49.4</v>
      </c>
      <c r="D3762" s="10">
        <v>4.25</v>
      </c>
      <c r="E3762" s="16">
        <v>9.41</v>
      </c>
      <c r="F3762">
        <v>20692</v>
      </c>
      <c r="G3762" s="5">
        <v>43137</v>
      </c>
    </row>
    <row r="3763" spans="1:7" x14ac:dyDescent="0.4">
      <c r="A3763">
        <v>62</v>
      </c>
      <c r="B3763" t="s">
        <v>1859</v>
      </c>
      <c r="C3763" s="10">
        <v>66.400000000000006</v>
      </c>
      <c r="D3763" s="10">
        <v>5.68</v>
      </c>
      <c r="E3763" s="16">
        <v>9.35</v>
      </c>
      <c r="F3763">
        <v>993736</v>
      </c>
      <c r="G3763" s="5">
        <v>43137</v>
      </c>
    </row>
    <row r="3764" spans="1:7" x14ac:dyDescent="0.4">
      <c r="A3764">
        <v>63</v>
      </c>
      <c r="B3764" t="s">
        <v>1800</v>
      </c>
      <c r="C3764" s="10">
        <v>6.83</v>
      </c>
      <c r="D3764" s="10">
        <v>0.57999999999999996</v>
      </c>
      <c r="E3764" s="16">
        <v>9.2799999999999994</v>
      </c>
      <c r="F3764">
        <v>3239214</v>
      </c>
      <c r="G3764" s="5">
        <v>43137</v>
      </c>
    </row>
    <row r="3765" spans="1:7" x14ac:dyDescent="0.4">
      <c r="A3765">
        <v>64</v>
      </c>
      <c r="B3765" t="s">
        <v>464</v>
      </c>
      <c r="C3765" s="10">
        <v>3.8</v>
      </c>
      <c r="D3765" s="10">
        <v>0.32</v>
      </c>
      <c r="E3765" s="16">
        <v>9.1999999999999993</v>
      </c>
      <c r="F3765">
        <v>78463</v>
      </c>
      <c r="G3765" s="5">
        <v>43137</v>
      </c>
    </row>
    <row r="3766" spans="1:7" x14ac:dyDescent="0.4">
      <c r="A3766">
        <v>65</v>
      </c>
      <c r="B3766" t="s">
        <v>1602</v>
      </c>
      <c r="C3766" s="10">
        <v>4.04</v>
      </c>
      <c r="D3766" s="10">
        <v>0.34</v>
      </c>
      <c r="E3766" s="16">
        <v>9.19</v>
      </c>
      <c r="F3766">
        <v>702191</v>
      </c>
      <c r="G3766" s="5">
        <v>43137</v>
      </c>
    </row>
    <row r="3767" spans="1:7" x14ac:dyDescent="0.4">
      <c r="A3767">
        <v>66</v>
      </c>
      <c r="B3767" t="s">
        <v>823</v>
      </c>
      <c r="C3767" s="10">
        <v>3</v>
      </c>
      <c r="D3767" s="10">
        <v>0.25</v>
      </c>
      <c r="E3767" s="16">
        <v>9.09</v>
      </c>
      <c r="F3767">
        <v>82055</v>
      </c>
      <c r="G3767" s="5">
        <v>43137</v>
      </c>
    </row>
    <row r="3768" spans="1:7" x14ac:dyDescent="0.4">
      <c r="A3768">
        <v>67</v>
      </c>
      <c r="B3768" t="s">
        <v>1860</v>
      </c>
      <c r="C3768" s="10">
        <v>96.5</v>
      </c>
      <c r="D3768" s="10">
        <v>8</v>
      </c>
      <c r="E3768" s="16">
        <v>9.0399999999999991</v>
      </c>
      <c r="F3768">
        <v>2647</v>
      </c>
      <c r="G3768" s="5">
        <v>43137</v>
      </c>
    </row>
    <row r="3769" spans="1:7" x14ac:dyDescent="0.4">
      <c r="A3769">
        <v>68</v>
      </c>
      <c r="B3769" t="s">
        <v>1861</v>
      </c>
      <c r="C3769" s="10">
        <v>14.4</v>
      </c>
      <c r="D3769" s="10">
        <v>1.19</v>
      </c>
      <c r="E3769" s="16">
        <v>9.01</v>
      </c>
      <c r="F3769">
        <v>821038</v>
      </c>
      <c r="G3769" s="5">
        <v>43137</v>
      </c>
    </row>
    <row r="3770" spans="1:7" x14ac:dyDescent="0.4">
      <c r="A3770">
        <v>69</v>
      </c>
      <c r="B3770" t="s">
        <v>1862</v>
      </c>
      <c r="C3770" s="10">
        <v>49.02</v>
      </c>
      <c r="D3770" s="10">
        <v>4.05</v>
      </c>
      <c r="E3770" s="16">
        <v>9.01</v>
      </c>
      <c r="F3770">
        <v>9339837</v>
      </c>
      <c r="G3770" s="5">
        <v>43137</v>
      </c>
    </row>
    <row r="3771" spans="1:7" x14ac:dyDescent="0.4">
      <c r="A3771">
        <v>70</v>
      </c>
      <c r="B3771" t="s">
        <v>756</v>
      </c>
      <c r="C3771" s="10">
        <v>35.47</v>
      </c>
      <c r="D3771" s="10">
        <v>2.93</v>
      </c>
      <c r="E3771" s="16">
        <v>9</v>
      </c>
      <c r="F3771">
        <v>102875</v>
      </c>
      <c r="G3771" s="5">
        <v>43137</v>
      </c>
    </row>
    <row r="3772" spans="1:7" x14ac:dyDescent="0.4">
      <c r="A3772">
        <v>71</v>
      </c>
      <c r="B3772" t="s">
        <v>750</v>
      </c>
      <c r="C3772" s="10">
        <v>137.66999999999999</v>
      </c>
      <c r="D3772" s="10">
        <v>11.35</v>
      </c>
      <c r="E3772" s="16">
        <v>8.99</v>
      </c>
      <c r="F3772">
        <v>672023</v>
      </c>
      <c r="G3772" s="5">
        <v>43137</v>
      </c>
    </row>
    <row r="3773" spans="1:7" x14ac:dyDescent="0.4">
      <c r="A3773">
        <v>72</v>
      </c>
      <c r="B3773" t="s">
        <v>1510</v>
      </c>
      <c r="C3773" s="10">
        <v>2.5499999999999998</v>
      </c>
      <c r="D3773" s="10">
        <v>0.21</v>
      </c>
      <c r="E3773" s="16">
        <v>8.9700000000000006</v>
      </c>
      <c r="F3773">
        <v>193662</v>
      </c>
      <c r="G3773" s="5">
        <v>43137</v>
      </c>
    </row>
    <row r="3774" spans="1:7" x14ac:dyDescent="0.4">
      <c r="A3774">
        <v>73</v>
      </c>
      <c r="B3774" t="s">
        <v>544</v>
      </c>
      <c r="C3774" s="10">
        <v>35.799999999999997</v>
      </c>
      <c r="D3774" s="10">
        <v>2.92</v>
      </c>
      <c r="E3774" s="16">
        <v>8.9</v>
      </c>
      <c r="F3774">
        <v>732141</v>
      </c>
      <c r="G3774" s="5">
        <v>43137</v>
      </c>
    </row>
    <row r="3775" spans="1:7" x14ac:dyDescent="0.4">
      <c r="A3775">
        <v>74</v>
      </c>
      <c r="B3775" t="s">
        <v>30</v>
      </c>
      <c r="C3775" s="10">
        <v>4.92</v>
      </c>
      <c r="D3775" s="10">
        <v>0.4</v>
      </c>
      <c r="E3775" s="16">
        <v>8.85</v>
      </c>
      <c r="F3775">
        <v>47998</v>
      </c>
      <c r="G3775" s="5">
        <v>43137</v>
      </c>
    </row>
    <row r="3776" spans="1:7" x14ac:dyDescent="0.4">
      <c r="A3776">
        <v>75</v>
      </c>
      <c r="B3776" t="s">
        <v>1018</v>
      </c>
      <c r="C3776" s="10">
        <v>13.05</v>
      </c>
      <c r="D3776" s="10">
        <v>1.05</v>
      </c>
      <c r="E3776" s="16">
        <v>8.75</v>
      </c>
      <c r="F3776">
        <v>2761746</v>
      </c>
      <c r="G3776" s="5">
        <v>43137</v>
      </c>
    </row>
    <row r="3777" spans="1:7" x14ac:dyDescent="0.4">
      <c r="A3777">
        <v>76</v>
      </c>
      <c r="B3777" t="s">
        <v>336</v>
      </c>
      <c r="C3777" s="10">
        <v>33.950000000000003</v>
      </c>
      <c r="D3777" s="10">
        <v>2.72</v>
      </c>
      <c r="E3777" s="16">
        <v>8.7100000000000009</v>
      </c>
      <c r="F3777">
        <v>439120</v>
      </c>
      <c r="G3777" s="5">
        <v>43137</v>
      </c>
    </row>
    <row r="3778" spans="1:7" x14ac:dyDescent="0.4">
      <c r="A3778">
        <v>77</v>
      </c>
      <c r="B3778" t="s">
        <v>1863</v>
      </c>
      <c r="C3778" s="10">
        <v>38.700000000000003</v>
      </c>
      <c r="D3778" s="10">
        <v>3.1</v>
      </c>
      <c r="E3778" s="16">
        <v>8.7100000000000009</v>
      </c>
      <c r="F3778">
        <v>1220416</v>
      </c>
      <c r="G3778" s="5">
        <v>43137</v>
      </c>
    </row>
    <row r="3779" spans="1:7" x14ac:dyDescent="0.4">
      <c r="A3779">
        <v>78</v>
      </c>
      <c r="B3779" t="s">
        <v>74</v>
      </c>
      <c r="C3779" s="10">
        <v>20.239999999999998</v>
      </c>
      <c r="D3779" s="10">
        <v>1.61</v>
      </c>
      <c r="E3779" s="16">
        <v>8.64</v>
      </c>
      <c r="F3779">
        <v>9140</v>
      </c>
      <c r="G3779" s="5">
        <v>43137</v>
      </c>
    </row>
    <row r="3780" spans="1:7" x14ac:dyDescent="0.4">
      <c r="A3780">
        <v>79</v>
      </c>
      <c r="B3780" t="s">
        <v>1417</v>
      </c>
      <c r="C3780" s="10">
        <v>2.52</v>
      </c>
      <c r="D3780" s="10">
        <v>0.2</v>
      </c>
      <c r="E3780" s="16">
        <v>8.6199999999999992</v>
      </c>
      <c r="F3780">
        <v>218893</v>
      </c>
      <c r="G3780" s="5">
        <v>43137</v>
      </c>
    </row>
    <row r="3781" spans="1:7" x14ac:dyDescent="0.4">
      <c r="A3781">
        <v>80</v>
      </c>
      <c r="B3781" t="s">
        <v>1864</v>
      </c>
      <c r="C3781" s="10">
        <v>21.45</v>
      </c>
      <c r="D3781" s="10">
        <v>1.7</v>
      </c>
      <c r="E3781" s="16">
        <v>8.61</v>
      </c>
      <c r="F3781">
        <v>2012494</v>
      </c>
      <c r="G3781" s="5">
        <v>43137</v>
      </c>
    </row>
    <row r="3782" spans="1:7" x14ac:dyDescent="0.4">
      <c r="A3782">
        <v>81</v>
      </c>
      <c r="B3782" t="s">
        <v>744</v>
      </c>
      <c r="C3782" s="10">
        <v>118.79</v>
      </c>
      <c r="D3782" s="10">
        <v>9.32</v>
      </c>
      <c r="E3782" s="16">
        <v>8.51</v>
      </c>
      <c r="F3782">
        <v>683621</v>
      </c>
      <c r="G3782" s="5">
        <v>43137</v>
      </c>
    </row>
    <row r="3783" spans="1:7" x14ac:dyDescent="0.4">
      <c r="A3783">
        <v>82</v>
      </c>
      <c r="B3783" t="s">
        <v>1251</v>
      </c>
      <c r="C3783" s="10">
        <v>2.4300000000000002</v>
      </c>
      <c r="D3783" s="10">
        <v>0.19</v>
      </c>
      <c r="E3783" s="16">
        <v>8.48</v>
      </c>
      <c r="F3783">
        <v>7692</v>
      </c>
      <c r="G3783" s="5">
        <v>43137</v>
      </c>
    </row>
    <row r="3784" spans="1:7" x14ac:dyDescent="0.4">
      <c r="A3784">
        <v>83</v>
      </c>
      <c r="B3784" t="s">
        <v>763</v>
      </c>
      <c r="C3784" s="10">
        <v>92.29</v>
      </c>
      <c r="D3784" s="10">
        <v>7.17</v>
      </c>
      <c r="E3784" s="16">
        <v>8.42</v>
      </c>
      <c r="F3784">
        <v>1432477</v>
      </c>
      <c r="G3784" s="5">
        <v>43137</v>
      </c>
    </row>
    <row r="3785" spans="1:7" x14ac:dyDescent="0.4">
      <c r="A3785">
        <v>84</v>
      </c>
      <c r="B3785" t="s">
        <v>1176</v>
      </c>
      <c r="C3785" s="10">
        <v>13.02</v>
      </c>
      <c r="D3785" s="10">
        <v>1.01</v>
      </c>
      <c r="E3785" s="16">
        <v>8.41</v>
      </c>
      <c r="F3785">
        <v>1805398</v>
      </c>
      <c r="G3785" s="5">
        <v>43137</v>
      </c>
    </row>
    <row r="3786" spans="1:7" x14ac:dyDescent="0.4">
      <c r="A3786">
        <v>85</v>
      </c>
      <c r="B3786" t="s">
        <v>1865</v>
      </c>
      <c r="C3786" s="10">
        <v>3.27</v>
      </c>
      <c r="D3786" s="10">
        <v>0.25</v>
      </c>
      <c r="E3786" s="16">
        <v>8.2799999999999994</v>
      </c>
      <c r="F3786">
        <v>790396</v>
      </c>
      <c r="G3786" s="5">
        <v>43137</v>
      </c>
    </row>
    <row r="3787" spans="1:7" x14ac:dyDescent="0.4">
      <c r="A3787">
        <v>86</v>
      </c>
      <c r="B3787" t="s">
        <v>527</v>
      </c>
      <c r="C3787" s="10">
        <v>5.25</v>
      </c>
      <c r="D3787" s="10">
        <v>0.4</v>
      </c>
      <c r="E3787" s="16">
        <v>8.25</v>
      </c>
      <c r="F3787">
        <v>133920</v>
      </c>
      <c r="G3787" s="5">
        <v>43137</v>
      </c>
    </row>
    <row r="3788" spans="1:7" x14ac:dyDescent="0.4">
      <c r="A3788">
        <v>87</v>
      </c>
      <c r="B3788" t="s">
        <v>1656</v>
      </c>
      <c r="C3788" s="10">
        <v>3.83</v>
      </c>
      <c r="D3788" s="10">
        <v>0.28999999999999998</v>
      </c>
      <c r="E3788" s="16">
        <v>8.19</v>
      </c>
      <c r="F3788">
        <v>179059</v>
      </c>
      <c r="G3788" s="5">
        <v>43137</v>
      </c>
    </row>
    <row r="3789" spans="1:7" x14ac:dyDescent="0.4">
      <c r="A3789">
        <v>88</v>
      </c>
      <c r="B3789" t="s">
        <v>1866</v>
      </c>
      <c r="C3789" s="10">
        <v>179.96</v>
      </c>
      <c r="D3789" s="10">
        <v>13.6</v>
      </c>
      <c r="E3789" s="16">
        <v>8.18</v>
      </c>
      <c r="F3789">
        <v>5526778</v>
      </c>
      <c r="G3789" s="5">
        <v>43137</v>
      </c>
    </row>
    <row r="3790" spans="1:7" x14ac:dyDescent="0.4">
      <c r="A3790">
        <v>89</v>
      </c>
      <c r="B3790" t="s">
        <v>1170</v>
      </c>
      <c r="C3790" s="10">
        <v>4.78</v>
      </c>
      <c r="D3790" s="10">
        <v>0.36</v>
      </c>
      <c r="E3790" s="16">
        <v>8.14</v>
      </c>
      <c r="F3790">
        <v>1440743</v>
      </c>
      <c r="G3790" s="5">
        <v>43137</v>
      </c>
    </row>
    <row r="3791" spans="1:7" x14ac:dyDescent="0.4">
      <c r="A3791">
        <v>90</v>
      </c>
      <c r="B3791" t="s">
        <v>591</v>
      </c>
      <c r="C3791" s="10">
        <v>52.3</v>
      </c>
      <c r="D3791" s="10">
        <v>3.92</v>
      </c>
      <c r="E3791" s="16">
        <v>8.1</v>
      </c>
      <c r="F3791">
        <v>399085</v>
      </c>
      <c r="G3791" s="5">
        <v>43137</v>
      </c>
    </row>
    <row r="3792" spans="1:7" x14ac:dyDescent="0.4">
      <c r="A3792">
        <v>91</v>
      </c>
      <c r="B3792" t="s">
        <v>686</v>
      </c>
      <c r="C3792" s="10">
        <v>26.55</v>
      </c>
      <c r="D3792" s="10">
        <v>1.98</v>
      </c>
      <c r="E3792" s="16">
        <v>8.06</v>
      </c>
      <c r="F3792">
        <v>7036067</v>
      </c>
      <c r="G3792" s="5">
        <v>43137</v>
      </c>
    </row>
    <row r="3793" spans="1:7" x14ac:dyDescent="0.4">
      <c r="A3793">
        <v>92</v>
      </c>
      <c r="B3793" t="s">
        <v>1867</v>
      </c>
      <c r="C3793" s="10">
        <v>8.75</v>
      </c>
      <c r="D3793" s="10">
        <v>0.65</v>
      </c>
      <c r="E3793" s="16">
        <v>8.02</v>
      </c>
      <c r="F3793">
        <v>108014</v>
      </c>
      <c r="G3793" s="5">
        <v>43137</v>
      </c>
    </row>
    <row r="3794" spans="1:7" x14ac:dyDescent="0.4">
      <c r="A3794">
        <v>93</v>
      </c>
      <c r="B3794" t="s">
        <v>753</v>
      </c>
      <c r="C3794" s="10">
        <v>125.96</v>
      </c>
      <c r="D3794" s="10">
        <v>9.33</v>
      </c>
      <c r="E3794" s="16">
        <v>8</v>
      </c>
      <c r="F3794">
        <v>46483</v>
      </c>
      <c r="G3794" s="5">
        <v>43137</v>
      </c>
    </row>
    <row r="3795" spans="1:7" x14ac:dyDescent="0.4">
      <c r="A3795">
        <v>94</v>
      </c>
      <c r="B3795" t="s">
        <v>1749</v>
      </c>
      <c r="C3795" s="10">
        <v>10.29</v>
      </c>
      <c r="D3795" s="10">
        <v>0.76</v>
      </c>
      <c r="E3795" s="16">
        <v>7.97</v>
      </c>
      <c r="F3795">
        <v>4026480</v>
      </c>
      <c r="G3795" s="5">
        <v>43137</v>
      </c>
    </row>
    <row r="3796" spans="1:7" x14ac:dyDescent="0.4">
      <c r="A3796">
        <v>95</v>
      </c>
      <c r="B3796" t="s">
        <v>1868</v>
      </c>
      <c r="C3796" s="10">
        <v>22.9</v>
      </c>
      <c r="D3796" s="10">
        <v>1.68</v>
      </c>
      <c r="E3796" s="16">
        <v>7.92</v>
      </c>
      <c r="F3796">
        <v>544125</v>
      </c>
      <c r="G3796" s="5">
        <v>43137</v>
      </c>
    </row>
    <row r="3797" spans="1:7" x14ac:dyDescent="0.4">
      <c r="A3797">
        <v>96</v>
      </c>
      <c r="B3797" t="s">
        <v>1869</v>
      </c>
      <c r="C3797" s="10">
        <v>18.03</v>
      </c>
      <c r="D3797" s="10">
        <v>1.32</v>
      </c>
      <c r="E3797" s="16">
        <v>7.9</v>
      </c>
      <c r="F3797">
        <v>5918137</v>
      </c>
      <c r="G3797" s="5">
        <v>43137</v>
      </c>
    </row>
    <row r="3798" spans="1:7" x14ac:dyDescent="0.4">
      <c r="A3798">
        <v>97</v>
      </c>
      <c r="B3798" t="s">
        <v>1088</v>
      </c>
      <c r="C3798" s="10">
        <v>22.7</v>
      </c>
      <c r="D3798" s="10">
        <v>1.66</v>
      </c>
      <c r="E3798" s="16">
        <v>7.89</v>
      </c>
      <c r="F3798">
        <v>6412297</v>
      </c>
      <c r="G3798" s="5">
        <v>43137</v>
      </c>
    </row>
    <row r="3799" spans="1:7" x14ac:dyDescent="0.4">
      <c r="A3799">
        <v>98</v>
      </c>
      <c r="B3799" t="s">
        <v>192</v>
      </c>
      <c r="C3799" s="10">
        <v>2.63</v>
      </c>
      <c r="D3799" s="10">
        <v>0.19</v>
      </c>
      <c r="E3799" s="16">
        <v>7.79</v>
      </c>
      <c r="F3799">
        <v>26202</v>
      </c>
      <c r="G3799" s="5">
        <v>43137</v>
      </c>
    </row>
    <row r="3800" spans="1:7" x14ac:dyDescent="0.4">
      <c r="A3800">
        <v>99</v>
      </c>
      <c r="B3800" t="s">
        <v>745</v>
      </c>
      <c r="C3800" s="10">
        <v>154.51</v>
      </c>
      <c r="D3800" s="10">
        <v>11.06</v>
      </c>
      <c r="E3800" s="16">
        <v>7.71</v>
      </c>
      <c r="F3800">
        <v>9889814</v>
      </c>
      <c r="G3800" s="5">
        <v>43137</v>
      </c>
    </row>
    <row r="3801" spans="1:7" x14ac:dyDescent="0.4">
      <c r="A3801">
        <v>100</v>
      </c>
      <c r="B3801" t="s">
        <v>549</v>
      </c>
      <c r="C3801" s="10">
        <v>12.04</v>
      </c>
      <c r="D3801" s="10">
        <v>0.86</v>
      </c>
      <c r="E3801" s="16">
        <v>7.69</v>
      </c>
      <c r="F3801">
        <v>6035</v>
      </c>
      <c r="G3801" s="5">
        <v>43137</v>
      </c>
    </row>
    <row r="3802" spans="1:7" x14ac:dyDescent="0.4">
      <c r="A3802">
        <v>1</v>
      </c>
      <c r="B3802" t="s">
        <v>429</v>
      </c>
      <c r="C3802" s="10">
        <v>12.6</v>
      </c>
      <c r="D3802" s="10">
        <v>5.0999999999999996</v>
      </c>
      <c r="E3802" s="16">
        <v>68</v>
      </c>
      <c r="F3802">
        <v>125483803</v>
      </c>
      <c r="G3802" s="5">
        <v>43136</v>
      </c>
    </row>
    <row r="3803" spans="1:7" x14ac:dyDescent="0.4">
      <c r="A3803">
        <v>2</v>
      </c>
      <c r="B3803" t="s">
        <v>430</v>
      </c>
      <c r="C3803" s="10">
        <v>22.87</v>
      </c>
      <c r="D3803" s="10">
        <v>9.11</v>
      </c>
      <c r="E3803" s="16">
        <v>66.209999999999994</v>
      </c>
      <c r="F3803">
        <v>152083929</v>
      </c>
      <c r="G3803" s="5">
        <v>43136</v>
      </c>
    </row>
    <row r="3804" spans="1:7" x14ac:dyDescent="0.4">
      <c r="A3804">
        <v>3</v>
      </c>
      <c r="B3804" t="s">
        <v>442</v>
      </c>
      <c r="C3804" s="10">
        <v>36.659999999999997</v>
      </c>
      <c r="D3804" s="10">
        <v>9.35</v>
      </c>
      <c r="E3804" s="16">
        <v>34.24</v>
      </c>
      <c r="F3804">
        <v>9912069</v>
      </c>
      <c r="G3804" s="5">
        <v>43136</v>
      </c>
    </row>
    <row r="3805" spans="1:7" x14ac:dyDescent="0.4">
      <c r="A3805">
        <v>4</v>
      </c>
      <c r="B3805" t="s">
        <v>441</v>
      </c>
      <c r="C3805" s="10">
        <v>18.62</v>
      </c>
      <c r="D3805" s="10">
        <v>4.7300000000000004</v>
      </c>
      <c r="E3805" s="16">
        <v>34.049999999999997</v>
      </c>
      <c r="F3805">
        <v>945533</v>
      </c>
      <c r="G3805" s="5">
        <v>43136</v>
      </c>
    </row>
    <row r="3806" spans="1:7" x14ac:dyDescent="0.4">
      <c r="A3806">
        <v>5</v>
      </c>
      <c r="B3806" t="s">
        <v>440</v>
      </c>
      <c r="C3806" s="10">
        <v>43.94</v>
      </c>
      <c r="D3806" s="10">
        <v>11.02</v>
      </c>
      <c r="E3806" s="16">
        <v>33.479999999999997</v>
      </c>
      <c r="F3806">
        <v>202368529</v>
      </c>
      <c r="G3806" s="5">
        <v>43136</v>
      </c>
    </row>
    <row r="3807" spans="1:7" x14ac:dyDescent="0.4">
      <c r="A3807">
        <v>6</v>
      </c>
      <c r="B3807" t="s">
        <v>467</v>
      </c>
      <c r="C3807" s="10">
        <v>12</v>
      </c>
      <c r="D3807" s="10">
        <v>2.4300000000000002</v>
      </c>
      <c r="E3807" s="16">
        <v>25.39</v>
      </c>
      <c r="F3807">
        <v>54945</v>
      </c>
      <c r="G3807" s="5">
        <v>43136</v>
      </c>
    </row>
    <row r="3808" spans="1:7" x14ac:dyDescent="0.4">
      <c r="A3808">
        <v>7</v>
      </c>
      <c r="B3808" t="s">
        <v>431</v>
      </c>
      <c r="C3808" s="10">
        <v>22.64</v>
      </c>
      <c r="D3808" s="10">
        <v>3.87</v>
      </c>
      <c r="E3808" s="16">
        <v>20.62</v>
      </c>
      <c r="F3808">
        <v>15206</v>
      </c>
      <c r="G3808" s="5">
        <v>43136</v>
      </c>
    </row>
    <row r="3809" spans="1:7" x14ac:dyDescent="0.4">
      <c r="A3809">
        <v>8</v>
      </c>
      <c r="B3809" t="s">
        <v>242</v>
      </c>
      <c r="C3809" s="10">
        <v>2.7</v>
      </c>
      <c r="D3809" s="10">
        <v>0.44</v>
      </c>
      <c r="E3809" s="16">
        <v>19.47</v>
      </c>
      <c r="F3809">
        <v>177988</v>
      </c>
      <c r="G3809" s="5">
        <v>43136</v>
      </c>
    </row>
    <row r="3810" spans="1:7" x14ac:dyDescent="0.4">
      <c r="A3810">
        <v>9</v>
      </c>
      <c r="B3810" t="s">
        <v>838</v>
      </c>
      <c r="C3810" s="10">
        <v>21</v>
      </c>
      <c r="D3810" s="10">
        <v>2.93</v>
      </c>
      <c r="E3810" s="16">
        <v>16.21</v>
      </c>
      <c r="F3810">
        <v>1113131</v>
      </c>
      <c r="G3810" s="5">
        <v>43136</v>
      </c>
    </row>
    <row r="3811" spans="1:7" x14ac:dyDescent="0.4">
      <c r="A3811">
        <v>10</v>
      </c>
      <c r="B3811" t="s">
        <v>1339</v>
      </c>
      <c r="C3811" s="10">
        <v>6.83</v>
      </c>
      <c r="D3811" s="10">
        <v>0.9</v>
      </c>
      <c r="E3811" s="16">
        <v>15.18</v>
      </c>
      <c r="F3811">
        <v>97199</v>
      </c>
      <c r="G3811" s="5">
        <v>43136</v>
      </c>
    </row>
    <row r="3812" spans="1:7" x14ac:dyDescent="0.4">
      <c r="A3812">
        <v>11</v>
      </c>
      <c r="B3812" t="s">
        <v>641</v>
      </c>
      <c r="C3812" s="10">
        <v>8.0399999999999991</v>
      </c>
      <c r="D3812" s="10">
        <v>1.03</v>
      </c>
      <c r="E3812" s="16">
        <v>14.76</v>
      </c>
      <c r="F3812">
        <v>31564</v>
      </c>
      <c r="G3812" s="5">
        <v>43136</v>
      </c>
    </row>
    <row r="3813" spans="1:7" x14ac:dyDescent="0.4">
      <c r="A3813">
        <v>12</v>
      </c>
      <c r="B3813" t="s">
        <v>207</v>
      </c>
      <c r="C3813" s="10">
        <v>15.66</v>
      </c>
      <c r="D3813" s="10">
        <v>1.92</v>
      </c>
      <c r="E3813" s="16">
        <v>13.97</v>
      </c>
      <c r="F3813">
        <v>2684892</v>
      </c>
      <c r="G3813" s="5">
        <v>43136</v>
      </c>
    </row>
    <row r="3814" spans="1:7" x14ac:dyDescent="0.4">
      <c r="A3814">
        <v>13</v>
      </c>
      <c r="B3814" t="s">
        <v>1870</v>
      </c>
      <c r="C3814" s="10">
        <v>11.7</v>
      </c>
      <c r="D3814" s="10">
        <v>1.4</v>
      </c>
      <c r="E3814" s="16">
        <v>13.59</v>
      </c>
      <c r="F3814">
        <v>164860</v>
      </c>
      <c r="G3814" s="5">
        <v>43136</v>
      </c>
    </row>
    <row r="3815" spans="1:7" x14ac:dyDescent="0.4">
      <c r="A3815">
        <v>14</v>
      </c>
      <c r="B3815" t="s">
        <v>839</v>
      </c>
      <c r="C3815" s="10">
        <v>24.77</v>
      </c>
      <c r="D3815" s="10">
        <v>2.94</v>
      </c>
      <c r="E3815" s="16">
        <v>13.47</v>
      </c>
      <c r="F3815">
        <v>268941</v>
      </c>
      <c r="G3815" s="5">
        <v>43136</v>
      </c>
    </row>
    <row r="3816" spans="1:7" x14ac:dyDescent="0.4">
      <c r="A3816">
        <v>15</v>
      </c>
      <c r="B3816" t="s">
        <v>645</v>
      </c>
      <c r="C3816" s="10">
        <v>12</v>
      </c>
      <c r="D3816" s="10">
        <v>1.42</v>
      </c>
      <c r="E3816" s="16">
        <v>13.42</v>
      </c>
      <c r="F3816">
        <v>8499848</v>
      </c>
      <c r="G3816" s="5">
        <v>43136</v>
      </c>
    </row>
    <row r="3817" spans="1:7" x14ac:dyDescent="0.4">
      <c r="A3817">
        <v>16</v>
      </c>
      <c r="B3817" t="s">
        <v>646</v>
      </c>
      <c r="C3817" s="10">
        <v>20.079999999999998</v>
      </c>
      <c r="D3817" s="10">
        <v>2.37</v>
      </c>
      <c r="E3817" s="16">
        <v>13.38</v>
      </c>
      <c r="F3817">
        <v>15759876</v>
      </c>
      <c r="G3817" s="5">
        <v>43136</v>
      </c>
    </row>
    <row r="3818" spans="1:7" x14ac:dyDescent="0.4">
      <c r="A3818">
        <v>17</v>
      </c>
      <c r="B3818" t="s">
        <v>465</v>
      </c>
      <c r="C3818" s="10">
        <v>10.87</v>
      </c>
      <c r="D3818" s="10">
        <v>1.27</v>
      </c>
      <c r="E3818" s="16">
        <v>13.23</v>
      </c>
      <c r="F3818">
        <v>136019</v>
      </c>
      <c r="G3818" s="5">
        <v>43136</v>
      </c>
    </row>
    <row r="3819" spans="1:7" x14ac:dyDescent="0.4">
      <c r="A3819">
        <v>18</v>
      </c>
      <c r="B3819" t="s">
        <v>1510</v>
      </c>
      <c r="C3819" s="10">
        <v>2.34</v>
      </c>
      <c r="D3819" s="10">
        <v>0.27</v>
      </c>
      <c r="E3819" s="16">
        <v>13.04</v>
      </c>
      <c r="F3819">
        <v>309026</v>
      </c>
      <c r="G3819" s="5">
        <v>43136</v>
      </c>
    </row>
    <row r="3820" spans="1:7" x14ac:dyDescent="0.4">
      <c r="A3820">
        <v>19</v>
      </c>
      <c r="B3820" t="s">
        <v>486</v>
      </c>
      <c r="C3820" s="10">
        <v>9.84</v>
      </c>
      <c r="D3820" s="10">
        <v>1.1200000000000001</v>
      </c>
      <c r="E3820" s="16">
        <v>12.84</v>
      </c>
      <c r="F3820">
        <v>4340601</v>
      </c>
      <c r="G3820" s="5">
        <v>43136</v>
      </c>
    </row>
    <row r="3821" spans="1:7" x14ac:dyDescent="0.4">
      <c r="A3821">
        <v>20</v>
      </c>
      <c r="B3821" t="s">
        <v>1871</v>
      </c>
      <c r="C3821" s="10">
        <v>2.31</v>
      </c>
      <c r="D3821" s="10">
        <v>0.26</v>
      </c>
      <c r="E3821" s="16">
        <v>12.68</v>
      </c>
      <c r="F3821">
        <v>8520726</v>
      </c>
      <c r="G3821" s="5">
        <v>43136</v>
      </c>
    </row>
    <row r="3822" spans="1:7" x14ac:dyDescent="0.4">
      <c r="A3822">
        <v>21</v>
      </c>
      <c r="B3822" t="s">
        <v>1245</v>
      </c>
      <c r="C3822" s="10">
        <v>7.05</v>
      </c>
      <c r="D3822" s="10">
        <v>0.79</v>
      </c>
      <c r="E3822" s="16">
        <v>12.62</v>
      </c>
      <c r="F3822">
        <v>24901</v>
      </c>
      <c r="G3822" s="5">
        <v>43136</v>
      </c>
    </row>
    <row r="3823" spans="1:7" x14ac:dyDescent="0.4">
      <c r="A3823">
        <v>22</v>
      </c>
      <c r="B3823" t="s">
        <v>893</v>
      </c>
      <c r="C3823" s="10">
        <v>5.23</v>
      </c>
      <c r="D3823" s="10">
        <v>0.57999999999999996</v>
      </c>
      <c r="E3823" s="16">
        <v>12.47</v>
      </c>
      <c r="F3823">
        <v>34428</v>
      </c>
      <c r="G3823" s="5">
        <v>43136</v>
      </c>
    </row>
    <row r="3824" spans="1:7" x14ac:dyDescent="0.4">
      <c r="A3824">
        <v>23</v>
      </c>
      <c r="B3824" t="s">
        <v>154</v>
      </c>
      <c r="C3824" s="10">
        <v>52.3</v>
      </c>
      <c r="D3824" s="10">
        <v>5.8</v>
      </c>
      <c r="E3824" s="16">
        <v>12.47</v>
      </c>
      <c r="F3824">
        <v>60861</v>
      </c>
      <c r="G3824" s="5">
        <v>43136</v>
      </c>
    </row>
    <row r="3825" spans="1:7" x14ac:dyDescent="0.4">
      <c r="A3825">
        <v>24</v>
      </c>
      <c r="B3825" t="s">
        <v>653</v>
      </c>
      <c r="C3825" s="10">
        <v>30.54</v>
      </c>
      <c r="D3825" s="10">
        <v>3.37</v>
      </c>
      <c r="E3825" s="16">
        <v>12.4</v>
      </c>
      <c r="F3825">
        <v>13366096</v>
      </c>
      <c r="G3825" s="5">
        <v>43136</v>
      </c>
    </row>
    <row r="3826" spans="1:7" x14ac:dyDescent="0.4">
      <c r="A3826">
        <v>25</v>
      </c>
      <c r="B3826" t="s">
        <v>650</v>
      </c>
      <c r="C3826" s="10">
        <v>11.59</v>
      </c>
      <c r="D3826" s="10">
        <v>1.27</v>
      </c>
      <c r="E3826" s="16">
        <v>12.31</v>
      </c>
      <c r="F3826">
        <v>34878704</v>
      </c>
      <c r="G3826" s="5">
        <v>43136</v>
      </c>
    </row>
    <row r="3827" spans="1:7" x14ac:dyDescent="0.4">
      <c r="A3827">
        <v>26</v>
      </c>
      <c r="B3827" t="s">
        <v>666</v>
      </c>
      <c r="C3827" s="10">
        <v>12.58</v>
      </c>
      <c r="D3827" s="10">
        <v>1.37</v>
      </c>
      <c r="E3827" s="16">
        <v>12.22</v>
      </c>
      <c r="F3827">
        <v>22597</v>
      </c>
      <c r="G3827" s="5">
        <v>43136</v>
      </c>
    </row>
    <row r="3828" spans="1:7" x14ac:dyDescent="0.4">
      <c r="A3828">
        <v>27</v>
      </c>
      <c r="B3828" t="s">
        <v>280</v>
      </c>
      <c r="C3828" s="10">
        <v>27.06</v>
      </c>
      <c r="D3828" s="10">
        <v>2.9</v>
      </c>
      <c r="E3828" s="16">
        <v>12</v>
      </c>
      <c r="F3828">
        <v>12027605</v>
      </c>
      <c r="G3828" s="5">
        <v>43136</v>
      </c>
    </row>
    <row r="3829" spans="1:7" x14ac:dyDescent="0.4">
      <c r="A3829">
        <v>28</v>
      </c>
      <c r="B3829" t="s">
        <v>458</v>
      </c>
      <c r="C3829" s="10">
        <v>20.2</v>
      </c>
      <c r="D3829" s="10">
        <v>2.1</v>
      </c>
      <c r="E3829" s="16">
        <v>11.6</v>
      </c>
      <c r="F3829">
        <v>28478907</v>
      </c>
      <c r="G3829" s="5">
        <v>43136</v>
      </c>
    </row>
    <row r="3830" spans="1:7" x14ac:dyDescent="0.4">
      <c r="A3830">
        <v>29</v>
      </c>
      <c r="B3830" t="s">
        <v>659</v>
      </c>
      <c r="C3830" s="10">
        <v>34.96</v>
      </c>
      <c r="D3830" s="10">
        <v>3.62</v>
      </c>
      <c r="E3830" s="16">
        <v>11.55</v>
      </c>
      <c r="F3830">
        <v>1316231</v>
      </c>
      <c r="G3830" s="5">
        <v>43136</v>
      </c>
    </row>
    <row r="3831" spans="1:7" x14ac:dyDescent="0.4">
      <c r="A3831">
        <v>30</v>
      </c>
      <c r="B3831" t="s">
        <v>1252</v>
      </c>
      <c r="C3831" s="10">
        <v>26.8</v>
      </c>
      <c r="D3831" s="10">
        <v>2.76</v>
      </c>
      <c r="E3831" s="16">
        <v>11.49</v>
      </c>
      <c r="F3831">
        <v>12974</v>
      </c>
      <c r="G3831" s="5">
        <v>43136</v>
      </c>
    </row>
    <row r="3832" spans="1:7" x14ac:dyDescent="0.4">
      <c r="A3832">
        <v>31</v>
      </c>
      <c r="B3832" t="s">
        <v>660</v>
      </c>
      <c r="C3832" s="10">
        <v>13.22</v>
      </c>
      <c r="D3832" s="10">
        <v>1.35</v>
      </c>
      <c r="E3832" s="16">
        <v>11.37</v>
      </c>
      <c r="F3832">
        <v>26195474</v>
      </c>
      <c r="G3832" s="5">
        <v>43136</v>
      </c>
    </row>
    <row r="3833" spans="1:7" x14ac:dyDescent="0.4">
      <c r="A3833">
        <v>32</v>
      </c>
      <c r="B3833" t="s">
        <v>351</v>
      </c>
      <c r="C3833" s="10">
        <v>3.83</v>
      </c>
      <c r="D3833" s="10">
        <v>0.39</v>
      </c>
      <c r="E3833" s="16">
        <v>11.34</v>
      </c>
      <c r="F3833">
        <v>21172010</v>
      </c>
      <c r="G3833" s="5">
        <v>43136</v>
      </c>
    </row>
    <row r="3834" spans="1:7" x14ac:dyDescent="0.4">
      <c r="A3834">
        <v>33</v>
      </c>
      <c r="B3834" t="s">
        <v>462</v>
      </c>
      <c r="C3834" s="10">
        <v>6.74</v>
      </c>
      <c r="D3834" s="10">
        <v>0.68</v>
      </c>
      <c r="E3834" s="16">
        <v>11.22</v>
      </c>
      <c r="F3834">
        <v>2125802</v>
      </c>
      <c r="G3834" s="5">
        <v>43136</v>
      </c>
    </row>
    <row r="3835" spans="1:7" x14ac:dyDescent="0.4">
      <c r="A3835">
        <v>34</v>
      </c>
      <c r="B3835" t="s">
        <v>248</v>
      </c>
      <c r="C3835" s="10">
        <v>2.2999999999999998</v>
      </c>
      <c r="D3835" s="10">
        <v>0.23</v>
      </c>
      <c r="E3835" s="16">
        <v>11.11</v>
      </c>
      <c r="F3835">
        <v>2078771</v>
      </c>
      <c r="G3835" s="5">
        <v>43136</v>
      </c>
    </row>
    <row r="3836" spans="1:7" x14ac:dyDescent="0.4">
      <c r="A3836">
        <v>35</v>
      </c>
      <c r="B3836" t="s">
        <v>1872</v>
      </c>
      <c r="C3836" s="10">
        <v>2.94</v>
      </c>
      <c r="D3836" s="10">
        <v>0.28999999999999998</v>
      </c>
      <c r="E3836" s="16">
        <v>10.94</v>
      </c>
      <c r="F3836">
        <v>115454</v>
      </c>
      <c r="G3836" s="5">
        <v>43136</v>
      </c>
    </row>
    <row r="3837" spans="1:7" x14ac:dyDescent="0.4">
      <c r="A3837">
        <v>36</v>
      </c>
      <c r="B3837" t="s">
        <v>656</v>
      </c>
      <c r="C3837" s="10">
        <v>14.53</v>
      </c>
      <c r="D3837" s="10">
        <v>1.43</v>
      </c>
      <c r="E3837" s="16">
        <v>10.92</v>
      </c>
      <c r="F3837">
        <v>179240</v>
      </c>
      <c r="G3837" s="5">
        <v>43136</v>
      </c>
    </row>
    <row r="3838" spans="1:7" x14ac:dyDescent="0.4">
      <c r="A3838">
        <v>37</v>
      </c>
      <c r="B3838" t="s">
        <v>654</v>
      </c>
      <c r="C3838" s="10">
        <v>11.01</v>
      </c>
      <c r="D3838" s="10">
        <v>1.06</v>
      </c>
      <c r="E3838" s="16">
        <v>10.64</v>
      </c>
      <c r="F3838">
        <v>68219</v>
      </c>
      <c r="G3838" s="5">
        <v>43136</v>
      </c>
    </row>
    <row r="3839" spans="1:7" x14ac:dyDescent="0.4">
      <c r="A3839">
        <v>38</v>
      </c>
      <c r="B3839" t="s">
        <v>278</v>
      </c>
      <c r="C3839" s="10">
        <v>6.75</v>
      </c>
      <c r="D3839" s="10">
        <v>0.64</v>
      </c>
      <c r="E3839" s="16">
        <v>10.47</v>
      </c>
      <c r="F3839">
        <v>64811</v>
      </c>
      <c r="G3839" s="5">
        <v>43136</v>
      </c>
    </row>
    <row r="3840" spans="1:7" x14ac:dyDescent="0.4">
      <c r="A3840">
        <v>39</v>
      </c>
      <c r="B3840" t="s">
        <v>472</v>
      </c>
      <c r="C3840" s="10">
        <v>75</v>
      </c>
      <c r="D3840" s="10">
        <v>6.89</v>
      </c>
      <c r="E3840" s="16">
        <v>10.119999999999999</v>
      </c>
      <c r="F3840">
        <v>90782</v>
      </c>
      <c r="G3840" s="5">
        <v>43136</v>
      </c>
    </row>
    <row r="3841" spans="1:7" x14ac:dyDescent="0.4">
      <c r="A3841">
        <v>40</v>
      </c>
      <c r="B3841" t="s">
        <v>318</v>
      </c>
      <c r="C3841" s="10">
        <v>27.78</v>
      </c>
      <c r="D3841" s="10">
        <v>2.52</v>
      </c>
      <c r="E3841" s="16">
        <v>9.98</v>
      </c>
      <c r="F3841">
        <v>36078</v>
      </c>
      <c r="G3841" s="5">
        <v>43136</v>
      </c>
    </row>
    <row r="3842" spans="1:7" x14ac:dyDescent="0.4">
      <c r="A3842">
        <v>41</v>
      </c>
      <c r="B3842" t="s">
        <v>644</v>
      </c>
      <c r="C3842" s="10">
        <v>8.7100000000000009</v>
      </c>
      <c r="D3842" s="10">
        <v>0.79</v>
      </c>
      <c r="E3842" s="16">
        <v>9.9700000000000006</v>
      </c>
      <c r="F3842">
        <v>2504030</v>
      </c>
      <c r="G3842" s="5">
        <v>43136</v>
      </c>
    </row>
    <row r="3843" spans="1:7" x14ac:dyDescent="0.4">
      <c r="A3843">
        <v>42</v>
      </c>
      <c r="B3843" t="s">
        <v>445</v>
      </c>
      <c r="C3843" s="10">
        <v>14.51</v>
      </c>
      <c r="D3843" s="10">
        <v>1.28</v>
      </c>
      <c r="E3843" s="16">
        <v>9.67</v>
      </c>
      <c r="F3843">
        <v>2451194</v>
      </c>
      <c r="G3843" s="5">
        <v>43136</v>
      </c>
    </row>
    <row r="3844" spans="1:7" x14ac:dyDescent="0.4">
      <c r="A3844">
        <v>43</v>
      </c>
      <c r="B3844" t="s">
        <v>1146</v>
      </c>
      <c r="C3844" s="10">
        <v>36.5</v>
      </c>
      <c r="D3844" s="10">
        <v>3.18</v>
      </c>
      <c r="E3844" s="16">
        <v>9.5399999999999991</v>
      </c>
      <c r="F3844">
        <v>292017</v>
      </c>
      <c r="G3844" s="5">
        <v>43136</v>
      </c>
    </row>
    <row r="3845" spans="1:7" x14ac:dyDescent="0.4">
      <c r="A3845">
        <v>44</v>
      </c>
      <c r="B3845" t="s">
        <v>1024</v>
      </c>
      <c r="C3845" s="10">
        <v>19.7</v>
      </c>
      <c r="D3845" s="10">
        <v>1.7</v>
      </c>
      <c r="E3845" s="16">
        <v>9.44</v>
      </c>
      <c r="F3845">
        <v>35889</v>
      </c>
      <c r="G3845" s="5">
        <v>43136</v>
      </c>
    </row>
    <row r="3846" spans="1:7" x14ac:dyDescent="0.4">
      <c r="A3846">
        <v>45</v>
      </c>
      <c r="B3846" t="s">
        <v>1873</v>
      </c>
      <c r="C3846" s="10">
        <v>27.38</v>
      </c>
      <c r="D3846" s="10">
        <v>2.36</v>
      </c>
      <c r="E3846" s="16">
        <v>9.43</v>
      </c>
      <c r="F3846">
        <v>6996</v>
      </c>
      <c r="G3846" s="5">
        <v>43136</v>
      </c>
    </row>
    <row r="3847" spans="1:7" x14ac:dyDescent="0.4">
      <c r="A3847">
        <v>46</v>
      </c>
      <c r="B3847" t="s">
        <v>176</v>
      </c>
      <c r="C3847" s="10">
        <v>19.350000000000001</v>
      </c>
      <c r="D3847" s="10">
        <v>1.65</v>
      </c>
      <c r="E3847" s="16">
        <v>9.32</v>
      </c>
      <c r="F3847">
        <v>236527</v>
      </c>
      <c r="G3847" s="5">
        <v>43136</v>
      </c>
    </row>
    <row r="3848" spans="1:7" x14ac:dyDescent="0.4">
      <c r="A3848">
        <v>47</v>
      </c>
      <c r="B3848" t="s">
        <v>664</v>
      </c>
      <c r="C3848" s="10">
        <v>8.92</v>
      </c>
      <c r="D3848" s="10">
        <v>0.75</v>
      </c>
      <c r="E3848" s="16">
        <v>9.18</v>
      </c>
      <c r="F3848">
        <v>9453664</v>
      </c>
      <c r="G3848" s="5">
        <v>43136</v>
      </c>
    </row>
    <row r="3849" spans="1:7" x14ac:dyDescent="0.4">
      <c r="A3849">
        <v>48</v>
      </c>
      <c r="B3849" t="s">
        <v>661</v>
      </c>
      <c r="C3849" s="10">
        <v>21.43</v>
      </c>
      <c r="D3849" s="10">
        <v>1.8</v>
      </c>
      <c r="E3849" s="16">
        <v>9.17</v>
      </c>
      <c r="F3849">
        <v>140794</v>
      </c>
      <c r="G3849" s="5">
        <v>43136</v>
      </c>
    </row>
    <row r="3850" spans="1:7" x14ac:dyDescent="0.4">
      <c r="A3850">
        <v>49</v>
      </c>
      <c r="B3850" t="s">
        <v>916</v>
      </c>
      <c r="C3850" s="10">
        <v>3.27</v>
      </c>
      <c r="D3850" s="10">
        <v>0.27</v>
      </c>
      <c r="E3850" s="16">
        <v>9</v>
      </c>
      <c r="F3850">
        <v>172181</v>
      </c>
      <c r="G3850" s="5">
        <v>43136</v>
      </c>
    </row>
    <row r="3851" spans="1:7" x14ac:dyDescent="0.4">
      <c r="A3851">
        <v>50</v>
      </c>
      <c r="B3851" t="s">
        <v>728</v>
      </c>
      <c r="C3851" s="10">
        <v>14.05</v>
      </c>
      <c r="D3851" s="10">
        <v>1.1399999999999999</v>
      </c>
      <c r="E3851" s="16">
        <v>8.83</v>
      </c>
      <c r="F3851">
        <v>167267</v>
      </c>
      <c r="G3851" s="5">
        <v>43136</v>
      </c>
    </row>
    <row r="3852" spans="1:7" x14ac:dyDescent="0.4">
      <c r="A3852">
        <v>51</v>
      </c>
      <c r="B3852" t="s">
        <v>683</v>
      </c>
      <c r="C3852" s="10">
        <v>21.49</v>
      </c>
      <c r="D3852" s="10">
        <v>1.73</v>
      </c>
      <c r="E3852" s="16">
        <v>8.76</v>
      </c>
      <c r="F3852">
        <v>172812</v>
      </c>
      <c r="G3852" s="5">
        <v>43136</v>
      </c>
    </row>
    <row r="3853" spans="1:7" x14ac:dyDescent="0.4">
      <c r="A3853">
        <v>52</v>
      </c>
      <c r="B3853" t="s">
        <v>438</v>
      </c>
      <c r="C3853" s="10">
        <v>10.19</v>
      </c>
      <c r="D3853" s="10">
        <v>0.82</v>
      </c>
      <c r="E3853" s="16">
        <v>8.75</v>
      </c>
      <c r="F3853">
        <v>93808</v>
      </c>
      <c r="G3853" s="5">
        <v>43136</v>
      </c>
    </row>
    <row r="3854" spans="1:7" x14ac:dyDescent="0.4">
      <c r="A3854">
        <v>53</v>
      </c>
      <c r="B3854" t="s">
        <v>1289</v>
      </c>
      <c r="C3854" s="10">
        <v>39.68</v>
      </c>
      <c r="D3854" s="10">
        <v>3.08</v>
      </c>
      <c r="E3854" s="16">
        <v>8.42</v>
      </c>
      <c r="F3854">
        <v>173493</v>
      </c>
      <c r="G3854" s="5">
        <v>43136</v>
      </c>
    </row>
    <row r="3855" spans="1:7" x14ac:dyDescent="0.4">
      <c r="A3855">
        <v>54</v>
      </c>
      <c r="B3855" t="s">
        <v>1874</v>
      </c>
      <c r="C3855" s="10">
        <v>23.28</v>
      </c>
      <c r="D3855" s="10">
        <v>1.8</v>
      </c>
      <c r="E3855" s="16">
        <v>8.3800000000000008</v>
      </c>
      <c r="F3855">
        <v>14515</v>
      </c>
      <c r="G3855" s="5">
        <v>43136</v>
      </c>
    </row>
    <row r="3856" spans="1:7" x14ac:dyDescent="0.4">
      <c r="A3856">
        <v>55</v>
      </c>
      <c r="B3856" t="s">
        <v>1875</v>
      </c>
      <c r="C3856" s="10">
        <v>31.6</v>
      </c>
      <c r="D3856" s="10">
        <v>2.42</v>
      </c>
      <c r="E3856" s="16">
        <v>8.2899999999999991</v>
      </c>
      <c r="F3856">
        <v>20312</v>
      </c>
      <c r="G3856" s="5">
        <v>43136</v>
      </c>
    </row>
    <row r="3857" spans="1:7" x14ac:dyDescent="0.4">
      <c r="A3857">
        <v>56</v>
      </c>
      <c r="B3857" t="s">
        <v>491</v>
      </c>
      <c r="C3857" s="10">
        <v>16.41</v>
      </c>
      <c r="D3857" s="10">
        <v>1.25</v>
      </c>
      <c r="E3857" s="16">
        <v>8.25</v>
      </c>
      <c r="F3857">
        <v>29898</v>
      </c>
      <c r="G3857" s="5">
        <v>43136</v>
      </c>
    </row>
    <row r="3858" spans="1:7" x14ac:dyDescent="0.4">
      <c r="A3858">
        <v>57</v>
      </c>
      <c r="B3858" t="s">
        <v>678</v>
      </c>
      <c r="C3858" s="10">
        <v>41.67</v>
      </c>
      <c r="D3858" s="10">
        <v>3.14</v>
      </c>
      <c r="E3858" s="16">
        <v>8.15</v>
      </c>
      <c r="F3858">
        <v>21523284</v>
      </c>
      <c r="G3858" s="5">
        <v>43136</v>
      </c>
    </row>
    <row r="3859" spans="1:7" x14ac:dyDescent="0.4">
      <c r="A3859">
        <v>58</v>
      </c>
      <c r="B3859" t="s">
        <v>1876</v>
      </c>
      <c r="C3859" s="10">
        <v>23.12</v>
      </c>
      <c r="D3859" s="10">
        <v>1.73</v>
      </c>
      <c r="E3859" s="16">
        <v>8.11</v>
      </c>
      <c r="F3859">
        <v>401955</v>
      </c>
      <c r="G3859" s="5">
        <v>43136</v>
      </c>
    </row>
    <row r="3860" spans="1:7" x14ac:dyDescent="0.4">
      <c r="A3860">
        <v>59</v>
      </c>
      <c r="B3860" t="s">
        <v>779</v>
      </c>
      <c r="C3860" s="10">
        <v>2.8</v>
      </c>
      <c r="D3860" s="10">
        <v>0.21</v>
      </c>
      <c r="E3860" s="16">
        <v>8.11</v>
      </c>
      <c r="F3860">
        <v>454541</v>
      </c>
      <c r="G3860" s="5">
        <v>43136</v>
      </c>
    </row>
    <row r="3861" spans="1:7" x14ac:dyDescent="0.4">
      <c r="A3861">
        <v>60</v>
      </c>
      <c r="B3861" t="s">
        <v>1306</v>
      </c>
      <c r="C3861" s="10">
        <v>41.86</v>
      </c>
      <c r="D3861" s="10">
        <v>3.1</v>
      </c>
      <c r="E3861" s="16">
        <v>8</v>
      </c>
      <c r="F3861">
        <v>121995</v>
      </c>
      <c r="G3861" s="5">
        <v>43136</v>
      </c>
    </row>
    <row r="3862" spans="1:7" x14ac:dyDescent="0.4">
      <c r="A3862">
        <v>61</v>
      </c>
      <c r="B3862" t="s">
        <v>28</v>
      </c>
      <c r="C3862" s="10">
        <v>8.15</v>
      </c>
      <c r="D3862" s="10">
        <v>0.6</v>
      </c>
      <c r="E3862" s="16">
        <v>7.95</v>
      </c>
      <c r="F3862">
        <v>68014</v>
      </c>
      <c r="G3862" s="5">
        <v>43136</v>
      </c>
    </row>
    <row r="3863" spans="1:7" x14ac:dyDescent="0.4">
      <c r="A3863">
        <v>62</v>
      </c>
      <c r="B3863" t="s">
        <v>453</v>
      </c>
      <c r="C3863" s="10">
        <v>2.77</v>
      </c>
      <c r="D3863" s="10">
        <v>0.2</v>
      </c>
      <c r="E3863" s="16">
        <v>7.78</v>
      </c>
      <c r="F3863">
        <v>8830</v>
      </c>
      <c r="G3863" s="5">
        <v>43136</v>
      </c>
    </row>
    <row r="3864" spans="1:7" x14ac:dyDescent="0.4">
      <c r="A3864">
        <v>63</v>
      </c>
      <c r="B3864" t="s">
        <v>700</v>
      </c>
      <c r="C3864" s="10">
        <v>16.309999999999999</v>
      </c>
      <c r="D3864" s="10">
        <v>1.1599999999999999</v>
      </c>
      <c r="E3864" s="16">
        <v>7.63</v>
      </c>
      <c r="F3864">
        <v>4494</v>
      </c>
      <c r="G3864" s="5">
        <v>43136</v>
      </c>
    </row>
    <row r="3865" spans="1:7" x14ac:dyDescent="0.4">
      <c r="A3865">
        <v>64</v>
      </c>
      <c r="B3865" t="s">
        <v>674</v>
      </c>
      <c r="C3865" s="10">
        <v>12.88</v>
      </c>
      <c r="D3865" s="10">
        <v>0.91</v>
      </c>
      <c r="E3865" s="16">
        <v>7.6</v>
      </c>
      <c r="F3865">
        <v>19555354</v>
      </c>
      <c r="G3865" s="5">
        <v>43136</v>
      </c>
    </row>
    <row r="3866" spans="1:7" x14ac:dyDescent="0.4">
      <c r="A3866">
        <v>65</v>
      </c>
      <c r="B3866" t="s">
        <v>690</v>
      </c>
      <c r="C3866" s="10">
        <v>18.41</v>
      </c>
      <c r="D3866" s="10">
        <v>1.29</v>
      </c>
      <c r="E3866" s="16">
        <v>7.54</v>
      </c>
      <c r="F3866">
        <v>4366373</v>
      </c>
      <c r="G3866" s="5">
        <v>43136</v>
      </c>
    </row>
    <row r="3867" spans="1:7" x14ac:dyDescent="0.4">
      <c r="A3867">
        <v>66</v>
      </c>
      <c r="B3867" t="s">
        <v>355</v>
      </c>
      <c r="C3867" s="10">
        <v>7.72</v>
      </c>
      <c r="D3867" s="10">
        <v>0.53</v>
      </c>
      <c r="E3867" s="16">
        <v>7.37</v>
      </c>
      <c r="F3867">
        <v>845632</v>
      </c>
      <c r="G3867" s="5">
        <v>43136</v>
      </c>
    </row>
    <row r="3868" spans="1:7" x14ac:dyDescent="0.4">
      <c r="A3868">
        <v>67</v>
      </c>
      <c r="B3868" t="s">
        <v>718</v>
      </c>
      <c r="C3868" s="10">
        <v>29.25</v>
      </c>
      <c r="D3868" s="10">
        <v>2</v>
      </c>
      <c r="E3868" s="16">
        <v>7.35</v>
      </c>
      <c r="F3868">
        <v>8070</v>
      </c>
      <c r="G3868" s="5">
        <v>43136</v>
      </c>
    </row>
    <row r="3869" spans="1:7" x14ac:dyDescent="0.4">
      <c r="A3869">
        <v>68</v>
      </c>
      <c r="B3869" t="s">
        <v>1877</v>
      </c>
      <c r="C3869" s="10">
        <v>14.79</v>
      </c>
      <c r="D3869" s="10">
        <v>0.99</v>
      </c>
      <c r="E3869" s="16">
        <v>7.17</v>
      </c>
      <c r="F3869">
        <v>2259</v>
      </c>
      <c r="G3869" s="5">
        <v>43136</v>
      </c>
    </row>
    <row r="3870" spans="1:7" x14ac:dyDescent="0.4">
      <c r="A3870">
        <v>69</v>
      </c>
      <c r="B3870" t="s">
        <v>913</v>
      </c>
      <c r="C3870" s="10">
        <v>5.72</v>
      </c>
      <c r="D3870" s="10">
        <v>0.38</v>
      </c>
      <c r="E3870" s="16">
        <v>7.12</v>
      </c>
      <c r="F3870">
        <v>28796</v>
      </c>
      <c r="G3870" s="5">
        <v>43136</v>
      </c>
    </row>
    <row r="3871" spans="1:7" x14ac:dyDescent="0.4">
      <c r="A3871">
        <v>70</v>
      </c>
      <c r="B3871" t="s">
        <v>668</v>
      </c>
      <c r="C3871" s="10">
        <v>19.690000000000001</v>
      </c>
      <c r="D3871" s="10">
        <v>1.3</v>
      </c>
      <c r="E3871" s="16">
        <v>7.07</v>
      </c>
      <c r="F3871">
        <v>18723</v>
      </c>
      <c r="G3871" s="5">
        <v>43136</v>
      </c>
    </row>
    <row r="3872" spans="1:7" x14ac:dyDescent="0.4">
      <c r="A3872">
        <v>71</v>
      </c>
      <c r="B3872" t="s">
        <v>119</v>
      </c>
      <c r="C3872" s="10">
        <v>13.2</v>
      </c>
      <c r="D3872" s="10">
        <v>0.87</v>
      </c>
      <c r="E3872" s="16">
        <v>7.06</v>
      </c>
      <c r="F3872">
        <v>7785</v>
      </c>
      <c r="G3872" s="5">
        <v>43136</v>
      </c>
    </row>
    <row r="3873" spans="1:7" x14ac:dyDescent="0.4">
      <c r="A3873">
        <v>72</v>
      </c>
      <c r="B3873" t="s">
        <v>474</v>
      </c>
      <c r="C3873" s="10">
        <v>10.28</v>
      </c>
      <c r="D3873" s="10">
        <v>0.65</v>
      </c>
      <c r="E3873" s="16">
        <v>6.77</v>
      </c>
      <c r="F3873">
        <v>85428</v>
      </c>
      <c r="G3873" s="5">
        <v>43136</v>
      </c>
    </row>
    <row r="3874" spans="1:7" x14ac:dyDescent="0.4">
      <c r="A3874">
        <v>73</v>
      </c>
      <c r="B3874" t="s">
        <v>1878</v>
      </c>
      <c r="C3874" s="10">
        <v>15.75</v>
      </c>
      <c r="D3874" s="10">
        <v>0.99</v>
      </c>
      <c r="E3874" s="16">
        <v>6.74</v>
      </c>
      <c r="F3874">
        <v>6033</v>
      </c>
      <c r="G3874" s="5">
        <v>43136</v>
      </c>
    </row>
    <row r="3875" spans="1:7" x14ac:dyDescent="0.4">
      <c r="A3875">
        <v>74</v>
      </c>
      <c r="B3875" t="s">
        <v>133</v>
      </c>
      <c r="C3875" s="10">
        <v>10.56</v>
      </c>
      <c r="D3875" s="10">
        <v>0.66</v>
      </c>
      <c r="E3875" s="16">
        <v>6.71</v>
      </c>
      <c r="F3875">
        <v>5252</v>
      </c>
      <c r="G3875" s="5">
        <v>43136</v>
      </c>
    </row>
    <row r="3876" spans="1:7" x14ac:dyDescent="0.4">
      <c r="A3876">
        <v>75</v>
      </c>
      <c r="B3876" t="s">
        <v>1094</v>
      </c>
      <c r="C3876" s="10">
        <v>17.600000000000001</v>
      </c>
      <c r="D3876" s="10">
        <v>1.1000000000000001</v>
      </c>
      <c r="E3876" s="16">
        <v>6.67</v>
      </c>
      <c r="F3876">
        <v>81933</v>
      </c>
      <c r="G3876" s="5">
        <v>43136</v>
      </c>
    </row>
    <row r="3877" spans="1:7" x14ac:dyDescent="0.4">
      <c r="A3877">
        <v>76</v>
      </c>
      <c r="B3877" t="s">
        <v>665</v>
      </c>
      <c r="C3877" s="10">
        <v>12.6</v>
      </c>
      <c r="D3877" s="10">
        <v>0.78</v>
      </c>
      <c r="E3877" s="16">
        <v>6.56</v>
      </c>
      <c r="F3877">
        <v>28476</v>
      </c>
      <c r="G3877" s="5">
        <v>43136</v>
      </c>
    </row>
    <row r="3878" spans="1:7" x14ac:dyDescent="0.4">
      <c r="A3878">
        <v>77</v>
      </c>
      <c r="B3878" t="s">
        <v>658</v>
      </c>
      <c r="C3878" s="10">
        <v>8.16</v>
      </c>
      <c r="D3878" s="10">
        <v>0.5</v>
      </c>
      <c r="E3878" s="16">
        <v>6.53</v>
      </c>
      <c r="F3878">
        <v>240472</v>
      </c>
      <c r="G3878" s="5">
        <v>43136</v>
      </c>
    </row>
    <row r="3879" spans="1:7" x14ac:dyDescent="0.4">
      <c r="A3879">
        <v>78</v>
      </c>
      <c r="B3879" t="s">
        <v>671</v>
      </c>
      <c r="C3879" s="10">
        <v>8.86</v>
      </c>
      <c r="D3879" s="10">
        <v>0.54</v>
      </c>
      <c r="E3879" s="16">
        <v>6.49</v>
      </c>
      <c r="F3879">
        <v>858274</v>
      </c>
      <c r="G3879" s="5">
        <v>43136</v>
      </c>
    </row>
    <row r="3880" spans="1:7" x14ac:dyDescent="0.4">
      <c r="A3880">
        <v>79</v>
      </c>
      <c r="B3880" t="s">
        <v>642</v>
      </c>
      <c r="C3880" s="10">
        <v>4.53</v>
      </c>
      <c r="D3880" s="10">
        <v>0.27</v>
      </c>
      <c r="E3880" s="16">
        <v>6.34</v>
      </c>
      <c r="F3880">
        <v>3182813</v>
      </c>
      <c r="G3880" s="5">
        <v>43136</v>
      </c>
    </row>
    <row r="3881" spans="1:7" x14ac:dyDescent="0.4">
      <c r="A3881">
        <v>80</v>
      </c>
      <c r="B3881" t="s">
        <v>652</v>
      </c>
      <c r="C3881" s="10">
        <v>14.18</v>
      </c>
      <c r="D3881" s="10">
        <v>0.84</v>
      </c>
      <c r="E3881" s="16">
        <v>6.3</v>
      </c>
      <c r="F3881">
        <v>97658</v>
      </c>
      <c r="G3881" s="5">
        <v>43136</v>
      </c>
    </row>
    <row r="3882" spans="1:7" x14ac:dyDescent="0.4">
      <c r="A3882">
        <v>81</v>
      </c>
      <c r="B3882" t="s">
        <v>1123</v>
      </c>
      <c r="C3882" s="10">
        <v>7.02</v>
      </c>
      <c r="D3882" s="10">
        <v>0.41</v>
      </c>
      <c r="E3882" s="16">
        <v>6.2</v>
      </c>
      <c r="F3882">
        <v>345191</v>
      </c>
      <c r="G3882" s="5">
        <v>43136</v>
      </c>
    </row>
    <row r="3883" spans="1:7" x14ac:dyDescent="0.4">
      <c r="A3883">
        <v>82</v>
      </c>
      <c r="B3883" t="s">
        <v>155</v>
      </c>
      <c r="C3883" s="10">
        <v>11.8</v>
      </c>
      <c r="D3883" s="10">
        <v>0.67</v>
      </c>
      <c r="E3883" s="16">
        <v>6.02</v>
      </c>
      <c r="F3883">
        <v>78537</v>
      </c>
      <c r="G3883" s="5">
        <v>43136</v>
      </c>
    </row>
    <row r="3884" spans="1:7" x14ac:dyDescent="0.4">
      <c r="A3884">
        <v>83</v>
      </c>
      <c r="B3884" t="s">
        <v>670</v>
      </c>
      <c r="C3884" s="10">
        <v>11.52</v>
      </c>
      <c r="D3884" s="10">
        <v>0.65</v>
      </c>
      <c r="E3884" s="16">
        <v>5.98</v>
      </c>
      <c r="F3884">
        <v>6966337</v>
      </c>
      <c r="G3884" s="5">
        <v>43136</v>
      </c>
    </row>
    <row r="3885" spans="1:7" x14ac:dyDescent="0.4">
      <c r="A3885">
        <v>84</v>
      </c>
      <c r="B3885" t="s">
        <v>1157</v>
      </c>
      <c r="C3885" s="10">
        <v>9</v>
      </c>
      <c r="D3885" s="10">
        <v>0.5</v>
      </c>
      <c r="E3885" s="16">
        <v>5.88</v>
      </c>
      <c r="F3885">
        <v>1727339</v>
      </c>
      <c r="G3885" s="5">
        <v>43136</v>
      </c>
    </row>
    <row r="3886" spans="1:7" x14ac:dyDescent="0.4">
      <c r="A3886">
        <v>85</v>
      </c>
      <c r="B3886" t="s">
        <v>1879</v>
      </c>
      <c r="C3886" s="10">
        <v>2.35</v>
      </c>
      <c r="D3886" s="10">
        <v>0.13</v>
      </c>
      <c r="E3886" s="16">
        <v>5.86</v>
      </c>
      <c r="F3886">
        <v>43248</v>
      </c>
      <c r="G3886" s="5">
        <v>43136</v>
      </c>
    </row>
    <row r="3887" spans="1:7" x14ac:dyDescent="0.4">
      <c r="A3887">
        <v>86</v>
      </c>
      <c r="B3887" t="s">
        <v>166</v>
      </c>
      <c r="C3887" s="10">
        <v>4.13</v>
      </c>
      <c r="D3887" s="10">
        <v>0.23</v>
      </c>
      <c r="E3887" s="16">
        <v>5.76</v>
      </c>
      <c r="F3887">
        <v>492714</v>
      </c>
      <c r="G3887" s="5">
        <v>43136</v>
      </c>
    </row>
    <row r="3888" spans="1:7" x14ac:dyDescent="0.4">
      <c r="A3888">
        <v>87</v>
      </c>
      <c r="B3888" t="s">
        <v>1880</v>
      </c>
      <c r="C3888" s="10">
        <v>2.69</v>
      </c>
      <c r="D3888" s="10">
        <v>0.14000000000000001</v>
      </c>
      <c r="E3888" s="16">
        <v>5.49</v>
      </c>
      <c r="F3888">
        <v>5079</v>
      </c>
      <c r="G3888" s="5">
        <v>43136</v>
      </c>
    </row>
    <row r="3889" spans="1:7" x14ac:dyDescent="0.4">
      <c r="A3889">
        <v>88</v>
      </c>
      <c r="B3889" t="s">
        <v>1881</v>
      </c>
      <c r="C3889" s="10">
        <v>66.66</v>
      </c>
      <c r="D3889" s="10">
        <v>3.35</v>
      </c>
      <c r="E3889" s="16">
        <v>5.29</v>
      </c>
      <c r="F3889">
        <v>114256</v>
      </c>
      <c r="G3889" s="5">
        <v>43136</v>
      </c>
    </row>
    <row r="3890" spans="1:7" x14ac:dyDescent="0.4">
      <c r="A3890">
        <v>89</v>
      </c>
      <c r="B3890" t="s">
        <v>443</v>
      </c>
      <c r="C3890" s="10">
        <v>6.05</v>
      </c>
      <c r="D3890" s="10">
        <v>0.3</v>
      </c>
      <c r="E3890" s="16">
        <v>5.22</v>
      </c>
      <c r="F3890">
        <v>148889</v>
      </c>
      <c r="G3890" s="5">
        <v>43136</v>
      </c>
    </row>
    <row r="3891" spans="1:7" x14ac:dyDescent="0.4">
      <c r="A3891">
        <v>90</v>
      </c>
      <c r="B3891" t="s">
        <v>537</v>
      </c>
      <c r="C3891" s="10">
        <v>6.05</v>
      </c>
      <c r="D3891" s="10">
        <v>0.3</v>
      </c>
      <c r="E3891" s="16">
        <v>5.22</v>
      </c>
      <c r="F3891">
        <v>2524021</v>
      </c>
      <c r="G3891" s="5">
        <v>43136</v>
      </c>
    </row>
    <row r="3892" spans="1:7" x14ac:dyDescent="0.4">
      <c r="A3892">
        <v>91</v>
      </c>
      <c r="B3892" t="s">
        <v>1455</v>
      </c>
      <c r="C3892" s="10">
        <v>34.369999999999997</v>
      </c>
      <c r="D3892" s="10">
        <v>1.69</v>
      </c>
      <c r="E3892" s="16">
        <v>5.17</v>
      </c>
      <c r="F3892">
        <v>152368</v>
      </c>
      <c r="G3892" s="5">
        <v>43136</v>
      </c>
    </row>
    <row r="3893" spans="1:7" x14ac:dyDescent="0.4">
      <c r="A3893">
        <v>92</v>
      </c>
      <c r="B3893" t="s">
        <v>914</v>
      </c>
      <c r="C3893" s="10">
        <v>7.01</v>
      </c>
      <c r="D3893" s="10">
        <v>0.34</v>
      </c>
      <c r="E3893" s="16">
        <v>5.0999999999999996</v>
      </c>
      <c r="F3893">
        <v>368687</v>
      </c>
      <c r="G3893" s="5">
        <v>43136</v>
      </c>
    </row>
    <row r="3894" spans="1:7" x14ac:dyDescent="0.4">
      <c r="A3894">
        <v>93</v>
      </c>
      <c r="B3894" t="s">
        <v>26</v>
      </c>
      <c r="C3894" s="10">
        <v>4.25</v>
      </c>
      <c r="D3894" s="10">
        <v>0.2</v>
      </c>
      <c r="E3894" s="16">
        <v>4.9400000000000004</v>
      </c>
      <c r="F3894">
        <v>62708</v>
      </c>
      <c r="G3894" s="5">
        <v>43136</v>
      </c>
    </row>
    <row r="3895" spans="1:7" x14ac:dyDescent="0.4">
      <c r="A3895">
        <v>94</v>
      </c>
      <c r="B3895" t="s">
        <v>1136</v>
      </c>
      <c r="C3895" s="10">
        <v>26.51</v>
      </c>
      <c r="D3895" s="10">
        <v>1.24</v>
      </c>
      <c r="E3895" s="16">
        <v>4.91</v>
      </c>
      <c r="F3895">
        <v>521772</v>
      </c>
      <c r="G3895" s="5">
        <v>43136</v>
      </c>
    </row>
    <row r="3896" spans="1:7" x14ac:dyDescent="0.4">
      <c r="A3896">
        <v>95</v>
      </c>
      <c r="B3896" t="s">
        <v>124</v>
      </c>
      <c r="C3896" s="10">
        <v>3.89</v>
      </c>
      <c r="D3896" s="10">
        <v>0.18</v>
      </c>
      <c r="E3896" s="16">
        <v>4.8499999999999996</v>
      </c>
      <c r="F3896">
        <v>197202</v>
      </c>
      <c r="G3896" s="5">
        <v>43136</v>
      </c>
    </row>
    <row r="3897" spans="1:7" x14ac:dyDescent="0.4">
      <c r="A3897">
        <v>96</v>
      </c>
      <c r="B3897" t="s">
        <v>238</v>
      </c>
      <c r="C3897" s="10">
        <v>3.73</v>
      </c>
      <c r="D3897" s="10">
        <v>0.17</v>
      </c>
      <c r="E3897" s="16">
        <v>4.78</v>
      </c>
      <c r="F3897">
        <v>104762</v>
      </c>
      <c r="G3897" s="5">
        <v>43136</v>
      </c>
    </row>
    <row r="3898" spans="1:7" x14ac:dyDescent="0.4">
      <c r="A3898">
        <v>97</v>
      </c>
      <c r="B3898" t="s">
        <v>1882</v>
      </c>
      <c r="C3898" s="10">
        <v>2.21</v>
      </c>
      <c r="D3898" s="10">
        <v>0.1</v>
      </c>
      <c r="E3898" s="16">
        <v>4.74</v>
      </c>
      <c r="F3898">
        <v>3803088</v>
      </c>
      <c r="G3898" s="5">
        <v>43136</v>
      </c>
    </row>
    <row r="3899" spans="1:7" x14ac:dyDescent="0.4">
      <c r="A3899">
        <v>98</v>
      </c>
      <c r="B3899" t="s">
        <v>1883</v>
      </c>
      <c r="C3899" s="10">
        <v>15.15</v>
      </c>
      <c r="D3899" s="10">
        <v>0.68</v>
      </c>
      <c r="E3899" s="16">
        <v>4.7</v>
      </c>
      <c r="F3899">
        <v>8228993</v>
      </c>
      <c r="G3899" s="5">
        <v>43136</v>
      </c>
    </row>
    <row r="3900" spans="1:7" x14ac:dyDescent="0.4">
      <c r="A3900">
        <v>99</v>
      </c>
      <c r="B3900" t="s">
        <v>1884</v>
      </c>
      <c r="C3900" s="10">
        <v>38.5</v>
      </c>
      <c r="D3900" s="10">
        <v>1.71</v>
      </c>
      <c r="E3900" s="16">
        <v>4.6500000000000004</v>
      </c>
      <c r="F3900">
        <v>227987</v>
      </c>
      <c r="G3900" s="5">
        <v>43136</v>
      </c>
    </row>
    <row r="3901" spans="1:7" x14ac:dyDescent="0.4">
      <c r="A3901">
        <v>100</v>
      </c>
      <c r="B3901" t="s">
        <v>651</v>
      </c>
      <c r="C3901" s="10">
        <v>14.41</v>
      </c>
      <c r="D3901" s="10">
        <v>0.64</v>
      </c>
      <c r="E3901" s="16">
        <v>4.6500000000000004</v>
      </c>
      <c r="F3901">
        <v>132300</v>
      </c>
      <c r="G3901" s="5">
        <v>43136</v>
      </c>
    </row>
    <row r="3902" spans="1:7" x14ac:dyDescent="0.4">
      <c r="A3902">
        <v>1</v>
      </c>
      <c r="B3902" t="s">
        <v>430</v>
      </c>
      <c r="C3902" s="10">
        <v>13.76</v>
      </c>
      <c r="D3902" s="10">
        <v>2.96</v>
      </c>
      <c r="E3902" s="16">
        <v>27.41</v>
      </c>
      <c r="F3902">
        <v>85502301</v>
      </c>
      <c r="G3902" s="5">
        <v>43133</v>
      </c>
    </row>
    <row r="3903" spans="1:7" x14ac:dyDescent="0.4">
      <c r="A3903">
        <v>2</v>
      </c>
      <c r="B3903" t="s">
        <v>429</v>
      </c>
      <c r="C3903" s="10">
        <v>7.5</v>
      </c>
      <c r="D3903" s="10">
        <v>1.61</v>
      </c>
      <c r="E3903" s="16">
        <v>27.33</v>
      </c>
      <c r="F3903">
        <v>58755838</v>
      </c>
      <c r="G3903" s="5">
        <v>43133</v>
      </c>
    </row>
    <row r="3904" spans="1:7" x14ac:dyDescent="0.4">
      <c r="A3904">
        <v>3</v>
      </c>
      <c r="B3904" t="s">
        <v>1885</v>
      </c>
      <c r="C3904" s="10">
        <v>24.99</v>
      </c>
      <c r="D3904" s="10">
        <v>4.91</v>
      </c>
      <c r="E3904" s="16">
        <v>24.45</v>
      </c>
      <c r="F3904">
        <v>543598</v>
      </c>
      <c r="G3904" s="5">
        <v>43133</v>
      </c>
    </row>
    <row r="3905" spans="1:7" x14ac:dyDescent="0.4">
      <c r="A3905">
        <v>4</v>
      </c>
      <c r="B3905" t="s">
        <v>1886</v>
      </c>
      <c r="C3905" s="10">
        <v>74.48</v>
      </c>
      <c r="D3905" s="10">
        <v>13.46</v>
      </c>
      <c r="E3905" s="16">
        <v>22.06</v>
      </c>
      <c r="F3905">
        <v>131897</v>
      </c>
      <c r="G3905" s="5">
        <v>43133</v>
      </c>
    </row>
    <row r="3906" spans="1:7" x14ac:dyDescent="0.4">
      <c r="A3906">
        <v>5</v>
      </c>
      <c r="B3906" t="s">
        <v>1887</v>
      </c>
      <c r="C3906" s="10">
        <v>10</v>
      </c>
      <c r="D3906" s="10">
        <v>1.33</v>
      </c>
      <c r="E3906" s="16">
        <v>15.34</v>
      </c>
      <c r="F3906">
        <v>12636336</v>
      </c>
      <c r="G3906" s="5">
        <v>43133</v>
      </c>
    </row>
    <row r="3907" spans="1:7" x14ac:dyDescent="0.4">
      <c r="A3907">
        <v>6</v>
      </c>
      <c r="B3907" t="s">
        <v>1888</v>
      </c>
      <c r="C3907" s="10">
        <v>4.03</v>
      </c>
      <c r="D3907" s="10">
        <v>0.53</v>
      </c>
      <c r="E3907" s="16">
        <v>15.14</v>
      </c>
      <c r="F3907">
        <v>551607</v>
      </c>
      <c r="G3907" s="5">
        <v>43133</v>
      </c>
    </row>
    <row r="3908" spans="1:7" x14ac:dyDescent="0.4">
      <c r="A3908">
        <v>7</v>
      </c>
      <c r="B3908" t="s">
        <v>500</v>
      </c>
      <c r="C3908" s="10">
        <v>3.52</v>
      </c>
      <c r="D3908" s="10">
        <v>0.45</v>
      </c>
      <c r="E3908" s="16">
        <v>14.66</v>
      </c>
      <c r="F3908">
        <v>167493</v>
      </c>
      <c r="G3908" s="5">
        <v>43133</v>
      </c>
    </row>
    <row r="3909" spans="1:7" x14ac:dyDescent="0.4">
      <c r="A3909">
        <v>8</v>
      </c>
      <c r="B3909" t="s">
        <v>1889</v>
      </c>
      <c r="C3909" s="10">
        <v>20.61</v>
      </c>
      <c r="D3909" s="10">
        <v>2.61</v>
      </c>
      <c r="E3909" s="16">
        <v>14.5</v>
      </c>
      <c r="F3909">
        <v>12758436</v>
      </c>
      <c r="G3909" s="5">
        <v>43133</v>
      </c>
    </row>
    <row r="3910" spans="1:7" x14ac:dyDescent="0.4">
      <c r="A3910">
        <v>9</v>
      </c>
      <c r="B3910" t="s">
        <v>1383</v>
      </c>
      <c r="C3910" s="10">
        <v>6.07</v>
      </c>
      <c r="D3910" s="10">
        <v>0.76</v>
      </c>
      <c r="E3910" s="16">
        <v>14.31</v>
      </c>
      <c r="F3910">
        <v>9022349</v>
      </c>
      <c r="G3910" s="5">
        <v>43133</v>
      </c>
    </row>
    <row r="3911" spans="1:7" x14ac:dyDescent="0.4">
      <c r="A3911">
        <v>10</v>
      </c>
      <c r="B3911" t="s">
        <v>1890</v>
      </c>
      <c r="C3911" s="10">
        <v>142.25</v>
      </c>
      <c r="D3911" s="10">
        <v>17.34</v>
      </c>
      <c r="E3911" s="16">
        <v>13.88</v>
      </c>
      <c r="F3911">
        <v>1810572</v>
      </c>
      <c r="G3911" s="5">
        <v>43133</v>
      </c>
    </row>
    <row r="3912" spans="1:7" x14ac:dyDescent="0.4">
      <c r="A3912">
        <v>11</v>
      </c>
      <c r="B3912" t="s">
        <v>442</v>
      </c>
      <c r="C3912" s="10">
        <v>27.31</v>
      </c>
      <c r="D3912" s="10">
        <v>3.27</v>
      </c>
      <c r="E3912" s="16">
        <v>13.6</v>
      </c>
      <c r="F3912">
        <v>7583008</v>
      </c>
      <c r="G3912" s="5">
        <v>43133</v>
      </c>
    </row>
    <row r="3913" spans="1:7" x14ac:dyDescent="0.4">
      <c r="A3913">
        <v>12</v>
      </c>
      <c r="B3913" t="s">
        <v>440</v>
      </c>
      <c r="C3913" s="10">
        <v>32.92</v>
      </c>
      <c r="D3913" s="10">
        <v>3.91</v>
      </c>
      <c r="E3913" s="16">
        <v>13.48</v>
      </c>
      <c r="F3913">
        <v>125038902</v>
      </c>
      <c r="G3913" s="5">
        <v>43133</v>
      </c>
    </row>
    <row r="3914" spans="1:7" x14ac:dyDescent="0.4">
      <c r="A3914">
        <v>13</v>
      </c>
      <c r="B3914" t="s">
        <v>274</v>
      </c>
      <c r="C3914" s="10">
        <v>4.08</v>
      </c>
      <c r="D3914" s="10">
        <v>0.48</v>
      </c>
      <c r="E3914" s="16">
        <v>13.33</v>
      </c>
      <c r="F3914">
        <v>13192707</v>
      </c>
      <c r="G3914" s="5">
        <v>43133</v>
      </c>
    </row>
    <row r="3915" spans="1:7" x14ac:dyDescent="0.4">
      <c r="A3915">
        <v>14</v>
      </c>
      <c r="B3915" t="s">
        <v>441</v>
      </c>
      <c r="C3915" s="10">
        <v>13.89</v>
      </c>
      <c r="D3915" s="10">
        <v>1.63</v>
      </c>
      <c r="E3915" s="16">
        <v>13.3</v>
      </c>
      <c r="F3915">
        <v>260921</v>
      </c>
      <c r="G3915" s="5">
        <v>43133</v>
      </c>
    </row>
    <row r="3916" spans="1:7" x14ac:dyDescent="0.4">
      <c r="A3916">
        <v>15</v>
      </c>
      <c r="B3916" t="s">
        <v>486</v>
      </c>
      <c r="C3916" s="10">
        <v>8.7200000000000006</v>
      </c>
      <c r="D3916" s="10">
        <v>0.98</v>
      </c>
      <c r="E3916" s="16">
        <v>12.66</v>
      </c>
      <c r="F3916">
        <v>2393251</v>
      </c>
      <c r="G3916" s="5">
        <v>43133</v>
      </c>
    </row>
    <row r="3917" spans="1:7" x14ac:dyDescent="0.4">
      <c r="A3917">
        <v>16</v>
      </c>
      <c r="B3917" t="s">
        <v>445</v>
      </c>
      <c r="C3917" s="10">
        <v>13.23</v>
      </c>
      <c r="D3917" s="10">
        <v>1.46</v>
      </c>
      <c r="E3917" s="16">
        <v>12.4</v>
      </c>
      <c r="F3917">
        <v>2873712</v>
      </c>
      <c r="G3917" s="5">
        <v>43133</v>
      </c>
    </row>
    <row r="3918" spans="1:7" x14ac:dyDescent="0.4">
      <c r="A3918">
        <v>17</v>
      </c>
      <c r="B3918" t="s">
        <v>318</v>
      </c>
      <c r="C3918" s="10">
        <v>25.26</v>
      </c>
      <c r="D3918" s="10">
        <v>2.77</v>
      </c>
      <c r="E3918" s="16">
        <v>12.32</v>
      </c>
      <c r="F3918">
        <v>55172</v>
      </c>
      <c r="G3918" s="5">
        <v>43133</v>
      </c>
    </row>
    <row r="3919" spans="1:7" x14ac:dyDescent="0.4">
      <c r="A3919">
        <v>18</v>
      </c>
      <c r="B3919" t="s">
        <v>829</v>
      </c>
      <c r="C3919" s="10">
        <v>57.78</v>
      </c>
      <c r="D3919" s="10">
        <v>6.31</v>
      </c>
      <c r="E3919" s="16">
        <v>12.26</v>
      </c>
      <c r="F3919">
        <v>2446955</v>
      </c>
      <c r="G3919" s="5">
        <v>43133</v>
      </c>
    </row>
    <row r="3920" spans="1:7" x14ac:dyDescent="0.4">
      <c r="A3920">
        <v>19</v>
      </c>
      <c r="B3920" t="s">
        <v>359</v>
      </c>
      <c r="C3920" s="10">
        <v>10.99</v>
      </c>
      <c r="D3920" s="10">
        <v>1.1200000000000001</v>
      </c>
      <c r="E3920" s="16">
        <v>11.35</v>
      </c>
      <c r="F3920">
        <v>81387</v>
      </c>
      <c r="G3920" s="5">
        <v>43133</v>
      </c>
    </row>
    <row r="3921" spans="1:7" x14ac:dyDescent="0.4">
      <c r="A3921">
        <v>20</v>
      </c>
      <c r="B3921" t="s">
        <v>1891</v>
      </c>
      <c r="C3921" s="10">
        <v>42.4</v>
      </c>
      <c r="D3921" s="10">
        <v>4.2</v>
      </c>
      <c r="E3921" s="16">
        <v>10.99</v>
      </c>
      <c r="F3921">
        <v>785240</v>
      </c>
      <c r="G3921" s="5">
        <v>43133</v>
      </c>
    </row>
    <row r="3922" spans="1:7" x14ac:dyDescent="0.4">
      <c r="A3922">
        <v>21</v>
      </c>
      <c r="B3922" t="s">
        <v>1146</v>
      </c>
      <c r="C3922" s="10">
        <v>33.32</v>
      </c>
      <c r="D3922" s="10">
        <v>3.23</v>
      </c>
      <c r="E3922" s="16">
        <v>10.73</v>
      </c>
      <c r="F3922">
        <v>479824</v>
      </c>
      <c r="G3922" s="5">
        <v>43133</v>
      </c>
    </row>
    <row r="3923" spans="1:7" x14ac:dyDescent="0.4">
      <c r="A3923">
        <v>22</v>
      </c>
      <c r="B3923" t="s">
        <v>686</v>
      </c>
      <c r="C3923" s="10">
        <v>23.97</v>
      </c>
      <c r="D3923" s="10">
        <v>2.2000000000000002</v>
      </c>
      <c r="E3923" s="16">
        <v>10.11</v>
      </c>
      <c r="F3923">
        <v>12350629</v>
      </c>
      <c r="G3923" s="5">
        <v>43133</v>
      </c>
    </row>
    <row r="3924" spans="1:7" x14ac:dyDescent="0.4">
      <c r="A3924">
        <v>23</v>
      </c>
      <c r="B3924" t="s">
        <v>154</v>
      </c>
      <c r="C3924" s="10">
        <v>46.5</v>
      </c>
      <c r="D3924" s="10">
        <v>3.88</v>
      </c>
      <c r="E3924" s="16">
        <v>9.11</v>
      </c>
      <c r="F3924">
        <v>28576</v>
      </c>
      <c r="G3924" s="5">
        <v>43133</v>
      </c>
    </row>
    <row r="3925" spans="1:7" x14ac:dyDescent="0.4">
      <c r="A3925">
        <v>24</v>
      </c>
      <c r="B3925" t="s">
        <v>1892</v>
      </c>
      <c r="C3925" s="10">
        <v>84.01</v>
      </c>
      <c r="D3925" s="10">
        <v>6.92</v>
      </c>
      <c r="E3925" s="16">
        <v>8.98</v>
      </c>
      <c r="F3925">
        <v>5865183</v>
      </c>
      <c r="G3925" s="5">
        <v>43133</v>
      </c>
    </row>
    <row r="3926" spans="1:7" x14ac:dyDescent="0.4">
      <c r="A3926">
        <v>25</v>
      </c>
      <c r="B3926" t="s">
        <v>812</v>
      </c>
      <c r="C3926" s="10">
        <v>7.82</v>
      </c>
      <c r="D3926" s="10">
        <v>0.64</v>
      </c>
      <c r="E3926" s="16">
        <v>8.91</v>
      </c>
      <c r="F3926">
        <v>105422</v>
      </c>
      <c r="G3926" s="5">
        <v>43133</v>
      </c>
    </row>
    <row r="3927" spans="1:7" x14ac:dyDescent="0.4">
      <c r="A3927">
        <v>26</v>
      </c>
      <c r="B3927" t="s">
        <v>1684</v>
      </c>
      <c r="C3927" s="10">
        <v>63.42</v>
      </c>
      <c r="D3927" s="10">
        <v>5.09</v>
      </c>
      <c r="E3927" s="16">
        <v>8.73</v>
      </c>
      <c r="F3927">
        <v>2883846</v>
      </c>
      <c r="G3927" s="5">
        <v>43133</v>
      </c>
    </row>
    <row r="3928" spans="1:7" x14ac:dyDescent="0.4">
      <c r="A3928">
        <v>27</v>
      </c>
      <c r="B3928" t="s">
        <v>462</v>
      </c>
      <c r="C3928" s="10">
        <v>6.06</v>
      </c>
      <c r="D3928" s="10">
        <v>0.47</v>
      </c>
      <c r="E3928" s="16">
        <v>8.41</v>
      </c>
      <c r="F3928">
        <v>996343</v>
      </c>
      <c r="G3928" s="5">
        <v>43133</v>
      </c>
    </row>
    <row r="3929" spans="1:7" x14ac:dyDescent="0.4">
      <c r="A3929">
        <v>28</v>
      </c>
      <c r="B3929" t="s">
        <v>1285</v>
      </c>
      <c r="C3929" s="10">
        <v>20.25</v>
      </c>
      <c r="D3929" s="10">
        <v>1.55</v>
      </c>
      <c r="E3929" s="16">
        <v>8.2899999999999991</v>
      </c>
      <c r="F3929">
        <v>971890</v>
      </c>
      <c r="G3929" s="5">
        <v>43133</v>
      </c>
    </row>
    <row r="3930" spans="1:7" x14ac:dyDescent="0.4">
      <c r="A3930">
        <v>29</v>
      </c>
      <c r="B3930" t="s">
        <v>467</v>
      </c>
      <c r="C3930" s="10">
        <v>9.57</v>
      </c>
      <c r="D3930" s="10">
        <v>0.73</v>
      </c>
      <c r="E3930" s="16">
        <v>8.26</v>
      </c>
      <c r="F3930">
        <v>21779</v>
      </c>
      <c r="G3930" s="5">
        <v>43133</v>
      </c>
    </row>
    <row r="3931" spans="1:7" x14ac:dyDescent="0.4">
      <c r="A3931">
        <v>30</v>
      </c>
      <c r="B3931" t="s">
        <v>1289</v>
      </c>
      <c r="C3931" s="10">
        <v>36.6</v>
      </c>
      <c r="D3931" s="10">
        <v>2.78</v>
      </c>
      <c r="E3931" s="16">
        <v>8.2200000000000006</v>
      </c>
      <c r="F3931">
        <v>138682</v>
      </c>
      <c r="G3931" s="5">
        <v>43133</v>
      </c>
    </row>
    <row r="3932" spans="1:7" x14ac:dyDescent="0.4">
      <c r="A3932">
        <v>31</v>
      </c>
      <c r="B3932" t="s">
        <v>207</v>
      </c>
      <c r="C3932" s="10">
        <v>13.74</v>
      </c>
      <c r="D3932" s="10">
        <v>1.03</v>
      </c>
      <c r="E3932" s="16">
        <v>8.1</v>
      </c>
      <c r="F3932">
        <v>1732360</v>
      </c>
      <c r="G3932" s="5">
        <v>43133</v>
      </c>
    </row>
    <row r="3933" spans="1:7" x14ac:dyDescent="0.4">
      <c r="A3933">
        <v>32</v>
      </c>
      <c r="B3933" t="s">
        <v>1893</v>
      </c>
      <c r="C3933" s="10">
        <v>32.74</v>
      </c>
      <c r="D3933" s="10">
        <v>2.4300000000000002</v>
      </c>
      <c r="E3933" s="16">
        <v>8.02</v>
      </c>
      <c r="F3933">
        <v>51415</v>
      </c>
      <c r="G3933" s="5">
        <v>43133</v>
      </c>
    </row>
    <row r="3934" spans="1:7" x14ac:dyDescent="0.4">
      <c r="A3934">
        <v>33</v>
      </c>
      <c r="B3934" t="s">
        <v>433</v>
      </c>
      <c r="C3934" s="10">
        <v>9.19</v>
      </c>
      <c r="D3934" s="10">
        <v>0.68</v>
      </c>
      <c r="E3934" s="16">
        <v>7.99</v>
      </c>
      <c r="F3934">
        <v>36525</v>
      </c>
      <c r="G3934" s="5">
        <v>43133</v>
      </c>
    </row>
    <row r="3935" spans="1:7" x14ac:dyDescent="0.4">
      <c r="A3935">
        <v>34</v>
      </c>
      <c r="B3935" t="s">
        <v>1774</v>
      </c>
      <c r="C3935" s="10">
        <v>16.53</v>
      </c>
      <c r="D3935" s="10">
        <v>1.21</v>
      </c>
      <c r="E3935" s="16">
        <v>7.9</v>
      </c>
      <c r="F3935">
        <v>16438983</v>
      </c>
      <c r="G3935" s="5">
        <v>43133</v>
      </c>
    </row>
    <row r="3936" spans="1:7" x14ac:dyDescent="0.4">
      <c r="A3936">
        <v>35</v>
      </c>
      <c r="B3936" t="s">
        <v>646</v>
      </c>
      <c r="C3936" s="10">
        <v>17.71</v>
      </c>
      <c r="D3936" s="10">
        <v>1.28</v>
      </c>
      <c r="E3936" s="16">
        <v>7.79</v>
      </c>
      <c r="F3936">
        <v>5186735</v>
      </c>
      <c r="G3936" s="5">
        <v>43133</v>
      </c>
    </row>
    <row r="3937" spans="1:7" x14ac:dyDescent="0.4">
      <c r="A3937">
        <v>36</v>
      </c>
      <c r="B3937" t="s">
        <v>1151</v>
      </c>
      <c r="C3937" s="10">
        <v>8.6</v>
      </c>
      <c r="D3937" s="10">
        <v>0.62</v>
      </c>
      <c r="E3937" s="16">
        <v>7.77</v>
      </c>
      <c r="F3937">
        <v>319339</v>
      </c>
      <c r="G3937" s="5">
        <v>43133</v>
      </c>
    </row>
    <row r="3938" spans="1:7" x14ac:dyDescent="0.4">
      <c r="A3938">
        <v>37</v>
      </c>
      <c r="B3938" t="s">
        <v>1894</v>
      </c>
      <c r="C3938" s="10">
        <v>38.590000000000003</v>
      </c>
      <c r="D3938" s="10">
        <v>2.75</v>
      </c>
      <c r="E3938" s="16">
        <v>7.67</v>
      </c>
      <c r="F3938">
        <v>725785</v>
      </c>
      <c r="G3938" s="5">
        <v>43133</v>
      </c>
    </row>
    <row r="3939" spans="1:7" x14ac:dyDescent="0.4">
      <c r="A3939">
        <v>38</v>
      </c>
      <c r="B3939" t="s">
        <v>1641</v>
      </c>
      <c r="C3939" s="10">
        <v>9</v>
      </c>
      <c r="D3939" s="10">
        <v>0.64</v>
      </c>
      <c r="E3939" s="16">
        <v>7.66</v>
      </c>
      <c r="F3939">
        <v>8017</v>
      </c>
      <c r="G3939" s="5">
        <v>43133</v>
      </c>
    </row>
    <row r="3940" spans="1:7" x14ac:dyDescent="0.4">
      <c r="A3940">
        <v>39</v>
      </c>
      <c r="B3940" t="s">
        <v>644</v>
      </c>
      <c r="C3940" s="10">
        <v>7.92</v>
      </c>
      <c r="D3940" s="10">
        <v>0.56000000000000005</v>
      </c>
      <c r="E3940" s="16">
        <v>7.61</v>
      </c>
      <c r="F3940">
        <v>2291544</v>
      </c>
      <c r="G3940" s="5">
        <v>43133</v>
      </c>
    </row>
    <row r="3941" spans="1:7" x14ac:dyDescent="0.4">
      <c r="A3941">
        <v>40</v>
      </c>
      <c r="B3941" t="s">
        <v>1440</v>
      </c>
      <c r="C3941" s="10">
        <v>14.25</v>
      </c>
      <c r="D3941" s="10">
        <v>0.98</v>
      </c>
      <c r="E3941" s="16">
        <v>7.39</v>
      </c>
      <c r="F3941">
        <v>20195</v>
      </c>
      <c r="G3941" s="5">
        <v>43133</v>
      </c>
    </row>
    <row r="3942" spans="1:7" x14ac:dyDescent="0.4">
      <c r="A3942">
        <v>41</v>
      </c>
      <c r="B3942" t="s">
        <v>1895</v>
      </c>
      <c r="C3942" s="10">
        <v>93.63</v>
      </c>
      <c r="D3942" s="10">
        <v>6.37</v>
      </c>
      <c r="E3942" s="16">
        <v>7.3</v>
      </c>
      <c r="F3942">
        <v>2773002</v>
      </c>
      <c r="G3942" s="5">
        <v>43133</v>
      </c>
    </row>
    <row r="3943" spans="1:7" x14ac:dyDescent="0.4">
      <c r="A3943">
        <v>42</v>
      </c>
      <c r="B3943" t="s">
        <v>1796</v>
      </c>
      <c r="C3943" s="10">
        <v>17.7</v>
      </c>
      <c r="D3943" s="10">
        <v>1.2</v>
      </c>
      <c r="E3943" s="16">
        <v>7.27</v>
      </c>
      <c r="F3943">
        <v>6225077</v>
      </c>
      <c r="G3943" s="5">
        <v>43133</v>
      </c>
    </row>
    <row r="3944" spans="1:7" x14ac:dyDescent="0.4">
      <c r="A3944">
        <v>43</v>
      </c>
      <c r="B3944" t="s">
        <v>176</v>
      </c>
      <c r="C3944" s="10">
        <v>17.7</v>
      </c>
      <c r="D3944" s="10">
        <v>1.1299999999999999</v>
      </c>
      <c r="E3944" s="16">
        <v>6.82</v>
      </c>
      <c r="F3944">
        <v>138499</v>
      </c>
      <c r="G3944" s="5">
        <v>43133</v>
      </c>
    </row>
    <row r="3945" spans="1:7" x14ac:dyDescent="0.4">
      <c r="A3945">
        <v>44</v>
      </c>
      <c r="B3945" t="s">
        <v>1896</v>
      </c>
      <c r="C3945" s="10">
        <v>46.59</v>
      </c>
      <c r="D3945" s="10">
        <v>2.93</v>
      </c>
      <c r="E3945" s="16">
        <v>6.71</v>
      </c>
      <c r="F3945">
        <v>285573</v>
      </c>
      <c r="G3945" s="5">
        <v>43133</v>
      </c>
    </row>
    <row r="3946" spans="1:7" x14ac:dyDescent="0.4">
      <c r="A3946">
        <v>45</v>
      </c>
      <c r="B3946" t="s">
        <v>355</v>
      </c>
      <c r="C3946" s="10">
        <v>7.19</v>
      </c>
      <c r="D3946" s="10">
        <v>0.45</v>
      </c>
      <c r="E3946" s="16">
        <v>6.68</v>
      </c>
      <c r="F3946">
        <v>370456</v>
      </c>
      <c r="G3946" s="5">
        <v>43133</v>
      </c>
    </row>
    <row r="3947" spans="1:7" x14ac:dyDescent="0.4">
      <c r="A3947">
        <v>46</v>
      </c>
      <c r="B3947" t="s">
        <v>650</v>
      </c>
      <c r="C3947" s="10">
        <v>10.32</v>
      </c>
      <c r="D3947" s="10">
        <v>0.64</v>
      </c>
      <c r="E3947" s="16">
        <v>6.61</v>
      </c>
      <c r="F3947">
        <v>17939874</v>
      </c>
      <c r="G3947" s="5">
        <v>43133</v>
      </c>
    </row>
    <row r="3948" spans="1:7" x14ac:dyDescent="0.4">
      <c r="A3948">
        <v>47</v>
      </c>
      <c r="B3948" t="s">
        <v>155</v>
      </c>
      <c r="C3948" s="10">
        <v>11.13</v>
      </c>
      <c r="D3948" s="10">
        <v>0.69</v>
      </c>
      <c r="E3948" s="16">
        <v>6.61</v>
      </c>
      <c r="F3948">
        <v>22315</v>
      </c>
      <c r="G3948" s="5">
        <v>43133</v>
      </c>
    </row>
    <row r="3949" spans="1:7" x14ac:dyDescent="0.4">
      <c r="A3949">
        <v>48</v>
      </c>
      <c r="B3949" t="s">
        <v>474</v>
      </c>
      <c r="C3949" s="10">
        <v>9.6300000000000008</v>
      </c>
      <c r="D3949" s="10">
        <v>0.59</v>
      </c>
      <c r="E3949" s="16">
        <v>6.53</v>
      </c>
      <c r="F3949">
        <v>29979</v>
      </c>
      <c r="G3949" s="5">
        <v>43133</v>
      </c>
    </row>
    <row r="3950" spans="1:7" x14ac:dyDescent="0.4">
      <c r="A3950">
        <v>49</v>
      </c>
      <c r="B3950" t="s">
        <v>653</v>
      </c>
      <c r="C3950" s="10">
        <v>27.17</v>
      </c>
      <c r="D3950" s="10">
        <v>1.65</v>
      </c>
      <c r="E3950" s="16">
        <v>6.47</v>
      </c>
      <c r="F3950">
        <v>6700663</v>
      </c>
      <c r="G3950" s="5">
        <v>43133</v>
      </c>
    </row>
    <row r="3951" spans="1:7" x14ac:dyDescent="0.4">
      <c r="A3951">
        <v>50</v>
      </c>
      <c r="B3951" t="s">
        <v>666</v>
      </c>
      <c r="C3951" s="10">
        <v>11.21</v>
      </c>
      <c r="D3951" s="10">
        <v>0.67</v>
      </c>
      <c r="E3951" s="16">
        <v>6.36</v>
      </c>
      <c r="F3951">
        <v>13493</v>
      </c>
      <c r="G3951" s="5">
        <v>43133</v>
      </c>
    </row>
    <row r="3952" spans="1:7" x14ac:dyDescent="0.4">
      <c r="A3952">
        <v>51</v>
      </c>
      <c r="B3952" t="s">
        <v>1897</v>
      </c>
      <c r="C3952" s="10">
        <v>162.49</v>
      </c>
      <c r="D3952" s="10">
        <v>9.48</v>
      </c>
      <c r="E3952" s="16">
        <v>6.2</v>
      </c>
      <c r="F3952">
        <v>1117331</v>
      </c>
      <c r="G3952" s="5">
        <v>43133</v>
      </c>
    </row>
    <row r="3953" spans="1:7" x14ac:dyDescent="0.4">
      <c r="A3953">
        <v>52</v>
      </c>
      <c r="B3953" t="s">
        <v>706</v>
      </c>
      <c r="C3953" s="10">
        <v>29</v>
      </c>
      <c r="D3953" s="10">
        <v>1.69</v>
      </c>
      <c r="E3953" s="16">
        <v>6.19</v>
      </c>
      <c r="F3953">
        <v>302246</v>
      </c>
      <c r="G3953" s="5">
        <v>43133</v>
      </c>
    </row>
    <row r="3954" spans="1:7" x14ac:dyDescent="0.4">
      <c r="A3954">
        <v>53</v>
      </c>
      <c r="B3954" t="s">
        <v>656</v>
      </c>
      <c r="C3954" s="10">
        <v>13.1</v>
      </c>
      <c r="D3954" s="10">
        <v>0.76</v>
      </c>
      <c r="E3954" s="16">
        <v>6.16</v>
      </c>
      <c r="F3954">
        <v>14462</v>
      </c>
      <c r="G3954" s="5">
        <v>43133</v>
      </c>
    </row>
    <row r="3955" spans="1:7" x14ac:dyDescent="0.4">
      <c r="A3955">
        <v>54</v>
      </c>
      <c r="B3955" t="s">
        <v>1898</v>
      </c>
      <c r="C3955" s="10">
        <v>17.45</v>
      </c>
      <c r="D3955" s="10">
        <v>1</v>
      </c>
      <c r="E3955" s="16">
        <v>6.08</v>
      </c>
      <c r="F3955">
        <v>1779623</v>
      </c>
      <c r="G3955" s="5">
        <v>43133</v>
      </c>
    </row>
    <row r="3956" spans="1:7" x14ac:dyDescent="0.4">
      <c r="A3956">
        <v>55</v>
      </c>
      <c r="B3956" t="s">
        <v>1136</v>
      </c>
      <c r="C3956" s="10">
        <v>25.27</v>
      </c>
      <c r="D3956" s="10">
        <v>1.44</v>
      </c>
      <c r="E3956" s="16">
        <v>6.04</v>
      </c>
      <c r="F3956">
        <v>299402</v>
      </c>
      <c r="G3956" s="5">
        <v>43133</v>
      </c>
    </row>
    <row r="3957" spans="1:7" x14ac:dyDescent="0.4">
      <c r="A3957">
        <v>56</v>
      </c>
      <c r="B3957" t="s">
        <v>652</v>
      </c>
      <c r="C3957" s="10">
        <v>13.34</v>
      </c>
      <c r="D3957" s="10">
        <v>0.76</v>
      </c>
      <c r="E3957" s="16">
        <v>6.04</v>
      </c>
      <c r="F3957">
        <v>16407</v>
      </c>
      <c r="G3957" s="5">
        <v>43133</v>
      </c>
    </row>
    <row r="3958" spans="1:7" x14ac:dyDescent="0.4">
      <c r="A3958">
        <v>57</v>
      </c>
      <c r="B3958" t="s">
        <v>659</v>
      </c>
      <c r="C3958" s="10">
        <v>31.34</v>
      </c>
      <c r="D3958" s="10">
        <v>1.77</v>
      </c>
      <c r="E3958" s="16">
        <v>5.99</v>
      </c>
      <c r="F3958">
        <v>1850135</v>
      </c>
      <c r="G3958" s="5">
        <v>43133</v>
      </c>
    </row>
    <row r="3959" spans="1:7" x14ac:dyDescent="0.4">
      <c r="A3959">
        <v>58</v>
      </c>
      <c r="B3959" t="s">
        <v>1899</v>
      </c>
      <c r="C3959" s="10">
        <v>25.75</v>
      </c>
      <c r="D3959" s="10">
        <v>1.45</v>
      </c>
      <c r="E3959" s="16">
        <v>5.97</v>
      </c>
      <c r="F3959">
        <v>50731</v>
      </c>
      <c r="G3959" s="5">
        <v>43133</v>
      </c>
    </row>
    <row r="3960" spans="1:7" x14ac:dyDescent="0.4">
      <c r="A3960">
        <v>59</v>
      </c>
      <c r="B3960" t="s">
        <v>458</v>
      </c>
      <c r="C3960" s="10">
        <v>18.100000000000001</v>
      </c>
      <c r="D3960" s="10">
        <v>1.01</v>
      </c>
      <c r="E3960" s="16">
        <v>5.91</v>
      </c>
      <c r="F3960">
        <v>16259173</v>
      </c>
      <c r="G3960" s="5">
        <v>43133</v>
      </c>
    </row>
    <row r="3961" spans="1:7" x14ac:dyDescent="0.4">
      <c r="A3961">
        <v>60</v>
      </c>
      <c r="B3961" t="s">
        <v>830</v>
      </c>
      <c r="C3961" s="10">
        <v>9.14</v>
      </c>
      <c r="D3961" s="10">
        <v>0.51</v>
      </c>
      <c r="E3961" s="16">
        <v>5.91</v>
      </c>
      <c r="F3961">
        <v>4180333</v>
      </c>
      <c r="G3961" s="5">
        <v>43133</v>
      </c>
    </row>
    <row r="3962" spans="1:7" x14ac:dyDescent="0.4">
      <c r="A3962">
        <v>61</v>
      </c>
      <c r="B3962" t="s">
        <v>645</v>
      </c>
      <c r="C3962" s="10">
        <v>10.58</v>
      </c>
      <c r="D3962" s="10">
        <v>0.59</v>
      </c>
      <c r="E3962" s="16">
        <v>5.91</v>
      </c>
      <c r="F3962">
        <v>3883782</v>
      </c>
      <c r="G3962" s="5">
        <v>43133</v>
      </c>
    </row>
    <row r="3963" spans="1:7" x14ac:dyDescent="0.4">
      <c r="A3963">
        <v>62</v>
      </c>
      <c r="B3963" t="s">
        <v>217</v>
      </c>
      <c r="C3963" s="10">
        <v>5.0599999999999996</v>
      </c>
      <c r="D3963" s="10">
        <v>0.28000000000000003</v>
      </c>
      <c r="E3963" s="16">
        <v>5.86</v>
      </c>
      <c r="F3963">
        <v>14369</v>
      </c>
      <c r="G3963" s="5">
        <v>43133</v>
      </c>
    </row>
    <row r="3964" spans="1:7" x14ac:dyDescent="0.4">
      <c r="A3964">
        <v>63</v>
      </c>
      <c r="B3964" t="s">
        <v>1900</v>
      </c>
      <c r="C3964" s="10">
        <v>51.99</v>
      </c>
      <c r="D3964" s="10">
        <v>2.84</v>
      </c>
      <c r="E3964" s="16">
        <v>5.78</v>
      </c>
      <c r="F3964">
        <v>3925591</v>
      </c>
      <c r="G3964" s="5">
        <v>43133</v>
      </c>
    </row>
    <row r="3965" spans="1:7" x14ac:dyDescent="0.4">
      <c r="A3965">
        <v>64</v>
      </c>
      <c r="B3965" t="s">
        <v>660</v>
      </c>
      <c r="C3965" s="10">
        <v>11.87</v>
      </c>
      <c r="D3965" s="10">
        <v>0.64</v>
      </c>
      <c r="E3965" s="16">
        <v>5.7</v>
      </c>
      <c r="F3965">
        <v>16879120</v>
      </c>
      <c r="G3965" s="5">
        <v>43133</v>
      </c>
    </row>
    <row r="3966" spans="1:7" x14ac:dyDescent="0.4">
      <c r="A3966">
        <v>65</v>
      </c>
      <c r="B3966" t="s">
        <v>1096</v>
      </c>
      <c r="C3966" s="10">
        <v>4.3099999999999996</v>
      </c>
      <c r="D3966" s="10">
        <v>0.23</v>
      </c>
      <c r="E3966" s="16">
        <v>5.64</v>
      </c>
      <c r="F3966">
        <v>640479</v>
      </c>
      <c r="G3966" s="5">
        <v>43133</v>
      </c>
    </row>
    <row r="3967" spans="1:7" x14ac:dyDescent="0.4">
      <c r="A3967">
        <v>66</v>
      </c>
      <c r="B3967" t="s">
        <v>125</v>
      </c>
      <c r="C3967" s="10">
        <v>8.69</v>
      </c>
      <c r="D3967" s="10">
        <v>0.46</v>
      </c>
      <c r="E3967" s="16">
        <v>5.59</v>
      </c>
      <c r="F3967">
        <v>55206</v>
      </c>
      <c r="G3967" s="5">
        <v>43133</v>
      </c>
    </row>
    <row r="3968" spans="1:7" x14ac:dyDescent="0.4">
      <c r="A3968">
        <v>67</v>
      </c>
      <c r="B3968" t="s">
        <v>970</v>
      </c>
      <c r="C3968" s="10">
        <v>3.8</v>
      </c>
      <c r="D3968" s="10">
        <v>0.2</v>
      </c>
      <c r="E3968" s="16">
        <v>5.56</v>
      </c>
      <c r="F3968">
        <v>556724</v>
      </c>
      <c r="G3968" s="5">
        <v>43133</v>
      </c>
    </row>
    <row r="3969" spans="1:7" x14ac:dyDescent="0.4">
      <c r="A3969">
        <v>68</v>
      </c>
      <c r="B3969" t="s">
        <v>351</v>
      </c>
      <c r="C3969" s="10">
        <v>3.44</v>
      </c>
      <c r="D3969" s="10">
        <v>0.18</v>
      </c>
      <c r="E3969" s="16">
        <v>5.52</v>
      </c>
      <c r="F3969">
        <v>12744472</v>
      </c>
      <c r="G3969" s="5">
        <v>43133</v>
      </c>
    </row>
    <row r="3970" spans="1:7" x14ac:dyDescent="0.4">
      <c r="A3970">
        <v>69</v>
      </c>
      <c r="B3970" t="s">
        <v>522</v>
      </c>
      <c r="C3970" s="10">
        <v>7.65</v>
      </c>
      <c r="D3970" s="10">
        <v>0.4</v>
      </c>
      <c r="E3970" s="16">
        <v>5.52</v>
      </c>
      <c r="F3970">
        <v>1419806</v>
      </c>
      <c r="G3970" s="5">
        <v>43133</v>
      </c>
    </row>
    <row r="3971" spans="1:7" x14ac:dyDescent="0.4">
      <c r="A3971">
        <v>70</v>
      </c>
      <c r="B3971" t="s">
        <v>491</v>
      </c>
      <c r="C3971" s="10">
        <v>15.16</v>
      </c>
      <c r="D3971" s="10">
        <v>0.79</v>
      </c>
      <c r="E3971" s="16">
        <v>5.49</v>
      </c>
      <c r="F3971">
        <v>33294</v>
      </c>
      <c r="G3971" s="5">
        <v>43133</v>
      </c>
    </row>
    <row r="3972" spans="1:7" x14ac:dyDescent="0.4">
      <c r="A3972">
        <v>71</v>
      </c>
      <c r="B3972" t="s">
        <v>664</v>
      </c>
      <c r="C3972" s="10">
        <v>8.17</v>
      </c>
      <c r="D3972" s="10">
        <v>0.42</v>
      </c>
      <c r="E3972" s="16">
        <v>5.42</v>
      </c>
      <c r="F3972">
        <v>4169089</v>
      </c>
      <c r="G3972" s="5">
        <v>43133</v>
      </c>
    </row>
    <row r="3973" spans="1:7" x14ac:dyDescent="0.4">
      <c r="A3973">
        <v>72</v>
      </c>
      <c r="B3973" t="s">
        <v>950</v>
      </c>
      <c r="C3973" s="10">
        <v>5.67</v>
      </c>
      <c r="D3973" s="10">
        <v>0.28999999999999998</v>
      </c>
      <c r="E3973" s="16">
        <v>5.39</v>
      </c>
      <c r="F3973">
        <v>285842</v>
      </c>
      <c r="G3973" s="5">
        <v>43133</v>
      </c>
    </row>
    <row r="3974" spans="1:7" x14ac:dyDescent="0.4">
      <c r="A3974">
        <v>73</v>
      </c>
      <c r="B3974" t="s">
        <v>1901</v>
      </c>
      <c r="C3974" s="10">
        <v>20.56</v>
      </c>
      <c r="D3974" s="10">
        <v>1.03</v>
      </c>
      <c r="E3974" s="16">
        <v>5.29</v>
      </c>
      <c r="F3974">
        <v>2290</v>
      </c>
      <c r="G3974" s="5">
        <v>43133</v>
      </c>
    </row>
    <row r="3975" spans="1:7" x14ac:dyDescent="0.4">
      <c r="A3975">
        <v>74</v>
      </c>
      <c r="B3975" t="s">
        <v>1875</v>
      </c>
      <c r="C3975" s="10">
        <v>29.18</v>
      </c>
      <c r="D3975" s="10">
        <v>1.45</v>
      </c>
      <c r="E3975" s="16">
        <v>5.23</v>
      </c>
      <c r="F3975">
        <v>11413</v>
      </c>
      <c r="G3975" s="5">
        <v>43133</v>
      </c>
    </row>
    <row r="3976" spans="1:7" x14ac:dyDescent="0.4">
      <c r="A3976">
        <v>75</v>
      </c>
      <c r="B3976" t="s">
        <v>461</v>
      </c>
      <c r="C3976" s="10">
        <v>8.07</v>
      </c>
      <c r="D3976" s="10">
        <v>0.4</v>
      </c>
      <c r="E3976" s="16">
        <v>5.22</v>
      </c>
      <c r="F3976">
        <v>1018747</v>
      </c>
      <c r="G3976" s="5">
        <v>43133</v>
      </c>
    </row>
    <row r="3977" spans="1:7" x14ac:dyDescent="0.4">
      <c r="A3977">
        <v>76</v>
      </c>
      <c r="B3977" t="s">
        <v>1902</v>
      </c>
      <c r="C3977" s="10">
        <v>46.45</v>
      </c>
      <c r="D3977" s="10">
        <v>2.2999999999999998</v>
      </c>
      <c r="E3977" s="16">
        <v>5.21</v>
      </c>
      <c r="F3977">
        <v>117574</v>
      </c>
      <c r="G3977" s="5">
        <v>43133</v>
      </c>
    </row>
    <row r="3978" spans="1:7" x14ac:dyDescent="0.4">
      <c r="A3978">
        <v>77</v>
      </c>
      <c r="B3978" t="s">
        <v>977</v>
      </c>
      <c r="C3978" s="10">
        <v>7.89</v>
      </c>
      <c r="D3978" s="10">
        <v>0.39</v>
      </c>
      <c r="E3978" s="16">
        <v>5.2</v>
      </c>
      <c r="F3978">
        <v>656012</v>
      </c>
      <c r="G3978" s="5">
        <v>43133</v>
      </c>
    </row>
    <row r="3979" spans="1:7" x14ac:dyDescent="0.4">
      <c r="A3979">
        <v>78</v>
      </c>
      <c r="B3979" t="s">
        <v>642</v>
      </c>
      <c r="C3979" s="10">
        <v>4.26</v>
      </c>
      <c r="D3979" s="10">
        <v>0.21</v>
      </c>
      <c r="E3979" s="16">
        <v>5.19</v>
      </c>
      <c r="F3979">
        <v>2682694</v>
      </c>
      <c r="G3979" s="5">
        <v>43133</v>
      </c>
    </row>
    <row r="3980" spans="1:7" x14ac:dyDescent="0.4">
      <c r="A3980">
        <v>79</v>
      </c>
      <c r="B3980" t="s">
        <v>913</v>
      </c>
      <c r="C3980" s="10">
        <v>5.34</v>
      </c>
      <c r="D3980" s="10">
        <v>0.26</v>
      </c>
      <c r="E3980" s="16">
        <v>5.12</v>
      </c>
      <c r="F3980">
        <v>15027</v>
      </c>
      <c r="G3980" s="5">
        <v>43133</v>
      </c>
    </row>
    <row r="3981" spans="1:7" x14ac:dyDescent="0.4">
      <c r="A3981">
        <v>80</v>
      </c>
      <c r="B3981" t="s">
        <v>1842</v>
      </c>
      <c r="C3981" s="10">
        <v>5.36</v>
      </c>
      <c r="D3981" s="10">
        <v>0.26</v>
      </c>
      <c r="E3981" s="16">
        <v>5.0999999999999996</v>
      </c>
      <c r="F3981">
        <v>35417701</v>
      </c>
      <c r="G3981" s="5">
        <v>43133</v>
      </c>
    </row>
    <row r="3982" spans="1:7" x14ac:dyDescent="0.4">
      <c r="A3982">
        <v>81</v>
      </c>
      <c r="B3982" t="s">
        <v>1301</v>
      </c>
      <c r="C3982" s="10">
        <v>7.51</v>
      </c>
      <c r="D3982" s="10">
        <v>0.36</v>
      </c>
      <c r="E3982" s="16">
        <v>5.03</v>
      </c>
      <c r="F3982">
        <v>544023</v>
      </c>
      <c r="G3982" s="5">
        <v>43133</v>
      </c>
    </row>
    <row r="3983" spans="1:7" x14ac:dyDescent="0.4">
      <c r="A3983">
        <v>82</v>
      </c>
      <c r="B3983" t="s">
        <v>641</v>
      </c>
      <c r="C3983" s="10">
        <v>7</v>
      </c>
      <c r="D3983" s="10">
        <v>0.33</v>
      </c>
      <c r="E3983" s="16">
        <v>5.01</v>
      </c>
      <c r="F3983">
        <v>17374</v>
      </c>
      <c r="G3983" s="5">
        <v>43133</v>
      </c>
    </row>
    <row r="3984" spans="1:7" x14ac:dyDescent="0.4">
      <c r="A3984">
        <v>83</v>
      </c>
      <c r="B3984" t="s">
        <v>1903</v>
      </c>
      <c r="C3984" s="10">
        <v>31.03</v>
      </c>
      <c r="D3984" s="10">
        <v>1.46</v>
      </c>
      <c r="E3984" s="16">
        <v>4.9400000000000004</v>
      </c>
      <c r="F3984">
        <v>54064</v>
      </c>
      <c r="G3984" s="5">
        <v>43133</v>
      </c>
    </row>
    <row r="3985" spans="1:7" x14ac:dyDescent="0.4">
      <c r="A3985">
        <v>84</v>
      </c>
      <c r="B3985" t="s">
        <v>658</v>
      </c>
      <c r="C3985" s="10">
        <v>7.66</v>
      </c>
      <c r="D3985" s="10">
        <v>0.36</v>
      </c>
      <c r="E3985" s="16">
        <v>4.93</v>
      </c>
      <c r="F3985">
        <v>155244</v>
      </c>
      <c r="G3985" s="5">
        <v>43133</v>
      </c>
    </row>
    <row r="3986" spans="1:7" x14ac:dyDescent="0.4">
      <c r="A3986">
        <v>85</v>
      </c>
      <c r="B3986" t="s">
        <v>431</v>
      </c>
      <c r="C3986" s="10">
        <v>18.77</v>
      </c>
      <c r="D3986" s="10">
        <v>0.88</v>
      </c>
      <c r="E3986" s="16">
        <v>4.92</v>
      </c>
      <c r="F3986">
        <v>13121</v>
      </c>
      <c r="G3986" s="5">
        <v>43133</v>
      </c>
    </row>
    <row r="3987" spans="1:7" x14ac:dyDescent="0.4">
      <c r="A3987">
        <v>86</v>
      </c>
      <c r="B3987" t="s">
        <v>465</v>
      </c>
      <c r="C3987" s="10">
        <v>9.6</v>
      </c>
      <c r="D3987" s="10">
        <v>0.45</v>
      </c>
      <c r="E3987" s="16">
        <v>4.92</v>
      </c>
      <c r="F3987">
        <v>86791</v>
      </c>
      <c r="G3987" s="5">
        <v>43133</v>
      </c>
    </row>
    <row r="3988" spans="1:7" x14ac:dyDescent="0.4">
      <c r="A3988">
        <v>87</v>
      </c>
      <c r="B3988" t="s">
        <v>1904</v>
      </c>
      <c r="C3988" s="10">
        <v>103.87</v>
      </c>
      <c r="D3988" s="10">
        <v>4.75</v>
      </c>
      <c r="E3988" s="16">
        <v>4.79</v>
      </c>
      <c r="F3988">
        <v>4420476</v>
      </c>
      <c r="G3988" s="5">
        <v>43133</v>
      </c>
    </row>
    <row r="3989" spans="1:7" x14ac:dyDescent="0.4">
      <c r="A3989">
        <v>88</v>
      </c>
      <c r="B3989" t="s">
        <v>654</v>
      </c>
      <c r="C3989" s="10">
        <v>9.9499999999999993</v>
      </c>
      <c r="D3989" s="10">
        <v>0.45</v>
      </c>
      <c r="E3989" s="16">
        <v>4.75</v>
      </c>
      <c r="F3989">
        <v>44288</v>
      </c>
      <c r="G3989" s="5">
        <v>43133</v>
      </c>
    </row>
    <row r="3990" spans="1:7" x14ac:dyDescent="0.4">
      <c r="A3990">
        <v>89</v>
      </c>
      <c r="B3990" t="s">
        <v>663</v>
      </c>
      <c r="C3990" s="10">
        <v>4.42</v>
      </c>
      <c r="D3990" s="10">
        <v>0.2</v>
      </c>
      <c r="E3990" s="16">
        <v>4.74</v>
      </c>
      <c r="F3990">
        <v>215357</v>
      </c>
      <c r="G3990" s="5">
        <v>43133</v>
      </c>
    </row>
    <row r="3991" spans="1:7" x14ac:dyDescent="0.4">
      <c r="A3991">
        <v>90</v>
      </c>
      <c r="B3991" t="s">
        <v>1905</v>
      </c>
      <c r="C3991" s="10">
        <v>13.28</v>
      </c>
      <c r="D3991" s="10">
        <v>0.6</v>
      </c>
      <c r="E3991" s="16">
        <v>4.7300000000000004</v>
      </c>
      <c r="F3991">
        <v>172319</v>
      </c>
      <c r="G3991" s="5">
        <v>43133</v>
      </c>
    </row>
    <row r="3992" spans="1:7" x14ac:dyDescent="0.4">
      <c r="A3992">
        <v>91</v>
      </c>
      <c r="B3992" t="s">
        <v>1066</v>
      </c>
      <c r="C3992" s="10">
        <v>9.32</v>
      </c>
      <c r="D3992" s="10">
        <v>0.42</v>
      </c>
      <c r="E3992" s="16">
        <v>4.72</v>
      </c>
      <c r="F3992">
        <v>1840991</v>
      </c>
      <c r="G3992" s="5">
        <v>43133</v>
      </c>
    </row>
    <row r="3993" spans="1:7" x14ac:dyDescent="0.4">
      <c r="A3993">
        <v>92</v>
      </c>
      <c r="B3993" t="s">
        <v>1906</v>
      </c>
      <c r="C3993" s="10">
        <v>73.87</v>
      </c>
      <c r="D3993" s="10">
        <v>3.28</v>
      </c>
      <c r="E3993" s="16">
        <v>4.6500000000000004</v>
      </c>
      <c r="F3993">
        <v>3814242</v>
      </c>
      <c r="G3993" s="5">
        <v>43133</v>
      </c>
    </row>
    <row r="3994" spans="1:7" x14ac:dyDescent="0.4">
      <c r="A3994">
        <v>93</v>
      </c>
      <c r="B3994" t="s">
        <v>1777</v>
      </c>
      <c r="C3994" s="10">
        <v>20.5</v>
      </c>
      <c r="D3994" s="10">
        <v>0.91</v>
      </c>
      <c r="E3994" s="16">
        <v>4.6399999999999997</v>
      </c>
      <c r="F3994">
        <v>28207</v>
      </c>
      <c r="G3994" s="5">
        <v>43133</v>
      </c>
    </row>
    <row r="3995" spans="1:7" x14ac:dyDescent="0.4">
      <c r="A3995">
        <v>94</v>
      </c>
      <c r="B3995" t="s">
        <v>1907</v>
      </c>
      <c r="C3995" s="10">
        <v>9.0500000000000007</v>
      </c>
      <c r="D3995" s="10">
        <v>0.4</v>
      </c>
      <c r="E3995" s="16">
        <v>4.62</v>
      </c>
      <c r="F3995">
        <v>27851</v>
      </c>
      <c r="G3995" s="5">
        <v>43133</v>
      </c>
    </row>
    <row r="3996" spans="1:7" x14ac:dyDescent="0.4">
      <c r="A3996">
        <v>95</v>
      </c>
      <c r="B3996" t="s">
        <v>266</v>
      </c>
      <c r="C3996" s="10">
        <v>2.5099999999999998</v>
      </c>
      <c r="D3996" s="10">
        <v>0.11</v>
      </c>
      <c r="E3996" s="16">
        <v>4.58</v>
      </c>
      <c r="F3996">
        <v>4702698</v>
      </c>
      <c r="G3996" s="5">
        <v>43133</v>
      </c>
    </row>
    <row r="3997" spans="1:7" x14ac:dyDescent="0.4">
      <c r="A3997">
        <v>96</v>
      </c>
      <c r="B3997" t="s">
        <v>1874</v>
      </c>
      <c r="C3997" s="10">
        <v>21.48</v>
      </c>
      <c r="D3997" s="10">
        <v>0.94</v>
      </c>
      <c r="E3997" s="16">
        <v>4.58</v>
      </c>
      <c r="F3997">
        <v>3973</v>
      </c>
      <c r="G3997" s="5">
        <v>43133</v>
      </c>
    </row>
    <row r="3998" spans="1:7" x14ac:dyDescent="0.4">
      <c r="A3998">
        <v>97</v>
      </c>
      <c r="B3998" t="s">
        <v>671</v>
      </c>
      <c r="C3998" s="10">
        <v>8.32</v>
      </c>
      <c r="D3998" s="10">
        <v>0.36</v>
      </c>
      <c r="E3998" s="16">
        <v>4.5199999999999996</v>
      </c>
      <c r="F3998">
        <v>728027</v>
      </c>
      <c r="G3998" s="5">
        <v>43133</v>
      </c>
    </row>
    <row r="3999" spans="1:7" x14ac:dyDescent="0.4">
      <c r="A3999">
        <v>98</v>
      </c>
      <c r="B3999" t="s">
        <v>670</v>
      </c>
      <c r="C3999" s="10">
        <v>10.87</v>
      </c>
      <c r="D3999" s="10">
        <v>0.47</v>
      </c>
      <c r="E3999" s="16">
        <v>4.5199999999999996</v>
      </c>
      <c r="F3999">
        <v>6601042</v>
      </c>
      <c r="G3999" s="5">
        <v>43133</v>
      </c>
    </row>
    <row r="4000" spans="1:7" x14ac:dyDescent="0.4">
      <c r="A4000">
        <v>99</v>
      </c>
      <c r="B4000" t="s">
        <v>1855</v>
      </c>
      <c r="C4000" s="10">
        <v>3.02</v>
      </c>
      <c r="D4000" s="10">
        <v>0.13</v>
      </c>
      <c r="E4000" s="16">
        <v>4.5</v>
      </c>
      <c r="F4000">
        <v>180065</v>
      </c>
      <c r="G4000" s="5">
        <v>43133</v>
      </c>
    </row>
    <row r="4001" spans="1:7" x14ac:dyDescent="0.4">
      <c r="A4001">
        <v>100</v>
      </c>
      <c r="B4001" t="s">
        <v>1210</v>
      </c>
      <c r="C4001" s="10">
        <v>8.65</v>
      </c>
      <c r="D4001" s="10">
        <v>0.37</v>
      </c>
      <c r="E4001" s="16">
        <v>4.47</v>
      </c>
      <c r="F4001">
        <v>746358</v>
      </c>
      <c r="G4001" s="5">
        <v>43133</v>
      </c>
    </row>
    <row r="4002" spans="1:7" x14ac:dyDescent="0.4">
      <c r="A4002">
        <v>1</v>
      </c>
      <c r="B4002" t="s">
        <v>1282</v>
      </c>
      <c r="C4002" s="10">
        <v>10.06</v>
      </c>
      <c r="D4002" s="10">
        <v>4.16</v>
      </c>
      <c r="E4002" s="16">
        <v>70.510000000000005</v>
      </c>
      <c r="F4002">
        <v>21759353</v>
      </c>
      <c r="G4002" s="5">
        <v>43131</v>
      </c>
    </row>
    <row r="4003" spans="1:7" x14ac:dyDescent="0.4">
      <c r="A4003">
        <v>2</v>
      </c>
      <c r="B4003" t="s">
        <v>1299</v>
      </c>
      <c r="C4003" s="10">
        <v>2.89</v>
      </c>
      <c r="D4003" s="10">
        <v>0.68</v>
      </c>
      <c r="E4003" s="16">
        <v>30.77</v>
      </c>
      <c r="F4003">
        <v>3763829</v>
      </c>
      <c r="G4003" s="5">
        <v>43131</v>
      </c>
    </row>
    <row r="4004" spans="1:7" x14ac:dyDescent="0.4">
      <c r="A4004">
        <v>3</v>
      </c>
      <c r="B4004" t="s">
        <v>1300</v>
      </c>
      <c r="C4004" s="10">
        <v>68.150000000000006</v>
      </c>
      <c r="D4004" s="10">
        <v>14.83</v>
      </c>
      <c r="E4004" s="16">
        <v>27.81</v>
      </c>
      <c r="F4004">
        <v>13370288</v>
      </c>
      <c r="G4004" s="5">
        <v>43131</v>
      </c>
    </row>
    <row r="4005" spans="1:7" x14ac:dyDescent="0.4">
      <c r="A4005">
        <v>4</v>
      </c>
      <c r="B4005" t="s">
        <v>1301</v>
      </c>
      <c r="C4005" s="10">
        <v>6.87</v>
      </c>
      <c r="D4005" s="10">
        <v>1.2</v>
      </c>
      <c r="E4005" s="16">
        <v>21.16</v>
      </c>
      <c r="F4005">
        <v>543148</v>
      </c>
      <c r="G4005" s="5">
        <v>43131</v>
      </c>
    </row>
    <row r="4006" spans="1:7" x14ac:dyDescent="0.4">
      <c r="A4006">
        <v>5</v>
      </c>
      <c r="B4006" t="s">
        <v>232</v>
      </c>
      <c r="C4006" s="10">
        <v>3.4</v>
      </c>
      <c r="D4006" s="10">
        <v>0.56999999999999995</v>
      </c>
      <c r="E4006" s="16">
        <v>20.14</v>
      </c>
      <c r="F4006">
        <v>5026434</v>
      </c>
      <c r="G4006" s="5">
        <v>43131</v>
      </c>
    </row>
    <row r="4007" spans="1:7" x14ac:dyDescent="0.4">
      <c r="A4007">
        <v>6</v>
      </c>
      <c r="B4007" t="s">
        <v>1136</v>
      </c>
      <c r="C4007" s="10">
        <v>25.39</v>
      </c>
      <c r="D4007" s="10">
        <v>4.12</v>
      </c>
      <c r="E4007" s="16">
        <v>19.37</v>
      </c>
      <c r="F4007">
        <v>557600</v>
      </c>
      <c r="G4007" s="5">
        <v>43131</v>
      </c>
    </row>
    <row r="4008" spans="1:7" x14ac:dyDescent="0.4">
      <c r="A4008">
        <v>7</v>
      </c>
      <c r="B4008" t="s">
        <v>1302</v>
      </c>
      <c r="C4008" s="10">
        <v>5.55</v>
      </c>
      <c r="D4008" s="10">
        <v>0.9</v>
      </c>
      <c r="E4008" s="16">
        <v>19.350000000000001</v>
      </c>
      <c r="F4008">
        <v>382831</v>
      </c>
      <c r="G4008" s="5">
        <v>43131</v>
      </c>
    </row>
    <row r="4009" spans="1:7" x14ac:dyDescent="0.4">
      <c r="A4009">
        <v>8</v>
      </c>
      <c r="B4009" t="s">
        <v>280</v>
      </c>
      <c r="C4009" s="10">
        <v>22</v>
      </c>
      <c r="D4009" s="10">
        <v>3.55</v>
      </c>
      <c r="E4009" s="16">
        <v>19.239999999999998</v>
      </c>
      <c r="F4009">
        <v>27552928</v>
      </c>
      <c r="G4009" s="5">
        <v>43131</v>
      </c>
    </row>
    <row r="4010" spans="1:7" x14ac:dyDescent="0.4">
      <c r="A4010">
        <v>9</v>
      </c>
      <c r="B4010" t="s">
        <v>1303</v>
      </c>
      <c r="C4010" s="10">
        <v>21.45</v>
      </c>
      <c r="D4010" s="10">
        <v>3.35</v>
      </c>
      <c r="E4010" s="16">
        <v>18.510000000000002</v>
      </c>
      <c r="F4010">
        <v>5456109</v>
      </c>
      <c r="G4010" s="5">
        <v>43131</v>
      </c>
    </row>
    <row r="4011" spans="1:7" x14ac:dyDescent="0.4">
      <c r="A4011">
        <v>10</v>
      </c>
      <c r="B4011" t="s">
        <v>153</v>
      </c>
      <c r="C4011" s="10">
        <v>5.05</v>
      </c>
      <c r="D4011" s="10">
        <v>0.73</v>
      </c>
      <c r="E4011" s="16">
        <v>16.920000000000002</v>
      </c>
      <c r="F4011">
        <v>158012</v>
      </c>
      <c r="G4011" s="5">
        <v>43131</v>
      </c>
    </row>
    <row r="4012" spans="1:7" x14ac:dyDescent="0.4">
      <c r="A4012">
        <v>11</v>
      </c>
      <c r="B4012" t="s">
        <v>892</v>
      </c>
      <c r="C4012" s="10">
        <v>11</v>
      </c>
      <c r="D4012" s="10">
        <v>1.45</v>
      </c>
      <c r="E4012" s="16">
        <v>15.18</v>
      </c>
      <c r="F4012">
        <v>544481</v>
      </c>
      <c r="G4012" s="5">
        <v>43131</v>
      </c>
    </row>
    <row r="4013" spans="1:7" x14ac:dyDescent="0.4">
      <c r="A4013">
        <v>12</v>
      </c>
      <c r="B4013" t="s">
        <v>287</v>
      </c>
      <c r="C4013" s="10">
        <v>5.35</v>
      </c>
      <c r="D4013" s="10">
        <v>0.67</v>
      </c>
      <c r="E4013" s="16">
        <v>14.31</v>
      </c>
      <c r="F4013">
        <v>1929716</v>
      </c>
      <c r="G4013" s="5">
        <v>43131</v>
      </c>
    </row>
    <row r="4014" spans="1:7" x14ac:dyDescent="0.4">
      <c r="A4014">
        <v>13</v>
      </c>
      <c r="B4014" t="s">
        <v>706</v>
      </c>
      <c r="C4014" s="10">
        <v>25.62</v>
      </c>
      <c r="D4014" s="10">
        <v>3.12</v>
      </c>
      <c r="E4014" s="16">
        <v>13.87</v>
      </c>
      <c r="F4014">
        <v>669084</v>
      </c>
      <c r="G4014" s="5">
        <v>43131</v>
      </c>
    </row>
    <row r="4015" spans="1:7" x14ac:dyDescent="0.4">
      <c r="A4015">
        <v>14</v>
      </c>
      <c r="B4015" t="s">
        <v>1304</v>
      </c>
      <c r="C4015" s="10">
        <v>27.28</v>
      </c>
      <c r="D4015" s="10">
        <v>3.28</v>
      </c>
      <c r="E4015" s="16">
        <v>13.67</v>
      </c>
      <c r="F4015">
        <v>3730624</v>
      </c>
      <c r="G4015" s="5">
        <v>43131</v>
      </c>
    </row>
    <row r="4016" spans="1:7" x14ac:dyDescent="0.4">
      <c r="A4016">
        <v>15</v>
      </c>
      <c r="B4016" t="s">
        <v>1305</v>
      </c>
      <c r="C4016" s="10">
        <v>117</v>
      </c>
      <c r="D4016" s="10">
        <v>13.85</v>
      </c>
      <c r="E4016" s="16">
        <v>13.43</v>
      </c>
      <c r="F4016">
        <v>239816</v>
      </c>
      <c r="G4016" s="5">
        <v>43131</v>
      </c>
    </row>
    <row r="4017" spans="1:7" x14ac:dyDescent="0.4">
      <c r="A4017">
        <v>16</v>
      </c>
      <c r="B4017" t="s">
        <v>1306</v>
      </c>
      <c r="C4017" s="10">
        <v>36.39</v>
      </c>
      <c r="D4017" s="10">
        <v>4.1500000000000004</v>
      </c>
      <c r="E4017" s="16">
        <v>12.87</v>
      </c>
      <c r="F4017">
        <v>275702</v>
      </c>
      <c r="G4017" s="5">
        <v>43131</v>
      </c>
    </row>
    <row r="4018" spans="1:7" x14ac:dyDescent="0.4">
      <c r="A4018">
        <v>17</v>
      </c>
      <c r="B4018" t="s">
        <v>123</v>
      </c>
      <c r="C4018" s="10">
        <v>5.5</v>
      </c>
      <c r="D4018" s="10">
        <v>0.6</v>
      </c>
      <c r="E4018" s="16">
        <v>12.24</v>
      </c>
      <c r="F4018">
        <v>250604</v>
      </c>
      <c r="G4018" s="5">
        <v>43131</v>
      </c>
    </row>
    <row r="4019" spans="1:7" x14ac:dyDescent="0.4">
      <c r="A4019">
        <v>18</v>
      </c>
      <c r="B4019" t="s">
        <v>662</v>
      </c>
      <c r="C4019" s="10">
        <v>89.54</v>
      </c>
      <c r="D4019" s="10">
        <v>9.5500000000000007</v>
      </c>
      <c r="E4019" s="16">
        <v>11.94</v>
      </c>
      <c r="F4019">
        <v>570640</v>
      </c>
      <c r="G4019" s="5">
        <v>43131</v>
      </c>
    </row>
    <row r="4020" spans="1:7" x14ac:dyDescent="0.4">
      <c r="A4020">
        <v>19</v>
      </c>
      <c r="B4020" t="s">
        <v>1307</v>
      </c>
      <c r="C4020" s="10">
        <v>14.11</v>
      </c>
      <c r="D4020" s="10">
        <v>1.49</v>
      </c>
      <c r="E4020" s="16">
        <v>11.81</v>
      </c>
      <c r="F4020">
        <v>9510510</v>
      </c>
      <c r="G4020" s="5">
        <v>43131</v>
      </c>
    </row>
    <row r="4021" spans="1:7" x14ac:dyDescent="0.4">
      <c r="A4021">
        <v>20</v>
      </c>
      <c r="B4021" t="s">
        <v>1298</v>
      </c>
      <c r="C4021" s="10">
        <v>11.4</v>
      </c>
      <c r="D4021" s="10">
        <v>1.2</v>
      </c>
      <c r="E4021" s="16">
        <v>11.76</v>
      </c>
      <c r="F4021">
        <v>801561</v>
      </c>
      <c r="G4021" s="5">
        <v>43131</v>
      </c>
    </row>
    <row r="4022" spans="1:7" x14ac:dyDescent="0.4">
      <c r="A4022">
        <v>21</v>
      </c>
      <c r="B4022" t="s">
        <v>1120</v>
      </c>
      <c r="C4022" s="10">
        <v>12.3</v>
      </c>
      <c r="D4022" s="10">
        <v>1.25</v>
      </c>
      <c r="E4022" s="16">
        <v>11.31</v>
      </c>
      <c r="F4022">
        <v>764165</v>
      </c>
      <c r="G4022" s="5">
        <v>43131</v>
      </c>
    </row>
    <row r="4023" spans="1:7" x14ac:dyDescent="0.4">
      <c r="A4023">
        <v>22</v>
      </c>
      <c r="B4023" t="s">
        <v>120</v>
      </c>
      <c r="C4023" s="10">
        <v>9.2200000000000006</v>
      </c>
      <c r="D4023" s="10">
        <v>0.93</v>
      </c>
      <c r="E4023" s="16">
        <v>11.22</v>
      </c>
      <c r="F4023">
        <v>67251</v>
      </c>
      <c r="G4023" s="5">
        <v>43131</v>
      </c>
    </row>
    <row r="4024" spans="1:7" x14ac:dyDescent="0.4">
      <c r="A4024">
        <v>23</v>
      </c>
      <c r="B4024" t="s">
        <v>1308</v>
      </c>
      <c r="C4024" s="10">
        <v>3.57</v>
      </c>
      <c r="D4024" s="10">
        <v>0.36</v>
      </c>
      <c r="E4024" s="16">
        <v>11.21</v>
      </c>
      <c r="F4024">
        <v>52652</v>
      </c>
      <c r="G4024" s="5">
        <v>43131</v>
      </c>
    </row>
    <row r="4025" spans="1:7" x14ac:dyDescent="0.4">
      <c r="A4025">
        <v>24</v>
      </c>
      <c r="B4025" t="s">
        <v>1309</v>
      </c>
      <c r="C4025" s="10">
        <v>76.569999999999993</v>
      </c>
      <c r="D4025" s="10">
        <v>7.69</v>
      </c>
      <c r="E4025" s="16">
        <v>11.16</v>
      </c>
      <c r="F4025">
        <v>1003266</v>
      </c>
      <c r="G4025" s="5">
        <v>43131</v>
      </c>
    </row>
    <row r="4026" spans="1:7" x14ac:dyDescent="0.4">
      <c r="A4026">
        <v>25</v>
      </c>
      <c r="B4026" t="s">
        <v>1310</v>
      </c>
      <c r="C4026" s="10">
        <v>3.21</v>
      </c>
      <c r="D4026" s="10">
        <v>0.31</v>
      </c>
      <c r="E4026" s="16">
        <v>10.69</v>
      </c>
      <c r="F4026">
        <v>3598738</v>
      </c>
      <c r="G4026" s="5">
        <v>43131</v>
      </c>
    </row>
    <row r="4027" spans="1:7" x14ac:dyDescent="0.4">
      <c r="A4027">
        <v>26</v>
      </c>
      <c r="B4027" t="s">
        <v>1311</v>
      </c>
      <c r="C4027" s="10">
        <v>33.92</v>
      </c>
      <c r="D4027" s="10">
        <v>3.24</v>
      </c>
      <c r="E4027" s="16">
        <v>10.56</v>
      </c>
      <c r="F4027">
        <v>1502783</v>
      </c>
      <c r="G4027" s="5">
        <v>43131</v>
      </c>
    </row>
    <row r="4028" spans="1:7" x14ac:dyDescent="0.4">
      <c r="A4028">
        <v>27</v>
      </c>
      <c r="B4028" t="s">
        <v>897</v>
      </c>
      <c r="C4028" s="10">
        <v>58.99</v>
      </c>
      <c r="D4028" s="10">
        <v>5.57</v>
      </c>
      <c r="E4028" s="16">
        <v>10.43</v>
      </c>
      <c r="F4028">
        <v>508640</v>
      </c>
      <c r="G4028" s="5">
        <v>43131</v>
      </c>
    </row>
    <row r="4029" spans="1:7" x14ac:dyDescent="0.4">
      <c r="A4029">
        <v>28</v>
      </c>
      <c r="B4029" t="s">
        <v>1066</v>
      </c>
      <c r="C4029" s="10">
        <v>9.65</v>
      </c>
      <c r="D4029" s="10">
        <v>0.91</v>
      </c>
      <c r="E4029" s="16">
        <v>10.41</v>
      </c>
      <c r="F4029">
        <v>3773817</v>
      </c>
      <c r="G4029" s="5">
        <v>43131</v>
      </c>
    </row>
    <row r="4030" spans="1:7" x14ac:dyDescent="0.4">
      <c r="A4030">
        <v>29</v>
      </c>
      <c r="B4030" t="s">
        <v>787</v>
      </c>
      <c r="C4030" s="10">
        <v>9.18</v>
      </c>
      <c r="D4030" s="10">
        <v>0.86</v>
      </c>
      <c r="E4030" s="16">
        <v>10.34</v>
      </c>
      <c r="F4030">
        <v>8656410</v>
      </c>
      <c r="G4030" s="5">
        <v>43131</v>
      </c>
    </row>
    <row r="4031" spans="1:7" x14ac:dyDescent="0.4">
      <c r="A4031">
        <v>30</v>
      </c>
      <c r="B4031" t="s">
        <v>930</v>
      </c>
      <c r="C4031" s="10">
        <v>19.04</v>
      </c>
      <c r="D4031" s="10">
        <v>1.76</v>
      </c>
      <c r="E4031" s="16">
        <v>10.19</v>
      </c>
      <c r="F4031">
        <v>909720</v>
      </c>
      <c r="G4031" s="5">
        <v>43131</v>
      </c>
    </row>
    <row r="4032" spans="1:7" x14ac:dyDescent="0.4">
      <c r="A4032">
        <v>31</v>
      </c>
      <c r="B4032" t="s">
        <v>359</v>
      </c>
      <c r="C4032" s="10">
        <v>9.8000000000000007</v>
      </c>
      <c r="D4032" s="10">
        <v>0.9</v>
      </c>
      <c r="E4032" s="16">
        <v>10.11</v>
      </c>
      <c r="F4032">
        <v>86269</v>
      </c>
      <c r="G4032" s="5">
        <v>43131</v>
      </c>
    </row>
    <row r="4033" spans="1:7" x14ac:dyDescent="0.4">
      <c r="A4033">
        <v>32</v>
      </c>
      <c r="B4033" t="s">
        <v>226</v>
      </c>
      <c r="C4033" s="10">
        <v>3.1</v>
      </c>
      <c r="D4033" s="10">
        <v>0.28000000000000003</v>
      </c>
      <c r="E4033" s="16">
        <v>9.93</v>
      </c>
      <c r="F4033">
        <v>258591</v>
      </c>
      <c r="G4033" s="5">
        <v>43131</v>
      </c>
    </row>
    <row r="4034" spans="1:7" x14ac:dyDescent="0.4">
      <c r="A4034">
        <v>33</v>
      </c>
      <c r="B4034" t="s">
        <v>1312</v>
      </c>
      <c r="C4034" s="10">
        <v>49.79</v>
      </c>
      <c r="D4034" s="10">
        <v>4.45</v>
      </c>
      <c r="E4034" s="16">
        <v>9.81</v>
      </c>
      <c r="F4034">
        <v>9542102</v>
      </c>
      <c r="G4034" s="5">
        <v>43131</v>
      </c>
    </row>
    <row r="4035" spans="1:7" x14ac:dyDescent="0.4">
      <c r="A4035">
        <v>34</v>
      </c>
      <c r="B4035" t="s">
        <v>909</v>
      </c>
      <c r="C4035" s="10">
        <v>58.22</v>
      </c>
      <c r="D4035" s="10">
        <v>5.19</v>
      </c>
      <c r="E4035" s="16">
        <v>9.7899999999999991</v>
      </c>
      <c r="F4035">
        <v>2420652</v>
      </c>
      <c r="G4035" s="5">
        <v>43131</v>
      </c>
    </row>
    <row r="4036" spans="1:7" x14ac:dyDescent="0.4">
      <c r="A4036">
        <v>35</v>
      </c>
      <c r="B4036" t="s">
        <v>28</v>
      </c>
      <c r="C4036" s="10">
        <v>7.9</v>
      </c>
      <c r="D4036" s="10">
        <v>0.7</v>
      </c>
      <c r="E4036" s="16">
        <v>9.7200000000000006</v>
      </c>
      <c r="F4036">
        <v>146606</v>
      </c>
      <c r="G4036" s="5">
        <v>43131</v>
      </c>
    </row>
    <row r="4037" spans="1:7" x14ac:dyDescent="0.4">
      <c r="A4037">
        <v>36</v>
      </c>
      <c r="B4037" t="s">
        <v>550</v>
      </c>
      <c r="C4037" s="10">
        <v>135.75</v>
      </c>
      <c r="D4037" s="10">
        <v>12</v>
      </c>
      <c r="E4037" s="16">
        <v>9.6999999999999993</v>
      </c>
      <c r="F4037">
        <v>457559</v>
      </c>
      <c r="G4037" s="5">
        <v>43131</v>
      </c>
    </row>
    <row r="4038" spans="1:7" x14ac:dyDescent="0.4">
      <c r="A4038">
        <v>37</v>
      </c>
      <c r="B4038" t="s">
        <v>1313</v>
      </c>
      <c r="C4038" s="10">
        <v>25.83</v>
      </c>
      <c r="D4038" s="10">
        <v>2.2400000000000002</v>
      </c>
      <c r="E4038" s="16">
        <v>9.5</v>
      </c>
      <c r="F4038">
        <v>3638470</v>
      </c>
      <c r="G4038" s="5">
        <v>43131</v>
      </c>
    </row>
    <row r="4039" spans="1:7" x14ac:dyDescent="0.4">
      <c r="A4039">
        <v>38</v>
      </c>
      <c r="B4039" t="s">
        <v>1314</v>
      </c>
      <c r="C4039" s="10">
        <v>24.4</v>
      </c>
      <c r="D4039" s="10">
        <v>2.0499999999999998</v>
      </c>
      <c r="E4039" s="16">
        <v>9.17</v>
      </c>
      <c r="F4039">
        <v>174689</v>
      </c>
      <c r="G4039" s="5">
        <v>43131</v>
      </c>
    </row>
    <row r="4040" spans="1:7" x14ac:dyDescent="0.4">
      <c r="A4040">
        <v>39</v>
      </c>
      <c r="B4040" t="s">
        <v>1081</v>
      </c>
      <c r="C4040" s="10">
        <v>4.3499999999999996</v>
      </c>
      <c r="D4040" s="10">
        <v>0.35</v>
      </c>
      <c r="E4040" s="16">
        <v>8.75</v>
      </c>
      <c r="F4040">
        <v>30207</v>
      </c>
      <c r="G4040" s="5">
        <v>43131</v>
      </c>
    </row>
    <row r="4041" spans="1:7" x14ac:dyDescent="0.4">
      <c r="A4041">
        <v>40</v>
      </c>
      <c r="B4041" t="s">
        <v>1315</v>
      </c>
      <c r="C4041" s="10">
        <v>3.06</v>
      </c>
      <c r="D4041" s="10">
        <v>0.24</v>
      </c>
      <c r="E4041" s="16">
        <v>8.51</v>
      </c>
      <c r="F4041">
        <v>506284</v>
      </c>
      <c r="G4041" s="5">
        <v>43131</v>
      </c>
    </row>
    <row r="4042" spans="1:7" x14ac:dyDescent="0.4">
      <c r="A4042">
        <v>41</v>
      </c>
      <c r="B4042" t="s">
        <v>1316</v>
      </c>
      <c r="C4042" s="10">
        <v>26.96</v>
      </c>
      <c r="D4042" s="10">
        <v>2.11</v>
      </c>
      <c r="E4042" s="16">
        <v>8.49</v>
      </c>
      <c r="F4042">
        <v>376848</v>
      </c>
      <c r="G4042" s="5">
        <v>43131</v>
      </c>
    </row>
    <row r="4043" spans="1:7" x14ac:dyDescent="0.4">
      <c r="A4043">
        <v>42</v>
      </c>
      <c r="B4043" t="s">
        <v>1317</v>
      </c>
      <c r="C4043" s="10">
        <v>27.66</v>
      </c>
      <c r="D4043" s="10">
        <v>2.14</v>
      </c>
      <c r="E4043" s="16">
        <v>8.4</v>
      </c>
      <c r="F4043">
        <v>2066</v>
      </c>
      <c r="G4043" s="5">
        <v>43131</v>
      </c>
    </row>
    <row r="4044" spans="1:7" x14ac:dyDescent="0.4">
      <c r="A4044">
        <v>43</v>
      </c>
      <c r="B4044" t="s">
        <v>248</v>
      </c>
      <c r="C4044" s="10">
        <v>2.2000000000000002</v>
      </c>
      <c r="D4044" s="10">
        <v>0.17</v>
      </c>
      <c r="E4044" s="16">
        <v>8.3699999999999992</v>
      </c>
      <c r="F4044">
        <v>635919</v>
      </c>
      <c r="G4044" s="5">
        <v>43131</v>
      </c>
    </row>
    <row r="4045" spans="1:7" x14ac:dyDescent="0.4">
      <c r="A4045">
        <v>44</v>
      </c>
      <c r="B4045" t="s">
        <v>577</v>
      </c>
      <c r="C4045" s="10">
        <v>5.23</v>
      </c>
      <c r="D4045" s="10">
        <v>0.4</v>
      </c>
      <c r="E4045" s="16">
        <v>8.3699999999999992</v>
      </c>
      <c r="F4045">
        <v>57216</v>
      </c>
      <c r="G4045" s="5">
        <v>43131</v>
      </c>
    </row>
    <row r="4046" spans="1:7" x14ac:dyDescent="0.4">
      <c r="A4046">
        <v>45</v>
      </c>
      <c r="B4046" t="s">
        <v>549</v>
      </c>
      <c r="C4046" s="10">
        <v>12.59</v>
      </c>
      <c r="D4046" s="10">
        <v>0.97</v>
      </c>
      <c r="E4046" s="16">
        <v>8.35</v>
      </c>
      <c r="F4046">
        <v>2983</v>
      </c>
      <c r="G4046" s="5">
        <v>43131</v>
      </c>
    </row>
    <row r="4047" spans="1:7" x14ac:dyDescent="0.4">
      <c r="A4047">
        <v>46</v>
      </c>
      <c r="B4047" t="s">
        <v>1318</v>
      </c>
      <c r="C4047" s="10">
        <v>35.97</v>
      </c>
      <c r="D4047" s="10">
        <v>2.61</v>
      </c>
      <c r="E4047" s="16">
        <v>7.82</v>
      </c>
      <c r="F4047">
        <v>3998510</v>
      </c>
      <c r="G4047" s="5">
        <v>43131</v>
      </c>
    </row>
    <row r="4048" spans="1:7" x14ac:dyDescent="0.4">
      <c r="A4048">
        <v>47</v>
      </c>
      <c r="B4048" t="s">
        <v>508</v>
      </c>
      <c r="C4048" s="10">
        <v>3.45</v>
      </c>
      <c r="D4048" s="10">
        <v>0.25</v>
      </c>
      <c r="E4048" s="16">
        <v>7.81</v>
      </c>
      <c r="F4048">
        <v>6188</v>
      </c>
      <c r="G4048" s="5">
        <v>43131</v>
      </c>
    </row>
    <row r="4049" spans="1:7" x14ac:dyDescent="0.4">
      <c r="A4049">
        <v>48</v>
      </c>
      <c r="B4049" t="s">
        <v>173</v>
      </c>
      <c r="C4049" s="10">
        <v>6.25</v>
      </c>
      <c r="D4049" s="10">
        <v>0.45</v>
      </c>
      <c r="E4049" s="16">
        <v>7.76</v>
      </c>
      <c r="F4049">
        <v>355928</v>
      </c>
      <c r="G4049" s="5">
        <v>43131</v>
      </c>
    </row>
    <row r="4050" spans="1:7" x14ac:dyDescent="0.4">
      <c r="A4050">
        <v>49</v>
      </c>
      <c r="B4050" t="s">
        <v>249</v>
      </c>
      <c r="C4050" s="10">
        <v>8.68</v>
      </c>
      <c r="D4050" s="10">
        <v>0.6</v>
      </c>
      <c r="E4050" s="16">
        <v>7.5</v>
      </c>
      <c r="F4050">
        <v>73387</v>
      </c>
      <c r="G4050" s="5">
        <v>43131</v>
      </c>
    </row>
    <row r="4051" spans="1:7" x14ac:dyDescent="0.4">
      <c r="A4051">
        <v>50</v>
      </c>
      <c r="B4051" t="s">
        <v>1319</v>
      </c>
      <c r="C4051" s="10">
        <v>49.94</v>
      </c>
      <c r="D4051" s="10">
        <v>3.43</v>
      </c>
      <c r="E4051" s="16">
        <v>7.37</v>
      </c>
      <c r="F4051">
        <v>1350287</v>
      </c>
      <c r="G4051" s="5">
        <v>43131</v>
      </c>
    </row>
    <row r="4052" spans="1:7" x14ac:dyDescent="0.4">
      <c r="A4052">
        <v>51</v>
      </c>
      <c r="B4052" t="s">
        <v>1320</v>
      </c>
      <c r="C4052" s="10">
        <v>3.7</v>
      </c>
      <c r="D4052" s="10">
        <v>0.25</v>
      </c>
      <c r="E4052" s="16">
        <v>7.25</v>
      </c>
      <c r="F4052">
        <v>283322</v>
      </c>
      <c r="G4052" s="5">
        <v>43131</v>
      </c>
    </row>
    <row r="4053" spans="1:7" x14ac:dyDescent="0.4">
      <c r="A4053">
        <v>52</v>
      </c>
      <c r="B4053" t="s">
        <v>1140</v>
      </c>
      <c r="C4053" s="10">
        <v>4.74</v>
      </c>
      <c r="D4053" s="10">
        <v>0.32</v>
      </c>
      <c r="E4053" s="16">
        <v>7.24</v>
      </c>
      <c r="F4053">
        <v>1346461</v>
      </c>
      <c r="G4053" s="5">
        <v>43131</v>
      </c>
    </row>
    <row r="4054" spans="1:7" x14ac:dyDescent="0.4">
      <c r="A4054">
        <v>53</v>
      </c>
      <c r="B4054" t="s">
        <v>1321</v>
      </c>
      <c r="C4054" s="10">
        <v>5.63</v>
      </c>
      <c r="D4054" s="10">
        <v>0.38</v>
      </c>
      <c r="E4054" s="16">
        <v>7.24</v>
      </c>
      <c r="F4054">
        <v>78523</v>
      </c>
      <c r="G4054" s="5">
        <v>43131</v>
      </c>
    </row>
    <row r="4055" spans="1:7" x14ac:dyDescent="0.4">
      <c r="A4055">
        <v>54</v>
      </c>
      <c r="B4055" t="s">
        <v>569</v>
      </c>
      <c r="C4055" s="10">
        <v>3.44</v>
      </c>
      <c r="D4055" s="10">
        <v>0.23</v>
      </c>
      <c r="E4055" s="16">
        <v>7.17</v>
      </c>
      <c r="F4055">
        <v>153624</v>
      </c>
      <c r="G4055" s="5">
        <v>43131</v>
      </c>
    </row>
    <row r="4056" spans="1:7" x14ac:dyDescent="0.4">
      <c r="A4056">
        <v>55</v>
      </c>
      <c r="B4056" t="s">
        <v>1322</v>
      </c>
      <c r="C4056" s="10">
        <v>34.549999999999997</v>
      </c>
      <c r="D4056" s="10">
        <v>2.2999999999999998</v>
      </c>
      <c r="E4056" s="16">
        <v>7.13</v>
      </c>
      <c r="F4056">
        <v>1376447</v>
      </c>
      <c r="G4056" s="5">
        <v>43131</v>
      </c>
    </row>
    <row r="4057" spans="1:7" x14ac:dyDescent="0.4">
      <c r="A4057">
        <v>56</v>
      </c>
      <c r="B4057" t="s">
        <v>1323</v>
      </c>
      <c r="C4057" s="10">
        <v>126.67</v>
      </c>
      <c r="D4057" s="10">
        <v>8.36</v>
      </c>
      <c r="E4057" s="16">
        <v>7.07</v>
      </c>
      <c r="F4057">
        <v>3679531</v>
      </c>
      <c r="G4057" s="5">
        <v>43131</v>
      </c>
    </row>
    <row r="4058" spans="1:7" x14ac:dyDescent="0.4">
      <c r="A4058">
        <v>57</v>
      </c>
      <c r="B4058" t="s">
        <v>141</v>
      </c>
      <c r="C4058" s="10">
        <v>2.2999999999999998</v>
      </c>
      <c r="D4058" s="10">
        <v>0.15</v>
      </c>
      <c r="E4058" s="16">
        <v>6.98</v>
      </c>
      <c r="F4058">
        <v>41304</v>
      </c>
      <c r="G4058" s="5">
        <v>43131</v>
      </c>
    </row>
    <row r="4059" spans="1:7" x14ac:dyDescent="0.4">
      <c r="A4059">
        <v>58</v>
      </c>
      <c r="B4059" t="s">
        <v>1324</v>
      </c>
      <c r="C4059" s="10">
        <v>126.96</v>
      </c>
      <c r="D4059" s="10">
        <v>8.26</v>
      </c>
      <c r="E4059" s="16">
        <v>6.96</v>
      </c>
      <c r="F4059">
        <v>14219834</v>
      </c>
      <c r="G4059" s="5">
        <v>43131</v>
      </c>
    </row>
    <row r="4060" spans="1:7" x14ac:dyDescent="0.4">
      <c r="A4060">
        <v>59</v>
      </c>
      <c r="B4060" t="s">
        <v>477</v>
      </c>
      <c r="C4060" s="10">
        <v>3.23</v>
      </c>
      <c r="D4060" s="10">
        <v>0.21</v>
      </c>
      <c r="E4060" s="16">
        <v>6.95</v>
      </c>
      <c r="F4060">
        <v>3927509</v>
      </c>
      <c r="G4060" s="5">
        <v>43131</v>
      </c>
    </row>
    <row r="4061" spans="1:7" x14ac:dyDescent="0.4">
      <c r="A4061">
        <v>60</v>
      </c>
      <c r="B4061" t="s">
        <v>44</v>
      </c>
      <c r="C4061" s="10">
        <v>19.09</v>
      </c>
      <c r="D4061" s="10">
        <v>1.23</v>
      </c>
      <c r="E4061" s="16">
        <v>6.89</v>
      </c>
      <c r="F4061">
        <v>271309</v>
      </c>
      <c r="G4061" s="5">
        <v>43131</v>
      </c>
    </row>
    <row r="4062" spans="1:7" x14ac:dyDescent="0.4">
      <c r="A4062">
        <v>61</v>
      </c>
      <c r="B4062" t="s">
        <v>1325</v>
      </c>
      <c r="C4062" s="10">
        <v>13.74</v>
      </c>
      <c r="D4062" s="10">
        <v>0.87</v>
      </c>
      <c r="E4062" s="16">
        <v>6.76</v>
      </c>
      <c r="F4062">
        <v>139758137</v>
      </c>
      <c r="G4062" s="5">
        <v>43131</v>
      </c>
    </row>
    <row r="4063" spans="1:7" x14ac:dyDescent="0.4">
      <c r="A4063">
        <v>62</v>
      </c>
      <c r="B4063" t="s">
        <v>1288</v>
      </c>
      <c r="C4063" s="10">
        <v>2.56</v>
      </c>
      <c r="D4063" s="10">
        <v>0.16</v>
      </c>
      <c r="E4063" s="16">
        <v>6.67</v>
      </c>
      <c r="F4063">
        <v>1950182</v>
      </c>
      <c r="G4063" s="5">
        <v>43131</v>
      </c>
    </row>
    <row r="4064" spans="1:7" x14ac:dyDescent="0.4">
      <c r="A4064">
        <v>63</v>
      </c>
      <c r="B4064" t="s">
        <v>149</v>
      </c>
      <c r="C4064" s="10">
        <v>2.4</v>
      </c>
      <c r="D4064" s="10">
        <v>0.15</v>
      </c>
      <c r="E4064" s="16">
        <v>6.67</v>
      </c>
      <c r="F4064">
        <v>59987</v>
      </c>
      <c r="G4064" s="5">
        <v>43131</v>
      </c>
    </row>
    <row r="4065" spans="1:7" x14ac:dyDescent="0.4">
      <c r="A4065">
        <v>64</v>
      </c>
      <c r="B4065" t="s">
        <v>572</v>
      </c>
      <c r="C4065" s="10">
        <v>9.6</v>
      </c>
      <c r="D4065" s="10">
        <v>0.6</v>
      </c>
      <c r="E4065" s="16">
        <v>6.67</v>
      </c>
      <c r="F4065">
        <v>56359</v>
      </c>
      <c r="G4065" s="5">
        <v>43131</v>
      </c>
    </row>
    <row r="4066" spans="1:7" x14ac:dyDescent="0.4">
      <c r="A4066">
        <v>65</v>
      </c>
      <c r="B4066" t="s">
        <v>349</v>
      </c>
      <c r="C4066" s="10">
        <v>28.54</v>
      </c>
      <c r="D4066" s="10">
        <v>1.78</v>
      </c>
      <c r="E4066" s="16">
        <v>6.65</v>
      </c>
      <c r="F4066">
        <v>1214577</v>
      </c>
      <c r="G4066" s="5">
        <v>43131</v>
      </c>
    </row>
    <row r="4067" spans="1:7" x14ac:dyDescent="0.4">
      <c r="A4067">
        <v>66</v>
      </c>
      <c r="B4067" t="s">
        <v>1326</v>
      </c>
      <c r="C4067" s="10">
        <v>12.69</v>
      </c>
      <c r="D4067" s="10">
        <v>0.79</v>
      </c>
      <c r="E4067" s="16">
        <v>6.64</v>
      </c>
      <c r="F4067">
        <v>20386</v>
      </c>
      <c r="G4067" s="5">
        <v>43131</v>
      </c>
    </row>
    <row r="4068" spans="1:7" x14ac:dyDescent="0.4">
      <c r="A4068">
        <v>67</v>
      </c>
      <c r="B4068" t="s">
        <v>621</v>
      </c>
      <c r="C4068" s="10">
        <v>27.12</v>
      </c>
      <c r="D4068" s="10">
        <v>1.68</v>
      </c>
      <c r="E4068" s="16">
        <v>6.6</v>
      </c>
      <c r="F4068">
        <v>186693</v>
      </c>
      <c r="G4068" s="5">
        <v>43131</v>
      </c>
    </row>
    <row r="4069" spans="1:7" x14ac:dyDescent="0.4">
      <c r="A4069">
        <v>68</v>
      </c>
      <c r="B4069" t="s">
        <v>1327</v>
      </c>
      <c r="C4069" s="10">
        <v>2.2599999999999998</v>
      </c>
      <c r="D4069" s="10">
        <v>0.14000000000000001</v>
      </c>
      <c r="E4069" s="16">
        <v>6.6</v>
      </c>
      <c r="F4069">
        <v>2603023</v>
      </c>
      <c r="G4069" s="5">
        <v>43131</v>
      </c>
    </row>
    <row r="4070" spans="1:7" x14ac:dyDescent="0.4">
      <c r="A4070">
        <v>69</v>
      </c>
      <c r="B4070" t="s">
        <v>1328</v>
      </c>
      <c r="C4070" s="10">
        <v>47.49</v>
      </c>
      <c r="D4070" s="10">
        <v>2.94</v>
      </c>
      <c r="E4070" s="16">
        <v>6.6</v>
      </c>
      <c r="F4070">
        <v>161501</v>
      </c>
      <c r="G4070" s="5">
        <v>43131</v>
      </c>
    </row>
    <row r="4071" spans="1:7" x14ac:dyDescent="0.4">
      <c r="A4071">
        <v>70</v>
      </c>
      <c r="B4071" t="s">
        <v>712</v>
      </c>
      <c r="C4071" s="10">
        <v>2.92</v>
      </c>
      <c r="D4071" s="10">
        <v>0.18</v>
      </c>
      <c r="E4071" s="16">
        <v>6.57</v>
      </c>
      <c r="F4071">
        <v>244946</v>
      </c>
      <c r="G4071" s="5">
        <v>43131</v>
      </c>
    </row>
    <row r="4072" spans="1:7" x14ac:dyDescent="0.4">
      <c r="A4072">
        <v>71</v>
      </c>
      <c r="B4072" t="s">
        <v>1229</v>
      </c>
      <c r="C4072" s="10">
        <v>21.3</v>
      </c>
      <c r="D4072" s="10">
        <v>1.3</v>
      </c>
      <c r="E4072" s="16">
        <v>6.5</v>
      </c>
      <c r="F4072">
        <v>126192</v>
      </c>
      <c r="G4072" s="5">
        <v>43131</v>
      </c>
    </row>
    <row r="4073" spans="1:7" x14ac:dyDescent="0.4">
      <c r="A4073">
        <v>72</v>
      </c>
      <c r="B4073" t="s">
        <v>289</v>
      </c>
      <c r="C4073" s="10">
        <v>5.01</v>
      </c>
      <c r="D4073" s="10">
        <v>0.3</v>
      </c>
      <c r="E4073" s="16">
        <v>6.37</v>
      </c>
      <c r="F4073">
        <v>120019</v>
      </c>
      <c r="G4073" s="5">
        <v>43131</v>
      </c>
    </row>
    <row r="4074" spans="1:7" x14ac:dyDescent="0.4">
      <c r="A4074">
        <v>73</v>
      </c>
      <c r="B4074" t="s">
        <v>444</v>
      </c>
      <c r="C4074" s="10">
        <v>16.57</v>
      </c>
      <c r="D4074" s="10">
        <v>0.98</v>
      </c>
      <c r="E4074" s="16">
        <v>6.29</v>
      </c>
      <c r="F4074">
        <v>1824300</v>
      </c>
      <c r="G4074" s="5">
        <v>43131</v>
      </c>
    </row>
    <row r="4075" spans="1:7" x14ac:dyDescent="0.4">
      <c r="A4075">
        <v>74</v>
      </c>
      <c r="B4075" t="s">
        <v>167</v>
      </c>
      <c r="C4075" s="10">
        <v>8.84</v>
      </c>
      <c r="D4075" s="10">
        <v>0.52</v>
      </c>
      <c r="E4075" s="16">
        <v>6.25</v>
      </c>
      <c r="F4075">
        <v>101026</v>
      </c>
      <c r="G4075" s="5">
        <v>43131</v>
      </c>
    </row>
    <row r="4076" spans="1:7" x14ac:dyDescent="0.4">
      <c r="A4076">
        <v>75</v>
      </c>
      <c r="B4076" t="s">
        <v>1085</v>
      </c>
      <c r="C4076" s="10">
        <v>3</v>
      </c>
      <c r="D4076" s="10">
        <v>0.18</v>
      </c>
      <c r="E4076" s="16">
        <v>6.19</v>
      </c>
      <c r="F4076">
        <v>130463</v>
      </c>
      <c r="G4076" s="5">
        <v>43131</v>
      </c>
    </row>
    <row r="4077" spans="1:7" x14ac:dyDescent="0.4">
      <c r="A4077">
        <v>76</v>
      </c>
      <c r="B4077" t="s">
        <v>1329</v>
      </c>
      <c r="C4077" s="10">
        <v>63.5</v>
      </c>
      <c r="D4077" s="10">
        <v>3.67</v>
      </c>
      <c r="E4077" s="16">
        <v>6.13</v>
      </c>
      <c r="F4077">
        <v>6085</v>
      </c>
      <c r="G4077" s="5">
        <v>43131</v>
      </c>
    </row>
    <row r="4078" spans="1:7" x14ac:dyDescent="0.4">
      <c r="A4078">
        <v>77</v>
      </c>
      <c r="B4078" t="s">
        <v>455</v>
      </c>
      <c r="C4078" s="10">
        <v>148.41999999999999</v>
      </c>
      <c r="D4078" s="10">
        <v>8.57</v>
      </c>
      <c r="E4078" s="16">
        <v>6.13</v>
      </c>
      <c r="F4078">
        <v>448721</v>
      </c>
      <c r="G4078" s="5">
        <v>43131</v>
      </c>
    </row>
    <row r="4079" spans="1:7" x14ac:dyDescent="0.4">
      <c r="A4079">
        <v>78</v>
      </c>
      <c r="B4079" t="s">
        <v>625</v>
      </c>
      <c r="C4079" s="10">
        <v>36.799999999999997</v>
      </c>
      <c r="D4079" s="10">
        <v>2.0299999999999998</v>
      </c>
      <c r="E4079" s="16">
        <v>5.84</v>
      </c>
      <c r="F4079">
        <v>278145</v>
      </c>
      <c r="G4079" s="5">
        <v>43131</v>
      </c>
    </row>
    <row r="4080" spans="1:7" x14ac:dyDescent="0.4">
      <c r="A4080">
        <v>79</v>
      </c>
      <c r="B4080" t="s">
        <v>465</v>
      </c>
      <c r="C4080" s="10">
        <v>9.11</v>
      </c>
      <c r="D4080" s="10">
        <v>0.49</v>
      </c>
      <c r="E4080" s="16">
        <v>5.68</v>
      </c>
      <c r="F4080">
        <v>48301</v>
      </c>
      <c r="G4080" s="5">
        <v>43131</v>
      </c>
    </row>
    <row r="4081" spans="1:7" x14ac:dyDescent="0.4">
      <c r="A4081">
        <v>80</v>
      </c>
      <c r="B4081" t="s">
        <v>1330</v>
      </c>
      <c r="C4081" s="10">
        <v>2.98</v>
      </c>
      <c r="D4081" s="10">
        <v>0.16</v>
      </c>
      <c r="E4081" s="16">
        <v>5.67</v>
      </c>
      <c r="F4081">
        <v>857057</v>
      </c>
      <c r="G4081" s="5">
        <v>43131</v>
      </c>
    </row>
    <row r="4082" spans="1:7" x14ac:dyDescent="0.4">
      <c r="A4082">
        <v>81</v>
      </c>
      <c r="B4082" t="s">
        <v>379</v>
      </c>
      <c r="C4082" s="10">
        <v>5.79</v>
      </c>
      <c r="D4082" s="10">
        <v>0.31</v>
      </c>
      <c r="E4082" s="16">
        <v>5.66</v>
      </c>
      <c r="F4082">
        <v>263813</v>
      </c>
      <c r="G4082" s="5">
        <v>43131</v>
      </c>
    </row>
    <row r="4083" spans="1:7" x14ac:dyDescent="0.4">
      <c r="A4083">
        <v>82</v>
      </c>
      <c r="B4083" t="s">
        <v>200</v>
      </c>
      <c r="C4083" s="10">
        <v>6.76</v>
      </c>
      <c r="D4083" s="10">
        <v>0.36</v>
      </c>
      <c r="E4083" s="16">
        <v>5.62</v>
      </c>
      <c r="F4083">
        <v>255551</v>
      </c>
      <c r="G4083" s="5">
        <v>43131</v>
      </c>
    </row>
    <row r="4084" spans="1:7" x14ac:dyDescent="0.4">
      <c r="A4084">
        <v>83</v>
      </c>
      <c r="B4084" t="s">
        <v>1331</v>
      </c>
      <c r="C4084" s="10">
        <v>19.53</v>
      </c>
      <c r="D4084" s="10">
        <v>1.03</v>
      </c>
      <c r="E4084" s="16">
        <v>5.58</v>
      </c>
      <c r="F4084">
        <v>3747</v>
      </c>
      <c r="G4084" s="5">
        <v>43131</v>
      </c>
    </row>
    <row r="4085" spans="1:7" x14ac:dyDescent="0.4">
      <c r="A4085">
        <v>84</v>
      </c>
      <c r="B4085" t="s">
        <v>127</v>
      </c>
      <c r="C4085" s="10">
        <v>13.98</v>
      </c>
      <c r="D4085" s="10">
        <v>0.73</v>
      </c>
      <c r="E4085" s="16">
        <v>5.51</v>
      </c>
      <c r="F4085">
        <v>14487</v>
      </c>
      <c r="G4085" s="5">
        <v>43131</v>
      </c>
    </row>
    <row r="4086" spans="1:7" x14ac:dyDescent="0.4">
      <c r="A4086">
        <v>85</v>
      </c>
      <c r="B4086" t="s">
        <v>416</v>
      </c>
      <c r="C4086" s="10">
        <v>2.3199999999999998</v>
      </c>
      <c r="D4086" s="10">
        <v>0.12</v>
      </c>
      <c r="E4086" s="16">
        <v>5.45</v>
      </c>
      <c r="F4086">
        <v>64593</v>
      </c>
      <c r="G4086" s="5">
        <v>43131</v>
      </c>
    </row>
    <row r="4087" spans="1:7" x14ac:dyDescent="0.4">
      <c r="A4087">
        <v>86</v>
      </c>
      <c r="B4087" t="s">
        <v>351</v>
      </c>
      <c r="C4087" s="10">
        <v>3.29</v>
      </c>
      <c r="D4087" s="10">
        <v>0.17</v>
      </c>
      <c r="E4087" s="16">
        <v>5.45</v>
      </c>
      <c r="F4087">
        <v>10129517</v>
      </c>
      <c r="G4087" s="5">
        <v>43131</v>
      </c>
    </row>
    <row r="4088" spans="1:7" x14ac:dyDescent="0.4">
      <c r="A4088">
        <v>87</v>
      </c>
      <c r="B4088" t="s">
        <v>579</v>
      </c>
      <c r="C4088" s="10">
        <v>2.69</v>
      </c>
      <c r="D4088" s="10">
        <v>0.14000000000000001</v>
      </c>
      <c r="E4088" s="16">
        <v>5.37</v>
      </c>
      <c r="F4088">
        <v>14483</v>
      </c>
      <c r="G4088" s="5">
        <v>43131</v>
      </c>
    </row>
    <row r="4089" spans="1:7" x14ac:dyDescent="0.4">
      <c r="A4089">
        <v>88</v>
      </c>
      <c r="B4089" t="s">
        <v>71</v>
      </c>
      <c r="C4089" s="10">
        <v>23.95</v>
      </c>
      <c r="D4089" s="10">
        <v>1.22</v>
      </c>
      <c r="E4089" s="16">
        <v>5.37</v>
      </c>
      <c r="F4089">
        <v>31651</v>
      </c>
      <c r="G4089" s="5">
        <v>43131</v>
      </c>
    </row>
    <row r="4090" spans="1:7" x14ac:dyDescent="0.4">
      <c r="A4090">
        <v>89</v>
      </c>
      <c r="B4090" t="s">
        <v>1155</v>
      </c>
      <c r="C4090" s="10">
        <v>12.61</v>
      </c>
      <c r="D4090" s="10">
        <v>0.64</v>
      </c>
      <c r="E4090" s="16">
        <v>5.35</v>
      </c>
      <c r="F4090">
        <v>685822</v>
      </c>
      <c r="G4090" s="5">
        <v>43131</v>
      </c>
    </row>
    <row r="4091" spans="1:7" x14ac:dyDescent="0.4">
      <c r="A4091">
        <v>90</v>
      </c>
      <c r="B4091" t="s">
        <v>1332</v>
      </c>
      <c r="C4091" s="10">
        <v>16.75</v>
      </c>
      <c r="D4091" s="10">
        <v>0.85</v>
      </c>
      <c r="E4091" s="16">
        <v>5.35</v>
      </c>
      <c r="F4091">
        <v>537705</v>
      </c>
      <c r="G4091" s="5">
        <v>43131</v>
      </c>
    </row>
    <row r="4092" spans="1:7" x14ac:dyDescent="0.4">
      <c r="A4092">
        <v>91</v>
      </c>
      <c r="B4092" t="s">
        <v>1011</v>
      </c>
      <c r="C4092" s="10">
        <v>3.38</v>
      </c>
      <c r="D4092" s="10">
        <v>0.17</v>
      </c>
      <c r="E4092" s="16">
        <v>5.3</v>
      </c>
      <c r="F4092">
        <v>678903</v>
      </c>
      <c r="G4092" s="5">
        <v>43131</v>
      </c>
    </row>
    <row r="4093" spans="1:7" x14ac:dyDescent="0.4">
      <c r="A4093">
        <v>92</v>
      </c>
      <c r="B4093" t="s">
        <v>30</v>
      </c>
      <c r="C4093" s="10">
        <v>5.21</v>
      </c>
      <c r="D4093" s="10">
        <v>0.26</v>
      </c>
      <c r="E4093" s="16">
        <v>5.25</v>
      </c>
      <c r="F4093">
        <v>396873</v>
      </c>
      <c r="G4093" s="5">
        <v>43131</v>
      </c>
    </row>
    <row r="4094" spans="1:7" x14ac:dyDescent="0.4">
      <c r="A4094">
        <v>93</v>
      </c>
      <c r="B4094" t="s">
        <v>862</v>
      </c>
      <c r="C4094" s="10">
        <v>19.88</v>
      </c>
      <c r="D4094" s="10">
        <v>0.99</v>
      </c>
      <c r="E4094" s="16">
        <v>5.24</v>
      </c>
      <c r="F4094">
        <v>198577</v>
      </c>
      <c r="G4094" s="5">
        <v>43131</v>
      </c>
    </row>
    <row r="4095" spans="1:7" x14ac:dyDescent="0.4">
      <c r="A4095">
        <v>94</v>
      </c>
      <c r="B4095" t="s">
        <v>1333</v>
      </c>
      <c r="C4095" s="10">
        <v>3.86</v>
      </c>
      <c r="D4095" s="10">
        <v>0.19</v>
      </c>
      <c r="E4095" s="16">
        <v>5.18</v>
      </c>
      <c r="F4095">
        <v>9002</v>
      </c>
      <c r="G4095" s="5">
        <v>43131</v>
      </c>
    </row>
    <row r="4096" spans="1:7" x14ac:dyDescent="0.4">
      <c r="A4096">
        <v>95</v>
      </c>
      <c r="B4096" t="s">
        <v>1334</v>
      </c>
      <c r="C4096" s="10">
        <v>6.74</v>
      </c>
      <c r="D4096" s="10">
        <v>0.33</v>
      </c>
      <c r="E4096" s="16">
        <v>5.15</v>
      </c>
      <c r="F4096">
        <v>41111</v>
      </c>
      <c r="G4096" s="5">
        <v>43131</v>
      </c>
    </row>
    <row r="4097" spans="1:7" x14ac:dyDescent="0.4">
      <c r="A4097">
        <v>96</v>
      </c>
      <c r="B4097" t="s">
        <v>315</v>
      </c>
      <c r="C4097" s="10">
        <v>3.9</v>
      </c>
      <c r="D4097" s="10">
        <v>0.19</v>
      </c>
      <c r="E4097" s="16">
        <v>5.12</v>
      </c>
      <c r="F4097">
        <v>21078</v>
      </c>
      <c r="G4097" s="5">
        <v>43131</v>
      </c>
    </row>
    <row r="4098" spans="1:7" x14ac:dyDescent="0.4">
      <c r="A4098">
        <v>97</v>
      </c>
      <c r="B4098" t="s">
        <v>1335</v>
      </c>
      <c r="C4098" s="10">
        <v>69.8</v>
      </c>
      <c r="D4098" s="10">
        <v>3.4</v>
      </c>
      <c r="E4098" s="16">
        <v>5.12</v>
      </c>
      <c r="F4098">
        <v>366315</v>
      </c>
      <c r="G4098" s="5">
        <v>43131</v>
      </c>
    </row>
    <row r="4099" spans="1:7" x14ac:dyDescent="0.4">
      <c r="A4099">
        <v>98</v>
      </c>
      <c r="B4099" t="s">
        <v>278</v>
      </c>
      <c r="C4099" s="10">
        <v>5.37</v>
      </c>
      <c r="D4099" s="10">
        <v>0.26</v>
      </c>
      <c r="E4099" s="16">
        <v>5.09</v>
      </c>
      <c r="F4099">
        <v>66858</v>
      </c>
      <c r="G4099" s="5">
        <v>43131</v>
      </c>
    </row>
    <row r="4100" spans="1:7" x14ac:dyDescent="0.4">
      <c r="A4100">
        <v>99</v>
      </c>
      <c r="B4100" t="s">
        <v>1336</v>
      </c>
      <c r="C4100" s="10">
        <v>111.95</v>
      </c>
      <c r="D4100" s="10">
        <v>5.39</v>
      </c>
      <c r="E4100" s="16">
        <v>5.0599999999999996</v>
      </c>
      <c r="F4100">
        <v>2416739</v>
      </c>
      <c r="G4100" s="5">
        <v>43131</v>
      </c>
    </row>
    <row r="4101" spans="1:7" x14ac:dyDescent="0.4">
      <c r="A4101">
        <v>100</v>
      </c>
      <c r="B4101" t="s">
        <v>1337</v>
      </c>
      <c r="C4101" s="10">
        <v>2.5099999999999998</v>
      </c>
      <c r="D4101" s="10">
        <v>0.12</v>
      </c>
      <c r="E4101" s="16">
        <v>5.0199999999999996</v>
      </c>
      <c r="F4101">
        <v>146632</v>
      </c>
      <c r="G4101" s="5">
        <v>43131</v>
      </c>
    </row>
    <row r="4102" spans="1:7" x14ac:dyDescent="0.4">
      <c r="A4102">
        <v>1</v>
      </c>
      <c r="B4102" t="s">
        <v>283</v>
      </c>
      <c r="C4102" s="10">
        <v>5.69</v>
      </c>
      <c r="D4102" s="10">
        <v>1.05</v>
      </c>
      <c r="E4102" s="16">
        <v>22.63</v>
      </c>
      <c r="F4102">
        <v>572264</v>
      </c>
      <c r="G4102" s="5">
        <v>43130</v>
      </c>
    </row>
    <row r="4103" spans="1:7" x14ac:dyDescent="0.4">
      <c r="A4103">
        <v>2</v>
      </c>
      <c r="B4103" t="s">
        <v>120</v>
      </c>
      <c r="C4103" s="10">
        <v>8.2899999999999991</v>
      </c>
      <c r="D4103" s="10">
        <v>1.31</v>
      </c>
      <c r="E4103" s="16">
        <v>18.77</v>
      </c>
      <c r="F4103">
        <v>103150</v>
      </c>
      <c r="G4103" s="5">
        <v>43130</v>
      </c>
    </row>
    <row r="4104" spans="1:7" x14ac:dyDescent="0.4">
      <c r="A4104">
        <v>3</v>
      </c>
      <c r="B4104" t="s">
        <v>996</v>
      </c>
      <c r="C4104" s="10">
        <v>3.5</v>
      </c>
      <c r="D4104" s="10">
        <v>0.55000000000000004</v>
      </c>
      <c r="E4104" s="16">
        <v>18.64</v>
      </c>
      <c r="F4104">
        <v>380048</v>
      </c>
      <c r="G4104" s="5">
        <v>43130</v>
      </c>
    </row>
    <row r="4105" spans="1:7" x14ac:dyDescent="0.4">
      <c r="A4105">
        <v>4</v>
      </c>
      <c r="B4105" t="s">
        <v>123</v>
      </c>
      <c r="C4105" s="10">
        <v>4.9000000000000004</v>
      </c>
      <c r="D4105" s="10">
        <v>0.65</v>
      </c>
      <c r="E4105" s="16">
        <v>15.29</v>
      </c>
      <c r="F4105">
        <v>51827</v>
      </c>
      <c r="G4105" s="5">
        <v>43130</v>
      </c>
    </row>
    <row r="4106" spans="1:7" x14ac:dyDescent="0.4">
      <c r="A4106">
        <v>5</v>
      </c>
      <c r="B4106" t="s">
        <v>548</v>
      </c>
      <c r="C4106" s="10">
        <v>3.48</v>
      </c>
      <c r="D4106" s="10">
        <v>0.42</v>
      </c>
      <c r="E4106" s="16">
        <v>13.73</v>
      </c>
      <c r="F4106">
        <v>328839</v>
      </c>
      <c r="G4106" s="5">
        <v>43130</v>
      </c>
    </row>
    <row r="4107" spans="1:7" x14ac:dyDescent="0.4">
      <c r="A4107">
        <v>6</v>
      </c>
      <c r="B4107" t="s">
        <v>1010</v>
      </c>
      <c r="C4107" s="10">
        <v>13</v>
      </c>
      <c r="D4107" s="10">
        <v>1.41</v>
      </c>
      <c r="E4107" s="16">
        <v>12.17</v>
      </c>
      <c r="F4107">
        <v>1395326</v>
      </c>
      <c r="G4107" s="5">
        <v>43130</v>
      </c>
    </row>
    <row r="4108" spans="1:7" x14ac:dyDescent="0.4">
      <c r="A4108">
        <v>7</v>
      </c>
      <c r="B4108" t="s">
        <v>879</v>
      </c>
      <c r="C4108" s="10">
        <v>15.8</v>
      </c>
      <c r="D4108" s="10">
        <v>1.7</v>
      </c>
      <c r="E4108" s="16">
        <v>12.06</v>
      </c>
      <c r="F4108">
        <v>50745</v>
      </c>
      <c r="G4108" s="5">
        <v>43130</v>
      </c>
    </row>
    <row r="4109" spans="1:7" x14ac:dyDescent="0.4">
      <c r="A4109">
        <v>8</v>
      </c>
      <c r="B4109" t="s">
        <v>1261</v>
      </c>
      <c r="C4109" s="10">
        <v>9.92</v>
      </c>
      <c r="D4109" s="10">
        <v>1.03</v>
      </c>
      <c r="E4109" s="16">
        <v>11.59</v>
      </c>
      <c r="F4109">
        <v>848990</v>
      </c>
      <c r="G4109" s="5">
        <v>43130</v>
      </c>
    </row>
    <row r="4110" spans="1:7" x14ac:dyDescent="0.4">
      <c r="A4110">
        <v>9</v>
      </c>
      <c r="B4110" t="s">
        <v>455</v>
      </c>
      <c r="C4110" s="10">
        <v>139.85</v>
      </c>
      <c r="D4110" s="10">
        <v>13.61</v>
      </c>
      <c r="E4110" s="16">
        <v>10.78</v>
      </c>
      <c r="F4110">
        <v>423014</v>
      </c>
      <c r="G4110" s="5">
        <v>43130</v>
      </c>
    </row>
    <row r="4111" spans="1:7" x14ac:dyDescent="0.4">
      <c r="A4111">
        <v>10</v>
      </c>
      <c r="B4111" t="s">
        <v>445</v>
      </c>
      <c r="C4111" s="10">
        <v>11.82</v>
      </c>
      <c r="D4111" s="10">
        <v>1.1299999999999999</v>
      </c>
      <c r="E4111" s="16">
        <v>10.57</v>
      </c>
      <c r="F4111">
        <v>2870094</v>
      </c>
      <c r="G4111" s="5">
        <v>43130</v>
      </c>
    </row>
    <row r="4112" spans="1:7" x14ac:dyDescent="0.4">
      <c r="A4112">
        <v>11</v>
      </c>
      <c r="B4112" t="s">
        <v>215</v>
      </c>
      <c r="C4112" s="10">
        <v>18.27</v>
      </c>
      <c r="D4112" s="10">
        <v>1.73</v>
      </c>
      <c r="E4112" s="16">
        <v>10.46</v>
      </c>
      <c r="F4112">
        <v>136526</v>
      </c>
      <c r="G4112" s="5">
        <v>43130</v>
      </c>
    </row>
    <row r="4113" spans="1:7" x14ac:dyDescent="0.4">
      <c r="A4113">
        <v>12</v>
      </c>
      <c r="B4113" t="s">
        <v>574</v>
      </c>
      <c r="C4113" s="10">
        <v>12.17</v>
      </c>
      <c r="D4113" s="10">
        <v>1.1100000000000001</v>
      </c>
      <c r="E4113" s="16">
        <v>10.039999999999999</v>
      </c>
      <c r="F4113">
        <v>4734987</v>
      </c>
      <c r="G4113" s="5">
        <v>43130</v>
      </c>
    </row>
    <row r="4114" spans="1:7" x14ac:dyDescent="0.4">
      <c r="A4114">
        <v>13</v>
      </c>
      <c r="B4114" t="s">
        <v>1262</v>
      </c>
      <c r="C4114" s="10">
        <v>35.950000000000003</v>
      </c>
      <c r="D4114" s="10">
        <v>3.25</v>
      </c>
      <c r="E4114" s="16">
        <v>9.94</v>
      </c>
      <c r="F4114">
        <v>13840008</v>
      </c>
      <c r="G4114" s="5">
        <v>43130</v>
      </c>
    </row>
    <row r="4115" spans="1:7" x14ac:dyDescent="0.4">
      <c r="A4115">
        <v>14</v>
      </c>
      <c r="B4115" t="s">
        <v>318</v>
      </c>
      <c r="C4115" s="10">
        <v>22.47</v>
      </c>
      <c r="D4115" s="10">
        <v>2.0099999999999998</v>
      </c>
      <c r="E4115" s="16">
        <v>9.82</v>
      </c>
      <c r="F4115">
        <v>81892</v>
      </c>
      <c r="G4115" s="5">
        <v>43130</v>
      </c>
    </row>
    <row r="4116" spans="1:7" x14ac:dyDescent="0.4">
      <c r="A4116">
        <v>15</v>
      </c>
      <c r="B4116" t="s">
        <v>743</v>
      </c>
      <c r="C4116" s="10">
        <v>19.73</v>
      </c>
      <c r="D4116" s="10">
        <v>1.76</v>
      </c>
      <c r="E4116" s="16">
        <v>9.7899999999999991</v>
      </c>
      <c r="F4116">
        <v>4251685</v>
      </c>
      <c r="G4116" s="5">
        <v>43130</v>
      </c>
    </row>
    <row r="4117" spans="1:7" x14ac:dyDescent="0.4">
      <c r="A4117">
        <v>16</v>
      </c>
      <c r="B4117" t="s">
        <v>1263</v>
      </c>
      <c r="C4117" s="10">
        <v>15.08</v>
      </c>
      <c r="D4117" s="10">
        <v>1.32</v>
      </c>
      <c r="E4117" s="16">
        <v>9.59</v>
      </c>
      <c r="F4117">
        <v>12488993</v>
      </c>
      <c r="G4117" s="5">
        <v>43130</v>
      </c>
    </row>
    <row r="4118" spans="1:7" x14ac:dyDescent="0.4">
      <c r="A4118">
        <v>17</v>
      </c>
      <c r="B4118" t="s">
        <v>274</v>
      </c>
      <c r="C4118" s="10">
        <v>3</v>
      </c>
      <c r="D4118" s="10">
        <v>0.25</v>
      </c>
      <c r="E4118" s="16">
        <v>9.09</v>
      </c>
      <c r="F4118">
        <v>724117</v>
      </c>
      <c r="G4118" s="5">
        <v>43130</v>
      </c>
    </row>
    <row r="4119" spans="1:7" x14ac:dyDescent="0.4">
      <c r="A4119">
        <v>18</v>
      </c>
      <c r="B4119" t="s">
        <v>1264</v>
      </c>
      <c r="C4119" s="10">
        <v>23.85</v>
      </c>
      <c r="D4119" s="10">
        <v>1.9</v>
      </c>
      <c r="E4119" s="16">
        <v>8.66</v>
      </c>
      <c r="F4119">
        <v>1150624</v>
      </c>
      <c r="G4119" s="5">
        <v>43130</v>
      </c>
    </row>
    <row r="4120" spans="1:7" x14ac:dyDescent="0.4">
      <c r="A4120">
        <v>19</v>
      </c>
      <c r="B4120" t="s">
        <v>232</v>
      </c>
      <c r="C4120" s="10">
        <v>2.83</v>
      </c>
      <c r="D4120" s="10">
        <v>0.22</v>
      </c>
      <c r="E4120" s="16">
        <v>8.43</v>
      </c>
      <c r="F4120">
        <v>469621</v>
      </c>
      <c r="G4120" s="5">
        <v>43130</v>
      </c>
    </row>
    <row r="4121" spans="1:7" x14ac:dyDescent="0.4">
      <c r="A4121">
        <v>20</v>
      </c>
      <c r="B4121" t="s">
        <v>1265</v>
      </c>
      <c r="C4121" s="10">
        <v>28.3</v>
      </c>
      <c r="D4121" s="10">
        <v>2.2000000000000002</v>
      </c>
      <c r="E4121" s="16">
        <v>8.43</v>
      </c>
      <c r="F4121">
        <v>2186496</v>
      </c>
      <c r="G4121" s="5">
        <v>43130</v>
      </c>
    </row>
    <row r="4122" spans="1:7" x14ac:dyDescent="0.4">
      <c r="A4122">
        <v>21</v>
      </c>
      <c r="B4122" t="s">
        <v>30</v>
      </c>
      <c r="C4122" s="10">
        <v>4.95</v>
      </c>
      <c r="D4122" s="10">
        <v>0.37</v>
      </c>
      <c r="E4122" s="16">
        <v>8.08</v>
      </c>
      <c r="F4122">
        <v>151010</v>
      </c>
      <c r="G4122" s="5">
        <v>43130</v>
      </c>
    </row>
    <row r="4123" spans="1:7" x14ac:dyDescent="0.4">
      <c r="A4123">
        <v>22</v>
      </c>
      <c r="B4123" t="s">
        <v>1266</v>
      </c>
      <c r="C4123" s="10">
        <v>149.47999999999999</v>
      </c>
      <c r="D4123" s="10">
        <v>11.16</v>
      </c>
      <c r="E4123" s="16">
        <v>8.07</v>
      </c>
      <c r="F4123">
        <v>2647679</v>
      </c>
      <c r="G4123" s="5">
        <v>43130</v>
      </c>
    </row>
    <row r="4124" spans="1:7" x14ac:dyDescent="0.4">
      <c r="A4124">
        <v>23</v>
      </c>
      <c r="B4124" t="s">
        <v>544</v>
      </c>
      <c r="C4124" s="10">
        <v>40.25</v>
      </c>
      <c r="D4124" s="10">
        <v>3</v>
      </c>
      <c r="E4124" s="16">
        <v>8.0500000000000007</v>
      </c>
      <c r="F4124">
        <v>1110953</v>
      </c>
      <c r="G4124" s="5">
        <v>43130</v>
      </c>
    </row>
    <row r="4125" spans="1:7" x14ac:dyDescent="0.4">
      <c r="A4125">
        <v>24</v>
      </c>
      <c r="B4125" t="s">
        <v>266</v>
      </c>
      <c r="C4125" s="10">
        <v>2.5299999999999998</v>
      </c>
      <c r="D4125" s="10">
        <v>0.18</v>
      </c>
      <c r="E4125" s="16">
        <v>7.66</v>
      </c>
      <c r="F4125">
        <v>13707519</v>
      </c>
      <c r="G4125" s="5">
        <v>43130</v>
      </c>
    </row>
    <row r="4126" spans="1:7" x14ac:dyDescent="0.4">
      <c r="A4126">
        <v>25</v>
      </c>
      <c r="B4126" t="s">
        <v>1267</v>
      </c>
      <c r="C4126" s="10">
        <v>10.74</v>
      </c>
      <c r="D4126" s="10">
        <v>0.74</v>
      </c>
      <c r="E4126" s="16">
        <v>7.4</v>
      </c>
      <c r="F4126">
        <v>3639301</v>
      </c>
      <c r="G4126" s="5">
        <v>43130</v>
      </c>
    </row>
    <row r="4127" spans="1:7" x14ac:dyDescent="0.4">
      <c r="A4127">
        <v>26</v>
      </c>
      <c r="B4127" t="s">
        <v>386</v>
      </c>
      <c r="C4127" s="10">
        <v>2.92</v>
      </c>
      <c r="D4127" s="10">
        <v>0.2</v>
      </c>
      <c r="E4127" s="16">
        <v>7.35</v>
      </c>
      <c r="F4127">
        <v>750117</v>
      </c>
      <c r="G4127" s="5">
        <v>43130</v>
      </c>
    </row>
    <row r="4128" spans="1:7" x14ac:dyDescent="0.4">
      <c r="A4128">
        <v>27</v>
      </c>
      <c r="B4128" t="s">
        <v>369</v>
      </c>
      <c r="C4128" s="10">
        <v>8.7799999999999994</v>
      </c>
      <c r="D4128" s="10">
        <v>0.57999999999999996</v>
      </c>
      <c r="E4128" s="16">
        <v>7.07</v>
      </c>
      <c r="F4128">
        <v>584960</v>
      </c>
      <c r="G4128" s="5">
        <v>43130</v>
      </c>
    </row>
    <row r="4129" spans="1:7" x14ac:dyDescent="0.4">
      <c r="A4129">
        <v>28</v>
      </c>
      <c r="B4129" t="s">
        <v>1268</v>
      </c>
      <c r="C4129" s="10">
        <v>46.52</v>
      </c>
      <c r="D4129" s="10">
        <v>3.07</v>
      </c>
      <c r="E4129" s="16">
        <v>7.07</v>
      </c>
      <c r="F4129">
        <v>7647573</v>
      </c>
      <c r="G4129" s="5">
        <v>43130</v>
      </c>
    </row>
    <row r="4130" spans="1:7" x14ac:dyDescent="0.4">
      <c r="A4130">
        <v>29</v>
      </c>
      <c r="B4130" t="s">
        <v>229</v>
      </c>
      <c r="C4130" s="10">
        <v>2.82</v>
      </c>
      <c r="D4130" s="10">
        <v>0.18</v>
      </c>
      <c r="E4130" s="16">
        <v>6.82</v>
      </c>
      <c r="F4130">
        <v>173272</v>
      </c>
      <c r="G4130" s="5">
        <v>43130</v>
      </c>
    </row>
    <row r="4131" spans="1:7" x14ac:dyDescent="0.4">
      <c r="A4131">
        <v>30</v>
      </c>
      <c r="B4131" t="s">
        <v>1269</v>
      </c>
      <c r="C4131" s="10">
        <v>4.33</v>
      </c>
      <c r="D4131" s="10">
        <v>0.28000000000000003</v>
      </c>
      <c r="E4131" s="16">
        <v>6.79</v>
      </c>
      <c r="F4131">
        <v>2459973</v>
      </c>
      <c r="G4131" s="5">
        <v>43130</v>
      </c>
    </row>
    <row r="4132" spans="1:7" x14ac:dyDescent="0.4">
      <c r="A4132">
        <v>31</v>
      </c>
      <c r="B4132" t="s">
        <v>540</v>
      </c>
      <c r="C4132" s="10">
        <v>4.75</v>
      </c>
      <c r="D4132" s="10">
        <v>0.3</v>
      </c>
      <c r="E4132" s="16">
        <v>6.74</v>
      </c>
      <c r="F4132">
        <v>315678</v>
      </c>
      <c r="G4132" s="5">
        <v>43130</v>
      </c>
    </row>
    <row r="4133" spans="1:7" x14ac:dyDescent="0.4">
      <c r="A4133">
        <v>32</v>
      </c>
      <c r="B4133" t="s">
        <v>1270</v>
      </c>
      <c r="C4133" s="10">
        <v>3.87</v>
      </c>
      <c r="D4133" s="10">
        <v>0.24</v>
      </c>
      <c r="E4133" s="16">
        <v>6.61</v>
      </c>
      <c r="F4133">
        <v>96192</v>
      </c>
      <c r="G4133" s="5">
        <v>43130</v>
      </c>
    </row>
    <row r="4134" spans="1:7" x14ac:dyDescent="0.4">
      <c r="A4134">
        <v>33</v>
      </c>
      <c r="B4134" t="s">
        <v>1271</v>
      </c>
      <c r="C4134" s="10">
        <v>16.95</v>
      </c>
      <c r="D4134" s="10">
        <v>1.05</v>
      </c>
      <c r="E4134" s="16">
        <v>6.6</v>
      </c>
      <c r="F4134">
        <v>495980</v>
      </c>
      <c r="G4134" s="5">
        <v>43130</v>
      </c>
    </row>
    <row r="4135" spans="1:7" x14ac:dyDescent="0.4">
      <c r="A4135">
        <v>34</v>
      </c>
      <c r="B4135" t="s">
        <v>1272</v>
      </c>
      <c r="C4135" s="10">
        <v>12.2</v>
      </c>
      <c r="D4135" s="10">
        <v>0.75</v>
      </c>
      <c r="E4135" s="16">
        <v>6.55</v>
      </c>
      <c r="F4135">
        <v>3603</v>
      </c>
      <c r="G4135" s="5">
        <v>43130</v>
      </c>
    </row>
    <row r="4136" spans="1:7" x14ac:dyDescent="0.4">
      <c r="A4136">
        <v>35</v>
      </c>
      <c r="B4136" t="s">
        <v>343</v>
      </c>
      <c r="C4136" s="10">
        <v>3.7</v>
      </c>
      <c r="D4136" s="10">
        <v>0.23</v>
      </c>
      <c r="E4136" s="16">
        <v>6.47</v>
      </c>
      <c r="F4136">
        <v>15632</v>
      </c>
      <c r="G4136" s="5">
        <v>43130</v>
      </c>
    </row>
    <row r="4137" spans="1:7" x14ac:dyDescent="0.4">
      <c r="A4137">
        <v>36</v>
      </c>
      <c r="B4137" t="s">
        <v>384</v>
      </c>
      <c r="C4137" s="10">
        <v>12</v>
      </c>
      <c r="D4137" s="10">
        <v>0.71</v>
      </c>
      <c r="E4137" s="16">
        <v>6.29</v>
      </c>
      <c r="F4137">
        <v>4692933</v>
      </c>
      <c r="G4137" s="5">
        <v>43130</v>
      </c>
    </row>
    <row r="4138" spans="1:7" x14ac:dyDescent="0.4">
      <c r="A4138">
        <v>37</v>
      </c>
      <c r="B4138" t="s">
        <v>579</v>
      </c>
      <c r="C4138" s="10">
        <v>2.5499999999999998</v>
      </c>
      <c r="D4138" s="10">
        <v>0.15</v>
      </c>
      <c r="E4138" s="16">
        <v>6.25</v>
      </c>
      <c r="F4138">
        <v>36000</v>
      </c>
      <c r="G4138" s="5">
        <v>43130</v>
      </c>
    </row>
    <row r="4139" spans="1:7" x14ac:dyDescent="0.4">
      <c r="A4139">
        <v>38</v>
      </c>
      <c r="B4139" t="s">
        <v>1273</v>
      </c>
      <c r="C4139" s="10">
        <v>3.4</v>
      </c>
      <c r="D4139" s="10">
        <v>0.2</v>
      </c>
      <c r="E4139" s="16">
        <v>6.25</v>
      </c>
      <c r="F4139">
        <v>18891</v>
      </c>
      <c r="G4139" s="5">
        <v>43130</v>
      </c>
    </row>
    <row r="4140" spans="1:7" x14ac:dyDescent="0.4">
      <c r="A4140">
        <v>39</v>
      </c>
      <c r="B4140" t="s">
        <v>885</v>
      </c>
      <c r="C4140" s="10">
        <v>137.1</v>
      </c>
      <c r="D4140" s="10">
        <v>8.0399999999999991</v>
      </c>
      <c r="E4140" s="16">
        <v>6.23</v>
      </c>
      <c r="F4140">
        <v>15685</v>
      </c>
      <c r="G4140" s="5">
        <v>43130</v>
      </c>
    </row>
    <row r="4141" spans="1:7" x14ac:dyDescent="0.4">
      <c r="A4141">
        <v>40</v>
      </c>
      <c r="B4141" t="s">
        <v>1274</v>
      </c>
      <c r="C4141" s="10">
        <v>156.31</v>
      </c>
      <c r="D4141" s="10">
        <v>9.1199999999999992</v>
      </c>
      <c r="E4141" s="16">
        <v>6.2</v>
      </c>
      <c r="F4141">
        <v>1614808</v>
      </c>
      <c r="G4141" s="5">
        <v>43130</v>
      </c>
    </row>
    <row r="4142" spans="1:7" x14ac:dyDescent="0.4">
      <c r="A4142">
        <v>41</v>
      </c>
      <c r="B4142" t="s">
        <v>1275</v>
      </c>
      <c r="C4142" s="10">
        <v>2.4</v>
      </c>
      <c r="D4142" s="10">
        <v>0.14000000000000001</v>
      </c>
      <c r="E4142" s="16">
        <v>6.19</v>
      </c>
      <c r="F4142">
        <v>2466503</v>
      </c>
      <c r="G4142" s="5">
        <v>43130</v>
      </c>
    </row>
    <row r="4143" spans="1:7" x14ac:dyDescent="0.4">
      <c r="A4143">
        <v>42</v>
      </c>
      <c r="B4143" t="s">
        <v>430</v>
      </c>
      <c r="C4143" s="10">
        <v>12.03</v>
      </c>
      <c r="D4143" s="10">
        <v>0.7</v>
      </c>
      <c r="E4143" s="16">
        <v>6.18</v>
      </c>
      <c r="F4143">
        <v>87228111</v>
      </c>
      <c r="G4143" s="5">
        <v>43130</v>
      </c>
    </row>
    <row r="4144" spans="1:7" x14ac:dyDescent="0.4">
      <c r="A4144">
        <v>43</v>
      </c>
      <c r="B4144" t="s">
        <v>19</v>
      </c>
      <c r="C4144" s="10">
        <v>5.87</v>
      </c>
      <c r="D4144" s="10">
        <v>0.34</v>
      </c>
      <c r="E4144" s="16">
        <v>6.15</v>
      </c>
      <c r="F4144">
        <v>5712</v>
      </c>
      <c r="G4144" s="5">
        <v>43130</v>
      </c>
    </row>
    <row r="4145" spans="1:7" x14ac:dyDescent="0.4">
      <c r="A4145">
        <v>44</v>
      </c>
      <c r="B4145" t="s">
        <v>429</v>
      </c>
      <c r="C4145" s="10">
        <v>6.58</v>
      </c>
      <c r="D4145" s="10">
        <v>0.38</v>
      </c>
      <c r="E4145" s="16">
        <v>6.13</v>
      </c>
      <c r="F4145">
        <v>50584774</v>
      </c>
      <c r="G4145" s="5">
        <v>43130</v>
      </c>
    </row>
    <row r="4146" spans="1:7" x14ac:dyDescent="0.4">
      <c r="A4146">
        <v>45</v>
      </c>
      <c r="B4146" t="s">
        <v>351</v>
      </c>
      <c r="C4146" s="10">
        <v>3.12</v>
      </c>
      <c r="D4146" s="10">
        <v>0.18</v>
      </c>
      <c r="E4146" s="16">
        <v>6.12</v>
      </c>
      <c r="F4146">
        <v>15719436</v>
      </c>
      <c r="G4146" s="5">
        <v>43130</v>
      </c>
    </row>
    <row r="4147" spans="1:7" x14ac:dyDescent="0.4">
      <c r="A4147">
        <v>46</v>
      </c>
      <c r="B4147" t="s">
        <v>1276</v>
      </c>
      <c r="C4147" s="10">
        <v>3.3</v>
      </c>
      <c r="D4147" s="10">
        <v>0.19</v>
      </c>
      <c r="E4147" s="16">
        <v>6.11</v>
      </c>
      <c r="F4147">
        <v>67562</v>
      </c>
      <c r="G4147" s="5">
        <v>43130</v>
      </c>
    </row>
    <row r="4148" spans="1:7" x14ac:dyDescent="0.4">
      <c r="A4148">
        <v>47</v>
      </c>
      <c r="B4148" t="s">
        <v>760</v>
      </c>
      <c r="C4148" s="10">
        <v>3.84</v>
      </c>
      <c r="D4148" s="10">
        <v>0.22</v>
      </c>
      <c r="E4148" s="16">
        <v>6.08</v>
      </c>
      <c r="F4148">
        <v>332518</v>
      </c>
      <c r="G4148" s="5">
        <v>43130</v>
      </c>
    </row>
    <row r="4149" spans="1:7" x14ac:dyDescent="0.4">
      <c r="A4149">
        <v>48</v>
      </c>
      <c r="B4149" t="s">
        <v>1277</v>
      </c>
      <c r="C4149" s="10">
        <v>5.64</v>
      </c>
      <c r="D4149" s="10">
        <v>0.32</v>
      </c>
      <c r="E4149" s="16">
        <v>6.02</v>
      </c>
      <c r="F4149">
        <v>42021</v>
      </c>
      <c r="G4149" s="5">
        <v>43130</v>
      </c>
    </row>
    <row r="4150" spans="1:7" x14ac:dyDescent="0.4">
      <c r="A4150">
        <v>49</v>
      </c>
      <c r="B4150" t="s">
        <v>486</v>
      </c>
      <c r="C4150" s="10">
        <v>7.99</v>
      </c>
      <c r="D4150" s="10">
        <v>0.45</v>
      </c>
      <c r="E4150" s="16">
        <v>5.97</v>
      </c>
      <c r="F4150">
        <v>1580061</v>
      </c>
      <c r="G4150" s="5">
        <v>43130</v>
      </c>
    </row>
    <row r="4151" spans="1:7" x14ac:dyDescent="0.4">
      <c r="A4151">
        <v>50</v>
      </c>
      <c r="B4151" t="s">
        <v>1278</v>
      </c>
      <c r="C4151" s="10">
        <v>18</v>
      </c>
      <c r="D4151" s="10">
        <v>1</v>
      </c>
      <c r="E4151" s="16">
        <v>5.88</v>
      </c>
      <c r="F4151">
        <v>1266713</v>
      </c>
      <c r="G4151" s="5">
        <v>43130</v>
      </c>
    </row>
    <row r="4152" spans="1:7" x14ac:dyDescent="0.4">
      <c r="A4152">
        <v>51</v>
      </c>
      <c r="B4152" t="s">
        <v>207</v>
      </c>
      <c r="C4152" s="10">
        <v>12.82</v>
      </c>
      <c r="D4152" s="10">
        <v>0.71</v>
      </c>
      <c r="E4152" s="16">
        <v>5.86</v>
      </c>
      <c r="F4152">
        <v>1928509</v>
      </c>
      <c r="G4152" s="5">
        <v>43130</v>
      </c>
    </row>
    <row r="4153" spans="1:7" x14ac:dyDescent="0.4">
      <c r="A4153">
        <v>52</v>
      </c>
      <c r="B4153" t="s">
        <v>289</v>
      </c>
      <c r="C4153" s="10">
        <v>4.71</v>
      </c>
      <c r="D4153" s="10">
        <v>0.26</v>
      </c>
      <c r="E4153" s="16">
        <v>5.84</v>
      </c>
      <c r="F4153">
        <v>73357</v>
      </c>
      <c r="G4153" s="5">
        <v>43130</v>
      </c>
    </row>
    <row r="4154" spans="1:7" x14ac:dyDescent="0.4">
      <c r="A4154">
        <v>53</v>
      </c>
      <c r="B4154" t="s">
        <v>1279</v>
      </c>
      <c r="C4154" s="10">
        <v>85.15</v>
      </c>
      <c r="D4154" s="10">
        <v>4.6500000000000004</v>
      </c>
      <c r="E4154" s="16">
        <v>5.78</v>
      </c>
      <c r="F4154">
        <v>520625</v>
      </c>
      <c r="G4154" s="5">
        <v>43130</v>
      </c>
    </row>
    <row r="4155" spans="1:7" x14ac:dyDescent="0.4">
      <c r="A4155">
        <v>54</v>
      </c>
      <c r="B4155" t="s">
        <v>72</v>
      </c>
      <c r="C4155" s="10">
        <v>5.89</v>
      </c>
      <c r="D4155" s="10">
        <v>0.32</v>
      </c>
      <c r="E4155" s="16">
        <v>5.75</v>
      </c>
      <c r="F4155">
        <v>537551</v>
      </c>
      <c r="G4155" s="5">
        <v>43130</v>
      </c>
    </row>
    <row r="4156" spans="1:7" x14ac:dyDescent="0.4">
      <c r="A4156">
        <v>55</v>
      </c>
      <c r="B4156" t="s">
        <v>1280</v>
      </c>
      <c r="C4156" s="10">
        <v>17.7</v>
      </c>
      <c r="D4156" s="10">
        <v>0.95</v>
      </c>
      <c r="E4156" s="16">
        <v>5.67</v>
      </c>
      <c r="F4156">
        <v>161811</v>
      </c>
      <c r="G4156" s="5">
        <v>43130</v>
      </c>
    </row>
    <row r="4157" spans="1:7" x14ac:dyDescent="0.4">
      <c r="A4157">
        <v>56</v>
      </c>
      <c r="B4157" t="s">
        <v>1246</v>
      </c>
      <c r="C4157" s="10">
        <v>63.24</v>
      </c>
      <c r="D4157" s="10">
        <v>3.37</v>
      </c>
      <c r="E4157" s="16">
        <v>5.63</v>
      </c>
      <c r="F4157">
        <v>2925278</v>
      </c>
      <c r="G4157" s="5">
        <v>43130</v>
      </c>
    </row>
    <row r="4158" spans="1:7" x14ac:dyDescent="0.4">
      <c r="A4158">
        <v>57</v>
      </c>
      <c r="B4158" t="s">
        <v>537</v>
      </c>
      <c r="C4158" s="10">
        <v>6.51</v>
      </c>
      <c r="D4158" s="10">
        <v>0.34</v>
      </c>
      <c r="E4158" s="16">
        <v>5.51</v>
      </c>
      <c r="F4158">
        <v>1335154</v>
      </c>
      <c r="G4158" s="5">
        <v>43130</v>
      </c>
    </row>
    <row r="4159" spans="1:7" x14ac:dyDescent="0.4">
      <c r="A4159">
        <v>58</v>
      </c>
      <c r="B4159" t="s">
        <v>118</v>
      </c>
      <c r="C4159" s="10">
        <v>4.6500000000000004</v>
      </c>
      <c r="D4159" s="10">
        <v>0.24</v>
      </c>
      <c r="E4159" s="16">
        <v>5.44</v>
      </c>
      <c r="F4159">
        <v>1735338</v>
      </c>
      <c r="G4159" s="5">
        <v>43130</v>
      </c>
    </row>
    <row r="4160" spans="1:7" x14ac:dyDescent="0.4">
      <c r="A4160">
        <v>59</v>
      </c>
      <c r="B4160" t="s">
        <v>1180</v>
      </c>
      <c r="C4160" s="10">
        <v>50.8</v>
      </c>
      <c r="D4160" s="10">
        <v>2.61</v>
      </c>
      <c r="E4160" s="16">
        <v>5.42</v>
      </c>
      <c r="F4160">
        <v>3154578</v>
      </c>
      <c r="G4160" s="5">
        <v>43130</v>
      </c>
    </row>
    <row r="4161" spans="1:7" x14ac:dyDescent="0.4">
      <c r="A4161">
        <v>60</v>
      </c>
      <c r="B4161" t="s">
        <v>1281</v>
      </c>
      <c r="C4161" s="10">
        <v>5.85</v>
      </c>
      <c r="D4161" s="10">
        <v>0.3</v>
      </c>
      <c r="E4161" s="16">
        <v>5.41</v>
      </c>
      <c r="F4161">
        <v>2200523</v>
      </c>
      <c r="G4161" s="5">
        <v>43130</v>
      </c>
    </row>
    <row r="4162" spans="1:7" x14ac:dyDescent="0.4">
      <c r="A4162">
        <v>61</v>
      </c>
      <c r="B4162" t="s">
        <v>73</v>
      </c>
      <c r="C4162" s="10">
        <v>3.9</v>
      </c>
      <c r="D4162" s="10">
        <v>0.2</v>
      </c>
      <c r="E4162" s="16">
        <v>5.39</v>
      </c>
      <c r="F4162">
        <v>80248</v>
      </c>
      <c r="G4162" s="5">
        <v>43130</v>
      </c>
    </row>
    <row r="4163" spans="1:7" x14ac:dyDescent="0.4">
      <c r="A4163">
        <v>62</v>
      </c>
      <c r="B4163" t="s">
        <v>465</v>
      </c>
      <c r="C4163" s="10">
        <v>8.6199999999999992</v>
      </c>
      <c r="D4163" s="10">
        <v>0.44</v>
      </c>
      <c r="E4163" s="16">
        <v>5.38</v>
      </c>
      <c r="F4163">
        <v>43552</v>
      </c>
      <c r="G4163" s="5">
        <v>43130</v>
      </c>
    </row>
    <row r="4164" spans="1:7" x14ac:dyDescent="0.4">
      <c r="A4164">
        <v>63</v>
      </c>
      <c r="B4164" t="s">
        <v>1282</v>
      </c>
      <c r="C4164" s="10">
        <v>5.9</v>
      </c>
      <c r="D4164" s="10">
        <v>0.3</v>
      </c>
      <c r="E4164" s="16">
        <v>5.36</v>
      </c>
      <c r="F4164">
        <v>683096</v>
      </c>
      <c r="G4164" s="5">
        <v>43130</v>
      </c>
    </row>
    <row r="4165" spans="1:7" x14ac:dyDescent="0.4">
      <c r="A4165">
        <v>64</v>
      </c>
      <c r="B4165" t="s">
        <v>1012</v>
      </c>
      <c r="C4165" s="10">
        <v>2.95</v>
      </c>
      <c r="D4165" s="10">
        <v>0.15</v>
      </c>
      <c r="E4165" s="16">
        <v>5.36</v>
      </c>
      <c r="F4165">
        <v>159003</v>
      </c>
      <c r="G4165" s="5">
        <v>43130</v>
      </c>
    </row>
    <row r="4166" spans="1:7" x14ac:dyDescent="0.4">
      <c r="A4166">
        <v>65</v>
      </c>
      <c r="B4166" t="s">
        <v>259</v>
      </c>
      <c r="C4166" s="10">
        <v>7.95</v>
      </c>
      <c r="D4166" s="10">
        <v>0.4</v>
      </c>
      <c r="E4166" s="16">
        <v>5.3</v>
      </c>
      <c r="F4166">
        <v>2855525</v>
      </c>
      <c r="G4166" s="5">
        <v>43130</v>
      </c>
    </row>
    <row r="4167" spans="1:7" x14ac:dyDescent="0.4">
      <c r="A4167">
        <v>66</v>
      </c>
      <c r="B4167" t="s">
        <v>1283</v>
      </c>
      <c r="C4167" s="10">
        <v>17.25</v>
      </c>
      <c r="D4167" s="10">
        <v>0.85</v>
      </c>
      <c r="E4167" s="16">
        <v>5.18</v>
      </c>
      <c r="F4167">
        <v>1686824</v>
      </c>
      <c r="G4167" s="5">
        <v>43130</v>
      </c>
    </row>
    <row r="4168" spans="1:7" x14ac:dyDescent="0.4">
      <c r="A4168">
        <v>67</v>
      </c>
      <c r="B4168" t="s">
        <v>1151</v>
      </c>
      <c r="C4168" s="10">
        <v>8.14</v>
      </c>
      <c r="D4168" s="10">
        <v>0.4</v>
      </c>
      <c r="E4168" s="16">
        <v>5.17</v>
      </c>
      <c r="F4168">
        <v>133264</v>
      </c>
      <c r="G4168" s="5">
        <v>43130</v>
      </c>
    </row>
    <row r="4169" spans="1:7" x14ac:dyDescent="0.4">
      <c r="A4169">
        <v>68</v>
      </c>
      <c r="B4169" t="s">
        <v>718</v>
      </c>
      <c r="C4169" s="10">
        <v>25.94</v>
      </c>
      <c r="D4169" s="10">
        <v>1.26</v>
      </c>
      <c r="E4169" s="16">
        <v>5.13</v>
      </c>
      <c r="F4169">
        <v>25574</v>
      </c>
      <c r="G4169" s="5">
        <v>43130</v>
      </c>
    </row>
    <row r="4170" spans="1:7" x14ac:dyDescent="0.4">
      <c r="A4170">
        <v>69</v>
      </c>
      <c r="B4170" t="s">
        <v>665</v>
      </c>
      <c r="C4170" s="10">
        <v>12.31</v>
      </c>
      <c r="D4170" s="10">
        <v>0.59</v>
      </c>
      <c r="E4170" s="16">
        <v>5.03</v>
      </c>
      <c r="F4170">
        <v>31865</v>
      </c>
      <c r="G4170" s="5">
        <v>43130</v>
      </c>
    </row>
    <row r="4171" spans="1:7" x14ac:dyDescent="0.4">
      <c r="A4171">
        <v>70</v>
      </c>
      <c r="B4171" t="s">
        <v>642</v>
      </c>
      <c r="C4171" s="10">
        <v>4.05</v>
      </c>
      <c r="D4171" s="10">
        <v>0.19</v>
      </c>
      <c r="E4171" s="16">
        <v>4.92</v>
      </c>
      <c r="F4171">
        <v>2147131</v>
      </c>
      <c r="G4171" s="5">
        <v>43130</v>
      </c>
    </row>
    <row r="4172" spans="1:7" x14ac:dyDescent="0.4">
      <c r="A4172">
        <v>71</v>
      </c>
      <c r="B4172" t="s">
        <v>273</v>
      </c>
      <c r="C4172" s="10">
        <v>6.4</v>
      </c>
      <c r="D4172" s="10">
        <v>0.3</v>
      </c>
      <c r="E4172" s="16">
        <v>4.92</v>
      </c>
      <c r="F4172">
        <v>768888</v>
      </c>
      <c r="G4172" s="5">
        <v>43130</v>
      </c>
    </row>
    <row r="4173" spans="1:7" x14ac:dyDescent="0.4">
      <c r="A4173">
        <v>72</v>
      </c>
      <c r="B4173" t="s">
        <v>508</v>
      </c>
      <c r="C4173" s="10">
        <v>3.2</v>
      </c>
      <c r="D4173" s="10">
        <v>0.15</v>
      </c>
      <c r="E4173" s="16">
        <v>4.92</v>
      </c>
      <c r="F4173">
        <v>8289</v>
      </c>
      <c r="G4173" s="5">
        <v>43130</v>
      </c>
    </row>
    <row r="4174" spans="1:7" x14ac:dyDescent="0.4">
      <c r="A4174">
        <v>73</v>
      </c>
      <c r="B4174" t="s">
        <v>670</v>
      </c>
      <c r="C4174" s="10">
        <v>11.26</v>
      </c>
      <c r="D4174" s="10">
        <v>0.52</v>
      </c>
      <c r="E4174" s="16">
        <v>4.84</v>
      </c>
      <c r="F4174">
        <v>5059876</v>
      </c>
      <c r="G4174" s="5">
        <v>43130</v>
      </c>
    </row>
    <row r="4175" spans="1:7" x14ac:dyDescent="0.4">
      <c r="A4175">
        <v>74</v>
      </c>
      <c r="B4175" t="s">
        <v>1027</v>
      </c>
      <c r="C4175" s="10">
        <v>171.39</v>
      </c>
      <c r="D4175" s="10">
        <v>7.91</v>
      </c>
      <c r="E4175" s="16">
        <v>4.84</v>
      </c>
      <c r="F4175">
        <v>16096025</v>
      </c>
      <c r="G4175" s="5">
        <v>43130</v>
      </c>
    </row>
    <row r="4176" spans="1:7" x14ac:dyDescent="0.4">
      <c r="A4176">
        <v>75</v>
      </c>
      <c r="B4176" t="s">
        <v>1284</v>
      </c>
      <c r="C4176" s="10">
        <v>16.309999999999999</v>
      </c>
      <c r="D4176" s="10">
        <v>0.74</v>
      </c>
      <c r="E4176" s="16">
        <v>4.75</v>
      </c>
      <c r="F4176">
        <v>3738194</v>
      </c>
      <c r="G4176" s="5">
        <v>43130</v>
      </c>
    </row>
    <row r="4177" spans="1:7" x14ac:dyDescent="0.4">
      <c r="A4177">
        <v>76</v>
      </c>
      <c r="B4177" t="s">
        <v>1285</v>
      </c>
      <c r="C4177" s="10">
        <v>18.75</v>
      </c>
      <c r="D4177" s="10">
        <v>0.85</v>
      </c>
      <c r="E4177" s="16">
        <v>4.75</v>
      </c>
      <c r="F4177">
        <v>597593</v>
      </c>
      <c r="G4177" s="5">
        <v>43130</v>
      </c>
    </row>
    <row r="4178" spans="1:7" x14ac:dyDescent="0.4">
      <c r="A4178">
        <v>77</v>
      </c>
      <c r="B4178" t="s">
        <v>671</v>
      </c>
      <c r="C4178" s="10">
        <v>8.6199999999999992</v>
      </c>
      <c r="D4178" s="10">
        <v>0.39</v>
      </c>
      <c r="E4178" s="16">
        <v>4.74</v>
      </c>
      <c r="F4178">
        <v>965079</v>
      </c>
      <c r="G4178" s="5">
        <v>43130</v>
      </c>
    </row>
    <row r="4179" spans="1:7" x14ac:dyDescent="0.4">
      <c r="A4179">
        <v>78</v>
      </c>
      <c r="B4179" t="s">
        <v>474</v>
      </c>
      <c r="C4179" s="10">
        <v>9.0399999999999991</v>
      </c>
      <c r="D4179" s="10">
        <v>0.4</v>
      </c>
      <c r="E4179" s="16">
        <v>4.63</v>
      </c>
      <c r="F4179">
        <v>24764</v>
      </c>
      <c r="G4179" s="5">
        <v>43130</v>
      </c>
    </row>
    <row r="4180" spans="1:7" x14ac:dyDescent="0.4">
      <c r="A4180">
        <v>79</v>
      </c>
      <c r="B4180" t="s">
        <v>1286</v>
      </c>
      <c r="C4180" s="10">
        <v>28.75</v>
      </c>
      <c r="D4180" s="10">
        <v>1.25</v>
      </c>
      <c r="E4180" s="16">
        <v>4.55</v>
      </c>
      <c r="F4180">
        <v>7102</v>
      </c>
      <c r="G4180" s="5">
        <v>43130</v>
      </c>
    </row>
    <row r="4181" spans="1:7" x14ac:dyDescent="0.4">
      <c r="A4181">
        <v>80</v>
      </c>
      <c r="B4181" t="s">
        <v>191</v>
      </c>
      <c r="C4181" s="10">
        <v>24.23</v>
      </c>
      <c r="D4181" s="10">
        <v>1.05</v>
      </c>
      <c r="E4181" s="16">
        <v>4.53</v>
      </c>
      <c r="F4181">
        <v>494860</v>
      </c>
      <c r="G4181" s="5">
        <v>43130</v>
      </c>
    </row>
    <row r="4182" spans="1:7" x14ac:dyDescent="0.4">
      <c r="A4182">
        <v>81</v>
      </c>
      <c r="B4182" t="s">
        <v>242</v>
      </c>
      <c r="C4182" s="10">
        <v>2.3199999999999998</v>
      </c>
      <c r="D4182" s="10">
        <v>0.1</v>
      </c>
      <c r="E4182" s="16">
        <v>4.5</v>
      </c>
      <c r="F4182">
        <v>209334</v>
      </c>
      <c r="G4182" s="5">
        <v>43130</v>
      </c>
    </row>
    <row r="4183" spans="1:7" x14ac:dyDescent="0.4">
      <c r="A4183">
        <v>82</v>
      </c>
      <c r="B4183" t="s">
        <v>415</v>
      </c>
      <c r="C4183" s="10">
        <v>13.09</v>
      </c>
      <c r="D4183" s="10">
        <v>0.55000000000000004</v>
      </c>
      <c r="E4183" s="16">
        <v>4.3899999999999997</v>
      </c>
      <c r="F4183">
        <v>45591</v>
      </c>
      <c r="G4183" s="5">
        <v>43130</v>
      </c>
    </row>
    <row r="4184" spans="1:7" x14ac:dyDescent="0.4">
      <c r="A4184">
        <v>83</v>
      </c>
      <c r="B4184" t="s">
        <v>1287</v>
      </c>
      <c r="C4184" s="10">
        <v>4.6399999999999997</v>
      </c>
      <c r="D4184" s="10">
        <v>0.19</v>
      </c>
      <c r="E4184" s="16">
        <v>4.37</v>
      </c>
      <c r="F4184">
        <v>18737</v>
      </c>
      <c r="G4184" s="5">
        <v>43130</v>
      </c>
    </row>
    <row r="4185" spans="1:7" x14ac:dyDescent="0.4">
      <c r="A4185">
        <v>84</v>
      </c>
      <c r="B4185" t="s">
        <v>1288</v>
      </c>
      <c r="C4185" s="10">
        <v>2.4</v>
      </c>
      <c r="D4185" s="10">
        <v>0.1</v>
      </c>
      <c r="E4185" s="16">
        <v>4.3499999999999996</v>
      </c>
      <c r="F4185">
        <v>2570785</v>
      </c>
      <c r="G4185" s="5">
        <v>43130</v>
      </c>
    </row>
    <row r="4186" spans="1:7" x14ac:dyDescent="0.4">
      <c r="A4186">
        <v>85</v>
      </c>
      <c r="B4186" t="s">
        <v>1289</v>
      </c>
      <c r="C4186" s="10">
        <v>34.619999999999997</v>
      </c>
      <c r="D4186" s="10">
        <v>1.44</v>
      </c>
      <c r="E4186" s="16">
        <v>4.34</v>
      </c>
      <c r="F4186">
        <v>148427</v>
      </c>
      <c r="G4186" s="5">
        <v>43130</v>
      </c>
    </row>
    <row r="4187" spans="1:7" x14ac:dyDescent="0.4">
      <c r="A4187">
        <v>86</v>
      </c>
      <c r="B4187" t="s">
        <v>1290</v>
      </c>
      <c r="C4187" s="10">
        <v>39.1</v>
      </c>
      <c r="D4187" s="10">
        <v>1.6</v>
      </c>
      <c r="E4187" s="16">
        <v>4.2699999999999996</v>
      </c>
      <c r="F4187">
        <v>1765986</v>
      </c>
      <c r="G4187" s="5">
        <v>43130</v>
      </c>
    </row>
    <row r="4188" spans="1:7" x14ac:dyDescent="0.4">
      <c r="A4188">
        <v>87</v>
      </c>
      <c r="B4188" t="s">
        <v>393</v>
      </c>
      <c r="C4188" s="10">
        <v>4.9000000000000004</v>
      </c>
      <c r="D4188" s="10">
        <v>0.2</v>
      </c>
      <c r="E4188" s="16">
        <v>4.26</v>
      </c>
      <c r="F4188">
        <v>47767</v>
      </c>
      <c r="G4188" s="5">
        <v>43130</v>
      </c>
    </row>
    <row r="4189" spans="1:7" x14ac:dyDescent="0.4">
      <c r="A4189">
        <v>88</v>
      </c>
      <c r="B4189" t="s">
        <v>1291</v>
      </c>
      <c r="C4189" s="10">
        <v>29.69</v>
      </c>
      <c r="D4189" s="10">
        <v>1.21</v>
      </c>
      <c r="E4189" s="16">
        <v>4.25</v>
      </c>
      <c r="F4189">
        <v>369113</v>
      </c>
      <c r="G4189" s="5">
        <v>43130</v>
      </c>
    </row>
    <row r="4190" spans="1:7" x14ac:dyDescent="0.4">
      <c r="A4190">
        <v>89</v>
      </c>
      <c r="B4190" t="s">
        <v>829</v>
      </c>
      <c r="C4190" s="10">
        <v>54.09</v>
      </c>
      <c r="D4190" s="10">
        <v>2.1800000000000002</v>
      </c>
      <c r="E4190" s="16">
        <v>4.2</v>
      </c>
      <c r="F4190">
        <v>1636403</v>
      </c>
      <c r="G4190" s="5">
        <v>43130</v>
      </c>
    </row>
    <row r="4191" spans="1:7" x14ac:dyDescent="0.4">
      <c r="A4191">
        <v>90</v>
      </c>
      <c r="B4191" t="s">
        <v>1292</v>
      </c>
      <c r="C4191" s="10">
        <v>4.22</v>
      </c>
      <c r="D4191" s="10">
        <v>0.17</v>
      </c>
      <c r="E4191" s="16">
        <v>4.2</v>
      </c>
      <c r="F4191">
        <v>17385</v>
      </c>
      <c r="G4191" s="5">
        <v>43130</v>
      </c>
    </row>
    <row r="4192" spans="1:7" x14ac:dyDescent="0.4">
      <c r="A4192">
        <v>91</v>
      </c>
      <c r="B4192" t="s">
        <v>1293</v>
      </c>
      <c r="C4192" s="10">
        <v>44.57</v>
      </c>
      <c r="D4192" s="10">
        <v>1.79</v>
      </c>
      <c r="E4192" s="16">
        <v>4.18</v>
      </c>
      <c r="F4192">
        <v>2420</v>
      </c>
      <c r="G4192" s="5">
        <v>43130</v>
      </c>
    </row>
    <row r="4193" spans="1:7" x14ac:dyDescent="0.4">
      <c r="A4193">
        <v>92</v>
      </c>
      <c r="B4193" t="s">
        <v>1294</v>
      </c>
      <c r="C4193" s="10">
        <v>2.74</v>
      </c>
      <c r="D4193" s="10">
        <v>0.11</v>
      </c>
      <c r="E4193" s="16">
        <v>4.18</v>
      </c>
      <c r="F4193">
        <v>42913</v>
      </c>
      <c r="G4193" s="5">
        <v>43130</v>
      </c>
    </row>
    <row r="4194" spans="1:7" x14ac:dyDescent="0.4">
      <c r="A4194">
        <v>93</v>
      </c>
      <c r="B4194" t="s">
        <v>1295</v>
      </c>
      <c r="C4194" s="10">
        <v>40</v>
      </c>
      <c r="D4194" s="10">
        <v>1.6</v>
      </c>
      <c r="E4194" s="16">
        <v>4.17</v>
      </c>
      <c r="F4194">
        <v>120929</v>
      </c>
      <c r="G4194" s="5">
        <v>43130</v>
      </c>
    </row>
    <row r="4195" spans="1:7" x14ac:dyDescent="0.4">
      <c r="A4195">
        <v>94</v>
      </c>
      <c r="B4195" t="s">
        <v>644</v>
      </c>
      <c r="C4195" s="10">
        <v>7.26</v>
      </c>
      <c r="D4195" s="10">
        <v>0.28999999999999998</v>
      </c>
      <c r="E4195" s="16">
        <v>4.16</v>
      </c>
      <c r="F4195">
        <v>1881236</v>
      </c>
      <c r="G4195" s="5">
        <v>43130</v>
      </c>
    </row>
    <row r="4196" spans="1:7" x14ac:dyDescent="0.4">
      <c r="A4196">
        <v>95</v>
      </c>
      <c r="B4196" t="s">
        <v>1296</v>
      </c>
      <c r="C4196" s="10">
        <v>2.5099999999999998</v>
      </c>
      <c r="D4196" s="10">
        <v>0.1</v>
      </c>
      <c r="E4196" s="16">
        <v>4.1500000000000004</v>
      </c>
      <c r="F4196">
        <v>5126456</v>
      </c>
      <c r="G4196" s="5">
        <v>43130</v>
      </c>
    </row>
    <row r="4197" spans="1:7" x14ac:dyDescent="0.4">
      <c r="A4197">
        <v>96</v>
      </c>
      <c r="B4197" t="s">
        <v>1063</v>
      </c>
      <c r="C4197" s="10">
        <v>9.82</v>
      </c>
      <c r="D4197" s="10">
        <v>0.39</v>
      </c>
      <c r="E4197" s="16">
        <v>4.1399999999999997</v>
      </c>
      <c r="F4197">
        <v>114757</v>
      </c>
      <c r="G4197" s="5">
        <v>43130</v>
      </c>
    </row>
    <row r="4198" spans="1:7" x14ac:dyDescent="0.4">
      <c r="A4198">
        <v>97</v>
      </c>
      <c r="B4198" t="s">
        <v>1297</v>
      </c>
      <c r="C4198" s="10">
        <v>3.02</v>
      </c>
      <c r="D4198" s="10">
        <v>0.12</v>
      </c>
      <c r="E4198" s="16">
        <v>4.13</v>
      </c>
      <c r="F4198">
        <v>75234</v>
      </c>
      <c r="G4198" s="5">
        <v>43130</v>
      </c>
    </row>
    <row r="4199" spans="1:7" x14ac:dyDescent="0.4">
      <c r="A4199">
        <v>98</v>
      </c>
      <c r="B4199" t="s">
        <v>625</v>
      </c>
      <c r="C4199" s="10">
        <v>34.770000000000003</v>
      </c>
      <c r="D4199" s="10">
        <v>1.38</v>
      </c>
      <c r="E4199" s="16">
        <v>4.13</v>
      </c>
      <c r="F4199">
        <v>239148</v>
      </c>
      <c r="G4199" s="5">
        <v>43130</v>
      </c>
    </row>
    <row r="4200" spans="1:7" x14ac:dyDescent="0.4">
      <c r="A4200">
        <v>99</v>
      </c>
      <c r="B4200" t="s">
        <v>509</v>
      </c>
      <c r="C4200" s="10">
        <v>26.26</v>
      </c>
      <c r="D4200" s="10">
        <v>1.04</v>
      </c>
      <c r="E4200" s="16">
        <v>4.12</v>
      </c>
      <c r="F4200">
        <v>211383</v>
      </c>
      <c r="G4200" s="5">
        <v>43130</v>
      </c>
    </row>
    <row r="4201" spans="1:7" x14ac:dyDescent="0.4">
      <c r="A4201">
        <v>100</v>
      </c>
      <c r="B4201" t="s">
        <v>1298</v>
      </c>
      <c r="C4201" s="10">
        <v>10.199999999999999</v>
      </c>
      <c r="D4201" s="10">
        <v>0.4</v>
      </c>
      <c r="E4201" s="16">
        <v>4.08</v>
      </c>
      <c r="F4201">
        <v>507592</v>
      </c>
      <c r="G4201" s="5">
        <v>43130</v>
      </c>
    </row>
    <row r="4202" spans="1:7" x14ac:dyDescent="0.4">
      <c r="A4202">
        <v>1</v>
      </c>
      <c r="B4202" t="s">
        <v>1267</v>
      </c>
      <c r="C4202" s="10">
        <v>10</v>
      </c>
      <c r="D4202" s="10">
        <v>2.66</v>
      </c>
      <c r="E4202" s="16">
        <v>36.24</v>
      </c>
      <c r="F4202">
        <v>20563358</v>
      </c>
      <c r="G4202" s="5">
        <v>43129</v>
      </c>
    </row>
    <row r="4203" spans="1:7" x14ac:dyDescent="0.4">
      <c r="A4203">
        <v>2</v>
      </c>
      <c r="B4203" t="s">
        <v>506</v>
      </c>
      <c r="C4203" s="10">
        <v>4.0199999999999996</v>
      </c>
      <c r="D4203" s="10">
        <v>1.01</v>
      </c>
      <c r="E4203" s="16">
        <v>33.549999999999997</v>
      </c>
      <c r="F4203">
        <v>14514035</v>
      </c>
      <c r="G4203" s="5">
        <v>43129</v>
      </c>
    </row>
    <row r="4204" spans="1:7" x14ac:dyDescent="0.4">
      <c r="A4204">
        <v>3</v>
      </c>
      <c r="B4204" t="s">
        <v>1908</v>
      </c>
      <c r="C4204" s="10">
        <v>34.71</v>
      </c>
      <c r="D4204" s="10">
        <v>8.17</v>
      </c>
      <c r="E4204" s="16">
        <v>30.78</v>
      </c>
      <c r="F4204">
        <v>30616213</v>
      </c>
      <c r="G4204" s="5">
        <v>43129</v>
      </c>
    </row>
    <row r="4205" spans="1:7" x14ac:dyDescent="0.4">
      <c r="A4205">
        <v>4</v>
      </c>
      <c r="B4205" t="s">
        <v>205</v>
      </c>
      <c r="C4205" s="10">
        <v>6.11</v>
      </c>
      <c r="D4205" s="10">
        <v>1.1200000000000001</v>
      </c>
      <c r="E4205" s="16">
        <v>22.44</v>
      </c>
      <c r="F4205">
        <v>3239142</v>
      </c>
      <c r="G4205" s="5">
        <v>43129</v>
      </c>
    </row>
    <row r="4206" spans="1:7" x14ac:dyDescent="0.4">
      <c r="A4206">
        <v>5</v>
      </c>
      <c r="B4206" t="s">
        <v>1909</v>
      </c>
      <c r="C4206" s="10">
        <v>117.07</v>
      </c>
      <c r="D4206" s="10">
        <v>21.42</v>
      </c>
      <c r="E4206" s="16">
        <v>22.39</v>
      </c>
      <c r="F4206">
        <v>24633638</v>
      </c>
      <c r="G4206" s="5">
        <v>43129</v>
      </c>
    </row>
    <row r="4207" spans="1:7" x14ac:dyDescent="0.4">
      <c r="A4207">
        <v>6</v>
      </c>
      <c r="B4207" t="s">
        <v>1910</v>
      </c>
      <c r="C4207" s="10">
        <v>37.68</v>
      </c>
      <c r="D4207" s="10">
        <v>6.48</v>
      </c>
      <c r="E4207" s="16">
        <v>20.77</v>
      </c>
      <c r="F4207">
        <v>1546399</v>
      </c>
      <c r="G4207" s="5">
        <v>43129</v>
      </c>
    </row>
    <row r="4208" spans="1:7" x14ac:dyDescent="0.4">
      <c r="A4208">
        <v>7</v>
      </c>
      <c r="B4208" t="s">
        <v>291</v>
      </c>
      <c r="C4208" s="10">
        <v>22.82</v>
      </c>
      <c r="D4208" s="10">
        <v>3.4</v>
      </c>
      <c r="E4208" s="16">
        <v>17.510000000000002</v>
      </c>
      <c r="F4208">
        <v>551287</v>
      </c>
      <c r="G4208" s="5">
        <v>43129</v>
      </c>
    </row>
    <row r="4209" spans="1:7" x14ac:dyDescent="0.4">
      <c r="A4209">
        <v>8</v>
      </c>
      <c r="B4209" t="s">
        <v>625</v>
      </c>
      <c r="C4209" s="10">
        <v>33.39</v>
      </c>
      <c r="D4209" s="10">
        <v>4.88</v>
      </c>
      <c r="E4209" s="16">
        <v>17.12</v>
      </c>
      <c r="F4209">
        <v>503096</v>
      </c>
      <c r="G4209" s="5">
        <v>43129</v>
      </c>
    </row>
    <row r="4210" spans="1:7" x14ac:dyDescent="0.4">
      <c r="A4210">
        <v>9</v>
      </c>
      <c r="B4210" t="s">
        <v>966</v>
      </c>
      <c r="C4210" s="10">
        <v>5.83</v>
      </c>
      <c r="D4210" s="10">
        <v>0.85</v>
      </c>
      <c r="E4210" s="16">
        <v>17.07</v>
      </c>
      <c r="F4210">
        <v>2021037</v>
      </c>
      <c r="G4210" s="5">
        <v>43129</v>
      </c>
    </row>
    <row r="4211" spans="1:7" x14ac:dyDescent="0.4">
      <c r="A4211">
        <v>10</v>
      </c>
      <c r="B4211" t="s">
        <v>266</v>
      </c>
      <c r="C4211" s="10">
        <v>2.35</v>
      </c>
      <c r="D4211" s="10">
        <v>0.33</v>
      </c>
      <c r="E4211" s="16">
        <v>16.34</v>
      </c>
      <c r="F4211">
        <v>6261222</v>
      </c>
      <c r="G4211" s="5">
        <v>43129</v>
      </c>
    </row>
    <row r="4212" spans="1:7" x14ac:dyDescent="0.4">
      <c r="A4212">
        <v>11</v>
      </c>
      <c r="B4212" t="s">
        <v>1903</v>
      </c>
      <c r="C4212" s="10">
        <v>31.34</v>
      </c>
      <c r="D4212" s="10">
        <v>4.25</v>
      </c>
      <c r="E4212" s="16">
        <v>15.69</v>
      </c>
      <c r="F4212">
        <v>382999</v>
      </c>
      <c r="G4212" s="5">
        <v>43129</v>
      </c>
    </row>
    <row r="4213" spans="1:7" x14ac:dyDescent="0.4">
      <c r="A4213">
        <v>12</v>
      </c>
      <c r="B4213" t="s">
        <v>283</v>
      </c>
      <c r="C4213" s="10">
        <v>4.6399999999999997</v>
      </c>
      <c r="D4213" s="10">
        <v>0.6</v>
      </c>
      <c r="E4213" s="16">
        <v>14.83</v>
      </c>
      <c r="F4213">
        <v>28156</v>
      </c>
      <c r="G4213" s="5">
        <v>43129</v>
      </c>
    </row>
    <row r="4214" spans="1:7" x14ac:dyDescent="0.4">
      <c r="A4214">
        <v>13</v>
      </c>
      <c r="B4214" t="s">
        <v>430</v>
      </c>
      <c r="C4214" s="10">
        <v>11.33</v>
      </c>
      <c r="D4214" s="10">
        <v>1.41</v>
      </c>
      <c r="E4214" s="16">
        <v>14.21</v>
      </c>
      <c r="F4214">
        <v>51515314</v>
      </c>
      <c r="G4214" s="5">
        <v>43129</v>
      </c>
    </row>
    <row r="4215" spans="1:7" x14ac:dyDescent="0.4">
      <c r="A4215">
        <v>14</v>
      </c>
      <c r="B4215" t="s">
        <v>429</v>
      </c>
      <c r="C4215" s="10">
        <v>6.2</v>
      </c>
      <c r="D4215" s="10">
        <v>0.77</v>
      </c>
      <c r="E4215" s="16">
        <v>14.18</v>
      </c>
      <c r="F4215">
        <v>25083709</v>
      </c>
      <c r="G4215" s="5">
        <v>43129</v>
      </c>
    </row>
    <row r="4216" spans="1:7" x14ac:dyDescent="0.4">
      <c r="A4216">
        <v>15</v>
      </c>
      <c r="B4216" t="s">
        <v>1051</v>
      </c>
      <c r="C4216" s="10">
        <v>40.700000000000003</v>
      </c>
      <c r="D4216" s="10">
        <v>4.74</v>
      </c>
      <c r="E4216" s="16">
        <v>13.18</v>
      </c>
      <c r="F4216">
        <v>3393838</v>
      </c>
      <c r="G4216" s="5">
        <v>43129</v>
      </c>
    </row>
    <row r="4217" spans="1:7" x14ac:dyDescent="0.4">
      <c r="A4217">
        <v>16</v>
      </c>
      <c r="B4217" t="s">
        <v>957</v>
      </c>
      <c r="C4217" s="10">
        <v>21.75</v>
      </c>
      <c r="D4217" s="10">
        <v>2.52</v>
      </c>
      <c r="E4217" s="16">
        <v>13.1</v>
      </c>
      <c r="F4217">
        <v>633728</v>
      </c>
      <c r="G4217" s="5">
        <v>43129</v>
      </c>
    </row>
    <row r="4218" spans="1:7" x14ac:dyDescent="0.4">
      <c r="A4218">
        <v>17</v>
      </c>
      <c r="B4218" t="s">
        <v>1326</v>
      </c>
      <c r="C4218" s="10">
        <v>12.16</v>
      </c>
      <c r="D4218" s="10">
        <v>1.36</v>
      </c>
      <c r="E4218" s="16">
        <v>12.59</v>
      </c>
      <c r="F4218">
        <v>24664</v>
      </c>
      <c r="G4218" s="5">
        <v>43129</v>
      </c>
    </row>
    <row r="4219" spans="1:7" x14ac:dyDescent="0.4">
      <c r="A4219">
        <v>18</v>
      </c>
      <c r="B4219" t="s">
        <v>1911</v>
      </c>
      <c r="C4219" s="10">
        <v>53.65</v>
      </c>
      <c r="D4219" s="10">
        <v>6</v>
      </c>
      <c r="E4219" s="16">
        <v>12.59</v>
      </c>
      <c r="F4219">
        <v>3346602</v>
      </c>
      <c r="G4219" s="5">
        <v>43129</v>
      </c>
    </row>
    <row r="4220" spans="1:7" x14ac:dyDescent="0.4">
      <c r="A4220">
        <v>19</v>
      </c>
      <c r="B4220" t="s">
        <v>1463</v>
      </c>
      <c r="C4220" s="10">
        <v>44.39</v>
      </c>
      <c r="D4220" s="10">
        <v>4.9400000000000004</v>
      </c>
      <c r="E4220" s="16">
        <v>12.52</v>
      </c>
      <c r="F4220">
        <v>1020323</v>
      </c>
      <c r="G4220" s="5">
        <v>43129</v>
      </c>
    </row>
    <row r="4221" spans="1:7" x14ac:dyDescent="0.4">
      <c r="A4221">
        <v>20</v>
      </c>
      <c r="B4221" t="s">
        <v>1912</v>
      </c>
      <c r="C4221" s="10">
        <v>66.27</v>
      </c>
      <c r="D4221" s="10">
        <v>7.26</v>
      </c>
      <c r="E4221" s="16">
        <v>12.3</v>
      </c>
      <c r="F4221">
        <v>10110436</v>
      </c>
      <c r="G4221" s="5">
        <v>43129</v>
      </c>
    </row>
    <row r="4222" spans="1:7" x14ac:dyDescent="0.4">
      <c r="A4222">
        <v>21</v>
      </c>
      <c r="B4222" t="s">
        <v>1913</v>
      </c>
      <c r="C4222" s="10">
        <v>3.81</v>
      </c>
      <c r="D4222" s="10">
        <v>0.41</v>
      </c>
      <c r="E4222" s="16">
        <v>12.06</v>
      </c>
      <c r="F4222">
        <v>1749378</v>
      </c>
      <c r="G4222" s="5">
        <v>43129</v>
      </c>
    </row>
    <row r="4223" spans="1:7" x14ac:dyDescent="0.4">
      <c r="A4223">
        <v>22</v>
      </c>
      <c r="B4223" t="s">
        <v>150</v>
      </c>
      <c r="C4223" s="10">
        <v>2.4500000000000002</v>
      </c>
      <c r="D4223" s="10">
        <v>0.25</v>
      </c>
      <c r="E4223" s="16">
        <v>11.36</v>
      </c>
      <c r="F4223">
        <v>77484</v>
      </c>
      <c r="G4223" s="5">
        <v>43129</v>
      </c>
    </row>
    <row r="4224" spans="1:7" x14ac:dyDescent="0.4">
      <c r="A4224">
        <v>23</v>
      </c>
      <c r="B4224" t="s">
        <v>1062</v>
      </c>
      <c r="C4224" s="10">
        <v>5.2</v>
      </c>
      <c r="D4224" s="10">
        <v>0.5</v>
      </c>
      <c r="E4224" s="16">
        <v>10.64</v>
      </c>
      <c r="F4224">
        <v>290068</v>
      </c>
      <c r="G4224" s="5">
        <v>43129</v>
      </c>
    </row>
    <row r="4225" spans="1:7" x14ac:dyDescent="0.4">
      <c r="A4225">
        <v>24</v>
      </c>
      <c r="B4225" t="s">
        <v>829</v>
      </c>
      <c r="C4225" s="10">
        <v>51.91</v>
      </c>
      <c r="D4225" s="10">
        <v>4.8600000000000003</v>
      </c>
      <c r="E4225" s="16">
        <v>10.33</v>
      </c>
      <c r="F4225">
        <v>2556469</v>
      </c>
      <c r="G4225" s="5">
        <v>43129</v>
      </c>
    </row>
    <row r="4226" spans="1:7" x14ac:dyDescent="0.4">
      <c r="A4226">
        <v>25</v>
      </c>
      <c r="B4226" t="s">
        <v>1914</v>
      </c>
      <c r="C4226" s="10">
        <v>6.83</v>
      </c>
      <c r="D4226" s="10">
        <v>0.63</v>
      </c>
      <c r="E4226" s="16">
        <v>10.24</v>
      </c>
      <c r="F4226">
        <v>427401</v>
      </c>
      <c r="G4226" s="5">
        <v>43129</v>
      </c>
    </row>
    <row r="4227" spans="1:7" x14ac:dyDescent="0.4">
      <c r="A4227">
        <v>26</v>
      </c>
      <c r="B4227" t="s">
        <v>26</v>
      </c>
      <c r="C4227" s="10">
        <v>4.66</v>
      </c>
      <c r="D4227" s="10">
        <v>0.43</v>
      </c>
      <c r="E4227" s="16">
        <v>10.220000000000001</v>
      </c>
      <c r="F4227">
        <v>87823</v>
      </c>
      <c r="G4227" s="5">
        <v>43129</v>
      </c>
    </row>
    <row r="4228" spans="1:7" x14ac:dyDescent="0.4">
      <c r="A4228">
        <v>27</v>
      </c>
      <c r="B4228" t="s">
        <v>439</v>
      </c>
      <c r="C4228" s="10">
        <v>2.29</v>
      </c>
      <c r="D4228" s="10">
        <v>0.21</v>
      </c>
      <c r="E4228" s="16">
        <v>10.1</v>
      </c>
      <c r="F4228">
        <v>2139774</v>
      </c>
      <c r="G4228" s="5">
        <v>43129</v>
      </c>
    </row>
    <row r="4229" spans="1:7" x14ac:dyDescent="0.4">
      <c r="A4229">
        <v>28</v>
      </c>
      <c r="B4229" t="s">
        <v>930</v>
      </c>
      <c r="C4229" s="10">
        <v>18.32</v>
      </c>
      <c r="D4229" s="10">
        <v>1.68</v>
      </c>
      <c r="E4229" s="16">
        <v>10.1</v>
      </c>
      <c r="F4229">
        <v>621583</v>
      </c>
      <c r="G4229" s="5">
        <v>43129</v>
      </c>
    </row>
    <row r="4230" spans="1:7" x14ac:dyDescent="0.4">
      <c r="A4230">
        <v>29</v>
      </c>
      <c r="B4230" t="s">
        <v>443</v>
      </c>
      <c r="C4230" s="10">
        <v>6.6</v>
      </c>
      <c r="D4230" s="10">
        <v>0.6</v>
      </c>
      <c r="E4230" s="16">
        <v>10</v>
      </c>
      <c r="F4230">
        <v>148098</v>
      </c>
      <c r="G4230" s="5">
        <v>43129</v>
      </c>
    </row>
    <row r="4231" spans="1:7" x14ac:dyDescent="0.4">
      <c r="A4231">
        <v>30</v>
      </c>
      <c r="B4231" t="s">
        <v>296</v>
      </c>
      <c r="C4231" s="10">
        <v>5.31</v>
      </c>
      <c r="D4231" s="10">
        <v>0.48</v>
      </c>
      <c r="E4231" s="16">
        <v>9.94</v>
      </c>
      <c r="F4231">
        <v>410967</v>
      </c>
      <c r="G4231" s="5">
        <v>43129</v>
      </c>
    </row>
    <row r="4232" spans="1:7" x14ac:dyDescent="0.4">
      <c r="A4232">
        <v>31</v>
      </c>
      <c r="B4232" t="s">
        <v>277</v>
      </c>
      <c r="C4232" s="10">
        <v>82.83</v>
      </c>
      <c r="D4232" s="10">
        <v>7.41</v>
      </c>
      <c r="E4232" s="16">
        <v>9.82</v>
      </c>
      <c r="F4232">
        <v>294611</v>
      </c>
      <c r="G4232" s="5">
        <v>43129</v>
      </c>
    </row>
    <row r="4233" spans="1:7" x14ac:dyDescent="0.4">
      <c r="A4233">
        <v>32</v>
      </c>
      <c r="B4233" t="s">
        <v>516</v>
      </c>
      <c r="C4233" s="10">
        <v>27.03</v>
      </c>
      <c r="D4233" s="10">
        <v>2.37</v>
      </c>
      <c r="E4233" s="16">
        <v>9.61</v>
      </c>
      <c r="F4233">
        <v>3703905</v>
      </c>
      <c r="G4233" s="5">
        <v>43129</v>
      </c>
    </row>
    <row r="4234" spans="1:7" x14ac:dyDescent="0.4">
      <c r="A4234">
        <v>33</v>
      </c>
      <c r="B4234" t="s">
        <v>830</v>
      </c>
      <c r="C4234" s="10">
        <v>9.3699999999999992</v>
      </c>
      <c r="D4234" s="10">
        <v>0.79</v>
      </c>
      <c r="E4234" s="16">
        <v>9.2100000000000009</v>
      </c>
      <c r="F4234">
        <v>7736415</v>
      </c>
      <c r="G4234" s="5">
        <v>43129</v>
      </c>
    </row>
    <row r="4235" spans="1:7" x14ac:dyDescent="0.4">
      <c r="A4235">
        <v>34</v>
      </c>
      <c r="B4235" t="s">
        <v>1662</v>
      </c>
      <c r="C4235" s="10">
        <v>2.5299999999999998</v>
      </c>
      <c r="D4235" s="10">
        <v>0.21</v>
      </c>
      <c r="E4235" s="16">
        <v>9.0500000000000007</v>
      </c>
      <c r="F4235">
        <v>754900</v>
      </c>
      <c r="G4235" s="5">
        <v>43129</v>
      </c>
    </row>
    <row r="4236" spans="1:7" x14ac:dyDescent="0.4">
      <c r="A4236">
        <v>35</v>
      </c>
      <c r="B4236" t="s">
        <v>1604</v>
      </c>
      <c r="C4236" s="10">
        <v>5.45</v>
      </c>
      <c r="D4236" s="10">
        <v>0.45</v>
      </c>
      <c r="E4236" s="16">
        <v>9</v>
      </c>
      <c r="F4236">
        <v>107456</v>
      </c>
      <c r="G4236" s="5">
        <v>43129</v>
      </c>
    </row>
    <row r="4237" spans="1:7" x14ac:dyDescent="0.4">
      <c r="A4237">
        <v>36</v>
      </c>
      <c r="B4237" t="s">
        <v>1273</v>
      </c>
      <c r="C4237" s="10">
        <v>3.2</v>
      </c>
      <c r="D4237" s="10">
        <v>0.26</v>
      </c>
      <c r="E4237" s="16">
        <v>8.84</v>
      </c>
      <c r="F4237">
        <v>25348</v>
      </c>
      <c r="G4237" s="5">
        <v>43129</v>
      </c>
    </row>
    <row r="4238" spans="1:7" x14ac:dyDescent="0.4">
      <c r="A4238">
        <v>37</v>
      </c>
      <c r="B4238" t="s">
        <v>1282</v>
      </c>
      <c r="C4238" s="10">
        <v>5.6</v>
      </c>
      <c r="D4238" s="10">
        <v>0.45</v>
      </c>
      <c r="E4238" s="16">
        <v>8.74</v>
      </c>
      <c r="F4238">
        <v>534548</v>
      </c>
      <c r="G4238" s="5">
        <v>43129</v>
      </c>
    </row>
    <row r="4239" spans="1:7" x14ac:dyDescent="0.4">
      <c r="A4239">
        <v>38</v>
      </c>
      <c r="B4239" t="s">
        <v>980</v>
      </c>
      <c r="C4239" s="10">
        <v>26.81</v>
      </c>
      <c r="D4239" s="10">
        <v>2.1</v>
      </c>
      <c r="E4239" s="16">
        <v>8.5</v>
      </c>
      <c r="F4239">
        <v>1715146</v>
      </c>
      <c r="G4239" s="5">
        <v>43129</v>
      </c>
    </row>
    <row r="4240" spans="1:7" x14ac:dyDescent="0.4">
      <c r="A4240">
        <v>39</v>
      </c>
      <c r="B4240" t="s">
        <v>686</v>
      </c>
      <c r="C4240" s="10">
        <v>21.93</v>
      </c>
      <c r="D4240" s="10">
        <v>1.66</v>
      </c>
      <c r="E4240" s="16">
        <v>8.19</v>
      </c>
      <c r="F4240">
        <v>8514549</v>
      </c>
      <c r="G4240" s="5">
        <v>43129</v>
      </c>
    </row>
    <row r="4241" spans="1:7" x14ac:dyDescent="0.4">
      <c r="A4241">
        <v>40</v>
      </c>
      <c r="B4241" t="s">
        <v>1915</v>
      </c>
      <c r="C4241" s="10">
        <v>123</v>
      </c>
      <c r="D4241" s="10">
        <v>9.2899999999999991</v>
      </c>
      <c r="E4241" s="16">
        <v>8.17</v>
      </c>
      <c r="F4241">
        <v>685308</v>
      </c>
      <c r="G4241" s="5">
        <v>43129</v>
      </c>
    </row>
    <row r="4242" spans="1:7" x14ac:dyDescent="0.4">
      <c r="A4242">
        <v>41</v>
      </c>
      <c r="B4242" t="s">
        <v>893</v>
      </c>
      <c r="C4242" s="10">
        <v>6.1</v>
      </c>
      <c r="D4242" s="10">
        <v>0.45</v>
      </c>
      <c r="E4242" s="16">
        <v>7.96</v>
      </c>
      <c r="F4242">
        <v>79841</v>
      </c>
      <c r="G4242" s="5">
        <v>43129</v>
      </c>
    </row>
    <row r="4243" spans="1:7" x14ac:dyDescent="0.4">
      <c r="A4243">
        <v>42</v>
      </c>
      <c r="B4243" t="s">
        <v>228</v>
      </c>
      <c r="C4243" s="10">
        <v>23.95</v>
      </c>
      <c r="D4243" s="10">
        <v>1.75</v>
      </c>
      <c r="E4243" s="16">
        <v>7.88</v>
      </c>
      <c r="F4243">
        <v>330038</v>
      </c>
      <c r="G4243" s="5">
        <v>43129</v>
      </c>
    </row>
    <row r="4244" spans="1:7" x14ac:dyDescent="0.4">
      <c r="A4244">
        <v>43</v>
      </c>
      <c r="B4244" t="s">
        <v>259</v>
      </c>
      <c r="C4244" s="10">
        <v>7.55</v>
      </c>
      <c r="D4244" s="10">
        <v>0.55000000000000004</v>
      </c>
      <c r="E4244" s="16">
        <v>7.86</v>
      </c>
      <c r="F4244">
        <v>3112580</v>
      </c>
      <c r="G4244" s="5">
        <v>43129</v>
      </c>
    </row>
    <row r="4245" spans="1:7" x14ac:dyDescent="0.4">
      <c r="A4245">
        <v>44</v>
      </c>
      <c r="B4245" t="s">
        <v>311</v>
      </c>
      <c r="C4245" s="10">
        <v>3.52</v>
      </c>
      <c r="D4245" s="10">
        <v>0.25</v>
      </c>
      <c r="E4245" s="16">
        <v>7.65</v>
      </c>
      <c r="F4245">
        <v>458991</v>
      </c>
      <c r="G4245" s="5">
        <v>43129</v>
      </c>
    </row>
    <row r="4246" spans="1:7" x14ac:dyDescent="0.4">
      <c r="A4246">
        <v>45</v>
      </c>
      <c r="B4246" t="s">
        <v>776</v>
      </c>
      <c r="C4246" s="10">
        <v>84.19</v>
      </c>
      <c r="D4246" s="10">
        <v>5.87</v>
      </c>
      <c r="E4246" s="16">
        <v>7.49</v>
      </c>
      <c r="F4246">
        <v>346464</v>
      </c>
      <c r="G4246" s="5">
        <v>43129</v>
      </c>
    </row>
    <row r="4247" spans="1:7" x14ac:dyDescent="0.4">
      <c r="A4247">
        <v>46</v>
      </c>
      <c r="B4247" t="s">
        <v>101</v>
      </c>
      <c r="C4247" s="10">
        <v>11.11</v>
      </c>
      <c r="D4247" s="10">
        <v>0.77</v>
      </c>
      <c r="E4247" s="16">
        <v>7.49</v>
      </c>
      <c r="F4247">
        <v>8204</v>
      </c>
      <c r="G4247" s="5">
        <v>43129</v>
      </c>
    </row>
    <row r="4248" spans="1:7" x14ac:dyDescent="0.4">
      <c r="A4248">
        <v>47</v>
      </c>
      <c r="B4248" t="s">
        <v>185</v>
      </c>
      <c r="C4248" s="10">
        <v>3.62</v>
      </c>
      <c r="D4248" s="10">
        <v>0.25</v>
      </c>
      <c r="E4248" s="16">
        <v>7.42</v>
      </c>
      <c r="F4248">
        <v>211925</v>
      </c>
      <c r="G4248" s="5">
        <v>43129</v>
      </c>
    </row>
    <row r="4249" spans="1:7" x14ac:dyDescent="0.4">
      <c r="A4249">
        <v>48</v>
      </c>
      <c r="B4249" t="s">
        <v>1132</v>
      </c>
      <c r="C4249" s="10">
        <v>15.37</v>
      </c>
      <c r="D4249" s="10">
        <v>1.06</v>
      </c>
      <c r="E4249" s="16">
        <v>7.41</v>
      </c>
      <c r="F4249">
        <v>229199</v>
      </c>
      <c r="G4249" s="5">
        <v>43129</v>
      </c>
    </row>
    <row r="4250" spans="1:7" x14ac:dyDescent="0.4">
      <c r="A4250">
        <v>49</v>
      </c>
      <c r="B4250" t="s">
        <v>441</v>
      </c>
      <c r="C4250" s="10">
        <v>12.55</v>
      </c>
      <c r="D4250" s="10">
        <v>0.86</v>
      </c>
      <c r="E4250" s="16">
        <v>7.36</v>
      </c>
      <c r="F4250">
        <v>216299</v>
      </c>
      <c r="G4250" s="5">
        <v>43129</v>
      </c>
    </row>
    <row r="4251" spans="1:7" x14ac:dyDescent="0.4">
      <c r="A4251">
        <v>50</v>
      </c>
      <c r="B4251" t="s">
        <v>442</v>
      </c>
      <c r="C4251" s="10">
        <v>24.6</v>
      </c>
      <c r="D4251" s="10">
        <v>1.67</v>
      </c>
      <c r="E4251" s="16">
        <v>7.28</v>
      </c>
      <c r="F4251">
        <v>1562691</v>
      </c>
      <c r="G4251" s="5">
        <v>43129</v>
      </c>
    </row>
    <row r="4252" spans="1:7" x14ac:dyDescent="0.4">
      <c r="A4252">
        <v>51</v>
      </c>
      <c r="B4252" t="s">
        <v>440</v>
      </c>
      <c r="C4252" s="10">
        <v>29.65</v>
      </c>
      <c r="D4252" s="10">
        <v>2.0099999999999998</v>
      </c>
      <c r="E4252" s="16">
        <v>7.27</v>
      </c>
      <c r="F4252">
        <v>60546712</v>
      </c>
      <c r="G4252" s="5">
        <v>43129</v>
      </c>
    </row>
    <row r="4253" spans="1:7" x14ac:dyDescent="0.4">
      <c r="A4253">
        <v>52</v>
      </c>
      <c r="B4253" t="s">
        <v>168</v>
      </c>
      <c r="C4253" s="10">
        <v>3.1</v>
      </c>
      <c r="D4253" s="10">
        <v>0.21</v>
      </c>
      <c r="E4253" s="16">
        <v>7.27</v>
      </c>
      <c r="F4253">
        <v>2261769</v>
      </c>
      <c r="G4253" s="5">
        <v>43129</v>
      </c>
    </row>
    <row r="4254" spans="1:7" x14ac:dyDescent="0.4">
      <c r="A4254">
        <v>53</v>
      </c>
      <c r="B4254" t="s">
        <v>1197</v>
      </c>
      <c r="C4254" s="10">
        <v>3</v>
      </c>
      <c r="D4254" s="10">
        <v>0.2</v>
      </c>
      <c r="E4254" s="16">
        <v>7.14</v>
      </c>
      <c r="F4254">
        <v>118729</v>
      </c>
      <c r="G4254" s="5">
        <v>43129</v>
      </c>
    </row>
    <row r="4255" spans="1:7" x14ac:dyDescent="0.4">
      <c r="A4255">
        <v>54</v>
      </c>
      <c r="B4255" t="s">
        <v>169</v>
      </c>
      <c r="C4255" s="10">
        <v>12.11</v>
      </c>
      <c r="D4255" s="10">
        <v>0.8</v>
      </c>
      <c r="E4255" s="16">
        <v>7.07</v>
      </c>
      <c r="F4255">
        <v>664359</v>
      </c>
      <c r="G4255" s="5">
        <v>43129</v>
      </c>
    </row>
    <row r="4256" spans="1:7" x14ac:dyDescent="0.4">
      <c r="A4256">
        <v>55</v>
      </c>
      <c r="B4256" t="s">
        <v>503</v>
      </c>
      <c r="C4256" s="10">
        <v>17.2</v>
      </c>
      <c r="D4256" s="10">
        <v>1.1299999999999999</v>
      </c>
      <c r="E4256" s="16">
        <v>7</v>
      </c>
      <c r="F4256">
        <v>11605</v>
      </c>
      <c r="G4256" s="5">
        <v>43129</v>
      </c>
    </row>
    <row r="4257" spans="1:7" x14ac:dyDescent="0.4">
      <c r="A4257">
        <v>56</v>
      </c>
      <c r="B4257" t="s">
        <v>1183</v>
      </c>
      <c r="C4257" s="10">
        <v>27.51</v>
      </c>
      <c r="D4257" s="10">
        <v>1.78</v>
      </c>
      <c r="E4257" s="16">
        <v>6.92</v>
      </c>
      <c r="F4257">
        <v>410800</v>
      </c>
      <c r="G4257" s="5">
        <v>43129</v>
      </c>
    </row>
    <row r="4258" spans="1:7" x14ac:dyDescent="0.4">
      <c r="A4258">
        <v>57</v>
      </c>
      <c r="B4258" t="s">
        <v>726</v>
      </c>
      <c r="C4258" s="10">
        <v>2.2799999999999998</v>
      </c>
      <c r="D4258" s="10">
        <v>0.15</v>
      </c>
      <c r="E4258" s="16">
        <v>6.92</v>
      </c>
      <c r="F4258">
        <v>394953</v>
      </c>
      <c r="G4258" s="5">
        <v>43129</v>
      </c>
    </row>
    <row r="4259" spans="1:7" x14ac:dyDescent="0.4">
      <c r="A4259">
        <v>58</v>
      </c>
      <c r="B4259" t="s">
        <v>72</v>
      </c>
      <c r="C4259" s="10">
        <v>5.57</v>
      </c>
      <c r="D4259" s="10">
        <v>0.36</v>
      </c>
      <c r="E4259" s="16">
        <v>6.91</v>
      </c>
      <c r="F4259">
        <v>902110</v>
      </c>
      <c r="G4259" s="5">
        <v>43129</v>
      </c>
    </row>
    <row r="4260" spans="1:7" x14ac:dyDescent="0.4">
      <c r="A4260">
        <v>59</v>
      </c>
      <c r="B4260" t="s">
        <v>519</v>
      </c>
      <c r="C4260" s="10">
        <v>7.86</v>
      </c>
      <c r="D4260" s="10">
        <v>0.5</v>
      </c>
      <c r="E4260" s="16">
        <v>6.79</v>
      </c>
      <c r="F4260">
        <v>76983</v>
      </c>
      <c r="G4260" s="5">
        <v>43129</v>
      </c>
    </row>
    <row r="4261" spans="1:7" x14ac:dyDescent="0.4">
      <c r="A4261">
        <v>60</v>
      </c>
      <c r="B4261" t="s">
        <v>1880</v>
      </c>
      <c r="C4261" s="10">
        <v>2.52</v>
      </c>
      <c r="D4261" s="10">
        <v>0.16</v>
      </c>
      <c r="E4261" s="16">
        <v>6.78</v>
      </c>
      <c r="F4261">
        <v>57823</v>
      </c>
      <c r="G4261" s="5">
        <v>43129</v>
      </c>
    </row>
    <row r="4262" spans="1:7" x14ac:dyDescent="0.4">
      <c r="A4262">
        <v>61</v>
      </c>
      <c r="B4262" t="s">
        <v>399</v>
      </c>
      <c r="C4262" s="10">
        <v>6.55</v>
      </c>
      <c r="D4262" s="10">
        <v>0.4</v>
      </c>
      <c r="E4262" s="16">
        <v>6.5</v>
      </c>
      <c r="F4262">
        <v>283084</v>
      </c>
      <c r="G4262" s="5">
        <v>43129</v>
      </c>
    </row>
    <row r="4263" spans="1:7" x14ac:dyDescent="0.4">
      <c r="A4263">
        <v>62</v>
      </c>
      <c r="B4263" t="s">
        <v>1179</v>
      </c>
      <c r="C4263" s="10">
        <v>9.39</v>
      </c>
      <c r="D4263" s="10">
        <v>0.56999999999999995</v>
      </c>
      <c r="E4263" s="16">
        <v>6.46</v>
      </c>
      <c r="F4263">
        <v>844525</v>
      </c>
      <c r="G4263" s="5">
        <v>43129</v>
      </c>
    </row>
    <row r="4264" spans="1:7" x14ac:dyDescent="0.4">
      <c r="A4264">
        <v>63</v>
      </c>
      <c r="B4264" t="s">
        <v>498</v>
      </c>
      <c r="C4264" s="10">
        <v>4.12</v>
      </c>
      <c r="D4264" s="10">
        <v>0.25</v>
      </c>
      <c r="E4264" s="16">
        <v>6.46</v>
      </c>
      <c r="F4264">
        <v>525598</v>
      </c>
      <c r="G4264" s="5">
        <v>43129</v>
      </c>
    </row>
    <row r="4265" spans="1:7" x14ac:dyDescent="0.4">
      <c r="A4265">
        <v>64</v>
      </c>
      <c r="B4265" t="s">
        <v>642</v>
      </c>
      <c r="C4265" s="10">
        <v>3.86</v>
      </c>
      <c r="D4265" s="10">
        <v>0.23</v>
      </c>
      <c r="E4265" s="16">
        <v>6.34</v>
      </c>
      <c r="F4265">
        <v>1417547</v>
      </c>
      <c r="G4265" s="5">
        <v>43129</v>
      </c>
    </row>
    <row r="4266" spans="1:7" x14ac:dyDescent="0.4">
      <c r="A4266">
        <v>65</v>
      </c>
      <c r="B4266" t="s">
        <v>1916</v>
      </c>
      <c r="C4266" s="10">
        <v>47</v>
      </c>
      <c r="D4266" s="10">
        <v>2.8</v>
      </c>
      <c r="E4266" s="16">
        <v>6.33</v>
      </c>
      <c r="F4266">
        <v>259321</v>
      </c>
      <c r="G4266" s="5">
        <v>43129</v>
      </c>
    </row>
    <row r="4267" spans="1:7" x14ac:dyDescent="0.4">
      <c r="A4267">
        <v>66</v>
      </c>
      <c r="B4267" t="s">
        <v>1636</v>
      </c>
      <c r="C4267" s="10">
        <v>8.68</v>
      </c>
      <c r="D4267" s="10">
        <v>0.5</v>
      </c>
      <c r="E4267" s="16">
        <v>6.11</v>
      </c>
      <c r="F4267">
        <v>816114</v>
      </c>
      <c r="G4267" s="5">
        <v>43129</v>
      </c>
    </row>
    <row r="4268" spans="1:7" x14ac:dyDescent="0.4">
      <c r="A4268">
        <v>67</v>
      </c>
      <c r="B4268" t="s">
        <v>886</v>
      </c>
      <c r="C4268" s="10">
        <v>9.6</v>
      </c>
      <c r="D4268" s="10">
        <v>0.55000000000000004</v>
      </c>
      <c r="E4268" s="16">
        <v>6.08</v>
      </c>
      <c r="F4268">
        <v>165365</v>
      </c>
      <c r="G4268" s="5">
        <v>43129</v>
      </c>
    </row>
    <row r="4269" spans="1:7" x14ac:dyDescent="0.4">
      <c r="A4269">
        <v>68</v>
      </c>
      <c r="B4269" t="s">
        <v>32</v>
      </c>
      <c r="C4269" s="10">
        <v>12.8</v>
      </c>
      <c r="D4269" s="10">
        <v>0.73</v>
      </c>
      <c r="E4269" s="16">
        <v>6.05</v>
      </c>
      <c r="F4269">
        <v>695005</v>
      </c>
      <c r="G4269" s="5">
        <v>43129</v>
      </c>
    </row>
    <row r="4270" spans="1:7" x14ac:dyDescent="0.4">
      <c r="A4270">
        <v>69</v>
      </c>
      <c r="B4270" t="s">
        <v>714</v>
      </c>
      <c r="C4270" s="10">
        <v>13.11</v>
      </c>
      <c r="D4270" s="10">
        <v>0.73</v>
      </c>
      <c r="E4270" s="16">
        <v>5.9</v>
      </c>
      <c r="F4270">
        <v>174883</v>
      </c>
      <c r="G4270" s="5">
        <v>43129</v>
      </c>
    </row>
    <row r="4271" spans="1:7" x14ac:dyDescent="0.4">
      <c r="A4271">
        <v>70</v>
      </c>
      <c r="B4271" t="s">
        <v>405</v>
      </c>
      <c r="C4271" s="10">
        <v>38.950000000000003</v>
      </c>
      <c r="D4271" s="10">
        <v>2.13</v>
      </c>
      <c r="E4271" s="16">
        <v>5.78</v>
      </c>
      <c r="F4271">
        <v>108025</v>
      </c>
      <c r="G4271" s="5">
        <v>43129</v>
      </c>
    </row>
    <row r="4272" spans="1:7" x14ac:dyDescent="0.4">
      <c r="A4272">
        <v>71</v>
      </c>
      <c r="B4272" t="s">
        <v>331</v>
      </c>
      <c r="C4272" s="10">
        <v>17.670000000000002</v>
      </c>
      <c r="D4272" s="10">
        <v>0.95</v>
      </c>
      <c r="E4272" s="16">
        <v>5.68</v>
      </c>
      <c r="F4272">
        <v>156633</v>
      </c>
      <c r="G4272" s="5">
        <v>43129</v>
      </c>
    </row>
    <row r="4273" spans="1:7" x14ac:dyDescent="0.4">
      <c r="A4273">
        <v>72</v>
      </c>
      <c r="B4273" t="s">
        <v>1917</v>
      </c>
      <c r="C4273" s="10">
        <v>61.65</v>
      </c>
      <c r="D4273" s="10">
        <v>3.3</v>
      </c>
      <c r="E4273" s="16">
        <v>5.66</v>
      </c>
      <c r="F4273">
        <v>1007043</v>
      </c>
      <c r="G4273" s="5">
        <v>43129</v>
      </c>
    </row>
    <row r="4274" spans="1:7" x14ac:dyDescent="0.4">
      <c r="A4274">
        <v>73</v>
      </c>
      <c r="B4274" t="s">
        <v>1918</v>
      </c>
      <c r="C4274" s="10">
        <v>3.8</v>
      </c>
      <c r="D4274" s="10">
        <v>0.2</v>
      </c>
      <c r="E4274" s="16">
        <v>5.56</v>
      </c>
      <c r="F4274">
        <v>8843</v>
      </c>
      <c r="G4274" s="5">
        <v>43129</v>
      </c>
    </row>
    <row r="4275" spans="1:7" x14ac:dyDescent="0.4">
      <c r="A4275">
        <v>74</v>
      </c>
      <c r="B4275" t="s">
        <v>1010</v>
      </c>
      <c r="C4275" s="10">
        <v>11.59</v>
      </c>
      <c r="D4275" s="10">
        <v>0.6</v>
      </c>
      <c r="E4275" s="16">
        <v>5.46</v>
      </c>
      <c r="F4275">
        <v>196455</v>
      </c>
      <c r="G4275" s="5">
        <v>43129</v>
      </c>
    </row>
    <row r="4276" spans="1:7" x14ac:dyDescent="0.4">
      <c r="A4276">
        <v>75</v>
      </c>
      <c r="B4276" t="s">
        <v>1919</v>
      </c>
      <c r="C4276" s="10">
        <v>20.8</v>
      </c>
      <c r="D4276" s="10">
        <v>1.07</v>
      </c>
      <c r="E4276" s="16">
        <v>5.42</v>
      </c>
      <c r="F4276">
        <v>4318949</v>
      </c>
      <c r="G4276" s="5">
        <v>43129</v>
      </c>
    </row>
    <row r="4277" spans="1:7" x14ac:dyDescent="0.4">
      <c r="A4277">
        <v>76</v>
      </c>
      <c r="B4277" t="s">
        <v>210</v>
      </c>
      <c r="C4277" s="10">
        <v>4.2699999999999996</v>
      </c>
      <c r="D4277" s="10">
        <v>0.22</v>
      </c>
      <c r="E4277" s="16">
        <v>5.4</v>
      </c>
      <c r="F4277">
        <v>72565</v>
      </c>
      <c r="G4277" s="5">
        <v>43129</v>
      </c>
    </row>
    <row r="4278" spans="1:7" x14ac:dyDescent="0.4">
      <c r="A4278">
        <v>77</v>
      </c>
      <c r="B4278" t="s">
        <v>1896</v>
      </c>
      <c r="C4278" s="10">
        <v>40.14</v>
      </c>
      <c r="D4278" s="10">
        <v>2.0299999999999998</v>
      </c>
      <c r="E4278" s="16">
        <v>5.33</v>
      </c>
      <c r="F4278">
        <v>240090</v>
      </c>
      <c r="G4278" s="5">
        <v>43129</v>
      </c>
    </row>
    <row r="4279" spans="1:7" x14ac:dyDescent="0.4">
      <c r="A4279">
        <v>78</v>
      </c>
      <c r="B4279" t="s">
        <v>445</v>
      </c>
      <c r="C4279" s="10">
        <v>10.69</v>
      </c>
      <c r="D4279" s="10">
        <v>0.54</v>
      </c>
      <c r="E4279" s="16">
        <v>5.32</v>
      </c>
      <c r="F4279">
        <v>1538729</v>
      </c>
      <c r="G4279" s="5">
        <v>43129</v>
      </c>
    </row>
    <row r="4280" spans="1:7" x14ac:dyDescent="0.4">
      <c r="A4280">
        <v>79</v>
      </c>
      <c r="B4280" t="s">
        <v>1285</v>
      </c>
      <c r="C4280" s="10">
        <v>17.899999999999999</v>
      </c>
      <c r="D4280" s="10">
        <v>0.9</v>
      </c>
      <c r="E4280" s="16">
        <v>5.29</v>
      </c>
      <c r="F4280">
        <v>722930</v>
      </c>
      <c r="G4280" s="5">
        <v>43129</v>
      </c>
    </row>
    <row r="4281" spans="1:7" x14ac:dyDescent="0.4">
      <c r="A4281">
        <v>80</v>
      </c>
      <c r="B4281" t="s">
        <v>1069</v>
      </c>
      <c r="C4281" s="10">
        <v>7.61</v>
      </c>
      <c r="D4281" s="10">
        <v>0.38</v>
      </c>
      <c r="E4281" s="16">
        <v>5.26</v>
      </c>
      <c r="F4281">
        <v>142602</v>
      </c>
      <c r="G4281" s="5">
        <v>43129</v>
      </c>
    </row>
    <row r="4282" spans="1:7" x14ac:dyDescent="0.4">
      <c r="A4282">
        <v>81</v>
      </c>
      <c r="B4282" t="s">
        <v>269</v>
      </c>
      <c r="C4282" s="10">
        <v>6.66</v>
      </c>
      <c r="D4282" s="10">
        <v>0.33</v>
      </c>
      <c r="E4282" s="16">
        <v>5.21</v>
      </c>
      <c r="F4282">
        <v>1528534</v>
      </c>
      <c r="G4282" s="5">
        <v>43129</v>
      </c>
    </row>
    <row r="4283" spans="1:7" x14ac:dyDescent="0.4">
      <c r="A4283">
        <v>82</v>
      </c>
      <c r="B4283" t="s">
        <v>318</v>
      </c>
      <c r="C4283" s="10">
        <v>20.46</v>
      </c>
      <c r="D4283" s="10">
        <v>1.01</v>
      </c>
      <c r="E4283" s="16">
        <v>5.19</v>
      </c>
      <c r="F4283">
        <v>25821</v>
      </c>
      <c r="G4283" s="5">
        <v>43129</v>
      </c>
    </row>
    <row r="4284" spans="1:7" x14ac:dyDescent="0.4">
      <c r="A4284">
        <v>83</v>
      </c>
      <c r="B4284" t="s">
        <v>1920</v>
      </c>
      <c r="C4284" s="10">
        <v>14.4</v>
      </c>
      <c r="D4284" s="10">
        <v>0.7</v>
      </c>
      <c r="E4284" s="16">
        <v>5.1100000000000003</v>
      </c>
      <c r="F4284">
        <v>1884017</v>
      </c>
      <c r="G4284" s="5">
        <v>43129</v>
      </c>
    </row>
    <row r="4285" spans="1:7" x14ac:dyDescent="0.4">
      <c r="A4285">
        <v>84</v>
      </c>
      <c r="B4285" t="s">
        <v>1031</v>
      </c>
      <c r="C4285" s="10">
        <v>17.43</v>
      </c>
      <c r="D4285" s="10">
        <v>0.84</v>
      </c>
      <c r="E4285" s="16">
        <v>5.0599999999999996</v>
      </c>
      <c r="F4285">
        <v>3044291</v>
      </c>
      <c r="G4285" s="5">
        <v>43129</v>
      </c>
    </row>
    <row r="4286" spans="1:7" x14ac:dyDescent="0.4">
      <c r="A4286">
        <v>85</v>
      </c>
      <c r="B4286" t="s">
        <v>1807</v>
      </c>
      <c r="C4286" s="10">
        <v>6.83</v>
      </c>
      <c r="D4286" s="10">
        <v>0.33</v>
      </c>
      <c r="E4286" s="16">
        <v>5</v>
      </c>
      <c r="F4286">
        <v>6772</v>
      </c>
      <c r="G4286" s="5">
        <v>43129</v>
      </c>
    </row>
    <row r="4287" spans="1:7" x14ac:dyDescent="0.4">
      <c r="A4287">
        <v>86</v>
      </c>
      <c r="B4287" t="s">
        <v>1355</v>
      </c>
      <c r="C4287" s="10">
        <v>3.37</v>
      </c>
      <c r="D4287" s="10">
        <v>0.16</v>
      </c>
      <c r="E4287" s="16">
        <v>4.9800000000000004</v>
      </c>
      <c r="F4287">
        <v>35897</v>
      </c>
      <c r="G4287" s="5">
        <v>43129</v>
      </c>
    </row>
    <row r="4288" spans="1:7" x14ac:dyDescent="0.4">
      <c r="A4288">
        <v>87</v>
      </c>
      <c r="B4288" t="s">
        <v>707</v>
      </c>
      <c r="C4288" s="10">
        <v>6.96</v>
      </c>
      <c r="D4288" s="10">
        <v>0.33</v>
      </c>
      <c r="E4288" s="16">
        <v>4.9800000000000004</v>
      </c>
      <c r="F4288">
        <v>938008</v>
      </c>
      <c r="G4288" s="5">
        <v>43129</v>
      </c>
    </row>
    <row r="4289" spans="1:7" x14ac:dyDescent="0.4">
      <c r="A4289">
        <v>88</v>
      </c>
      <c r="B4289" t="s">
        <v>148</v>
      </c>
      <c r="C4289" s="10">
        <v>3.21</v>
      </c>
      <c r="D4289" s="10">
        <v>0.15</v>
      </c>
      <c r="E4289" s="16">
        <v>4.9000000000000004</v>
      </c>
      <c r="F4289">
        <v>42578</v>
      </c>
      <c r="G4289" s="5">
        <v>43129</v>
      </c>
    </row>
    <row r="4290" spans="1:7" x14ac:dyDescent="0.4">
      <c r="A4290">
        <v>89</v>
      </c>
      <c r="B4290" t="s">
        <v>102</v>
      </c>
      <c r="C4290" s="10">
        <v>7.72</v>
      </c>
      <c r="D4290" s="10">
        <v>0.36</v>
      </c>
      <c r="E4290" s="16">
        <v>4.8899999999999997</v>
      </c>
      <c r="F4290">
        <v>219649</v>
      </c>
      <c r="G4290" s="5">
        <v>43129</v>
      </c>
    </row>
    <row r="4291" spans="1:7" x14ac:dyDescent="0.4">
      <c r="A4291">
        <v>90</v>
      </c>
      <c r="B4291" t="s">
        <v>452</v>
      </c>
      <c r="C4291" s="10">
        <v>14.6</v>
      </c>
      <c r="D4291" s="10">
        <v>0.68</v>
      </c>
      <c r="E4291" s="16">
        <v>4.8899999999999997</v>
      </c>
      <c r="F4291">
        <v>98178</v>
      </c>
      <c r="G4291" s="5">
        <v>43129</v>
      </c>
    </row>
    <row r="4292" spans="1:7" x14ac:dyDescent="0.4">
      <c r="A4292">
        <v>91</v>
      </c>
      <c r="B4292" t="s">
        <v>359</v>
      </c>
      <c r="C4292" s="10">
        <v>9.2100000000000009</v>
      </c>
      <c r="D4292" s="10">
        <v>0.43</v>
      </c>
      <c r="E4292" s="16">
        <v>4.84</v>
      </c>
      <c r="F4292">
        <v>54262</v>
      </c>
      <c r="G4292" s="5">
        <v>43129</v>
      </c>
    </row>
    <row r="4293" spans="1:7" x14ac:dyDescent="0.4">
      <c r="A4293">
        <v>92</v>
      </c>
      <c r="B4293" t="s">
        <v>1075</v>
      </c>
      <c r="C4293" s="10">
        <v>21.8</v>
      </c>
      <c r="D4293" s="10">
        <v>1</v>
      </c>
      <c r="E4293" s="16">
        <v>4.8099999999999996</v>
      </c>
      <c r="F4293">
        <v>119037</v>
      </c>
      <c r="G4293" s="5">
        <v>43129</v>
      </c>
    </row>
    <row r="4294" spans="1:7" x14ac:dyDescent="0.4">
      <c r="A4294">
        <v>93</v>
      </c>
      <c r="B4294" t="s">
        <v>481</v>
      </c>
      <c r="C4294" s="10">
        <v>21.85</v>
      </c>
      <c r="D4294" s="10">
        <v>1</v>
      </c>
      <c r="E4294" s="16">
        <v>4.8</v>
      </c>
      <c r="F4294">
        <v>28388</v>
      </c>
      <c r="G4294" s="5">
        <v>43129</v>
      </c>
    </row>
    <row r="4295" spans="1:7" x14ac:dyDescent="0.4">
      <c r="A4295">
        <v>94</v>
      </c>
      <c r="B4295" t="s">
        <v>414</v>
      </c>
      <c r="C4295" s="10">
        <v>47.05</v>
      </c>
      <c r="D4295" s="10">
        <v>2.15</v>
      </c>
      <c r="E4295" s="16">
        <v>4.79</v>
      </c>
      <c r="F4295">
        <v>2112035</v>
      </c>
      <c r="G4295" s="5">
        <v>43129</v>
      </c>
    </row>
    <row r="4296" spans="1:7" x14ac:dyDescent="0.4">
      <c r="A4296">
        <v>95</v>
      </c>
      <c r="B4296" t="s">
        <v>1921</v>
      </c>
      <c r="C4296" s="10">
        <v>17.09</v>
      </c>
      <c r="D4296" s="10">
        <v>0.78</v>
      </c>
      <c r="E4296" s="16">
        <v>4.78</v>
      </c>
      <c r="F4296">
        <v>161333</v>
      </c>
      <c r="G4296" s="5">
        <v>43129</v>
      </c>
    </row>
    <row r="4297" spans="1:7" x14ac:dyDescent="0.4">
      <c r="A4297">
        <v>96</v>
      </c>
      <c r="B4297" t="s">
        <v>1922</v>
      </c>
      <c r="C4297" s="10">
        <v>15.35</v>
      </c>
      <c r="D4297" s="10">
        <v>0.7</v>
      </c>
      <c r="E4297" s="16">
        <v>4.78</v>
      </c>
      <c r="F4297">
        <v>329724</v>
      </c>
      <c r="G4297" s="5">
        <v>43129</v>
      </c>
    </row>
    <row r="4298" spans="1:7" x14ac:dyDescent="0.4">
      <c r="A4298">
        <v>97</v>
      </c>
      <c r="B4298" t="s">
        <v>706</v>
      </c>
      <c r="C4298" s="10">
        <v>23.7</v>
      </c>
      <c r="D4298" s="10">
        <v>1.08</v>
      </c>
      <c r="E4298" s="16">
        <v>4.7699999999999996</v>
      </c>
      <c r="F4298">
        <v>290777</v>
      </c>
      <c r="G4298" s="5">
        <v>43129</v>
      </c>
    </row>
    <row r="4299" spans="1:7" x14ac:dyDescent="0.4">
      <c r="A4299">
        <v>98</v>
      </c>
      <c r="B4299" t="s">
        <v>1843</v>
      </c>
      <c r="C4299" s="10">
        <v>15.07</v>
      </c>
      <c r="D4299" s="10">
        <v>0.68</v>
      </c>
      <c r="E4299" s="16">
        <v>4.7300000000000004</v>
      </c>
      <c r="F4299">
        <v>4027681</v>
      </c>
      <c r="G4299" s="5">
        <v>43129</v>
      </c>
    </row>
    <row r="4300" spans="1:7" x14ac:dyDescent="0.4">
      <c r="A4300">
        <v>99</v>
      </c>
      <c r="B4300" t="s">
        <v>1923</v>
      </c>
      <c r="C4300" s="10">
        <v>79.03</v>
      </c>
      <c r="D4300" s="10">
        <v>3.53</v>
      </c>
      <c r="E4300" s="16">
        <v>4.68</v>
      </c>
      <c r="F4300">
        <v>8720459</v>
      </c>
      <c r="G4300" s="5">
        <v>43129</v>
      </c>
    </row>
    <row r="4301" spans="1:7" x14ac:dyDescent="0.4">
      <c r="A4301">
        <v>100</v>
      </c>
      <c r="B4301" t="s">
        <v>1924</v>
      </c>
      <c r="C4301" s="10">
        <v>4.49</v>
      </c>
      <c r="D4301" s="10">
        <v>0.2</v>
      </c>
      <c r="E4301" s="16">
        <v>4.66</v>
      </c>
      <c r="F4301">
        <v>62039</v>
      </c>
      <c r="G4301" s="5">
        <v>43129</v>
      </c>
    </row>
    <row r="4302" spans="1:7" x14ac:dyDescent="0.4">
      <c r="A4302">
        <v>1</v>
      </c>
      <c r="B4302" t="s">
        <v>1925</v>
      </c>
      <c r="C4302" s="10">
        <v>103.79</v>
      </c>
      <c r="D4302" s="10">
        <v>39.68</v>
      </c>
      <c r="E4302" s="16">
        <v>61.89</v>
      </c>
      <c r="F4302">
        <v>31303387</v>
      </c>
      <c r="G4302" s="5">
        <v>43122</v>
      </c>
    </row>
    <row r="4303" spans="1:7" x14ac:dyDescent="0.4">
      <c r="A4303">
        <v>2</v>
      </c>
      <c r="B4303" t="s">
        <v>1926</v>
      </c>
      <c r="C4303" s="10">
        <v>67.290000000000006</v>
      </c>
      <c r="D4303" s="10">
        <v>20.57</v>
      </c>
      <c r="E4303" s="16">
        <v>44.03</v>
      </c>
      <c r="F4303">
        <v>30787587</v>
      </c>
      <c r="G4303" s="5">
        <v>43122</v>
      </c>
    </row>
    <row r="4304" spans="1:7" x14ac:dyDescent="0.4">
      <c r="A4304">
        <v>3</v>
      </c>
      <c r="B4304" t="s">
        <v>1927</v>
      </c>
      <c r="C4304" s="10">
        <v>86</v>
      </c>
      <c r="D4304" s="10">
        <v>18.190000000000001</v>
      </c>
      <c r="E4304" s="16">
        <v>26.82</v>
      </c>
      <c r="F4304">
        <v>35936918</v>
      </c>
      <c r="G4304" s="5">
        <v>43122</v>
      </c>
    </row>
    <row r="4305" spans="1:7" x14ac:dyDescent="0.4">
      <c r="A4305">
        <v>4</v>
      </c>
      <c r="B4305" t="s">
        <v>1101</v>
      </c>
      <c r="C4305" s="10">
        <v>4.0199999999999996</v>
      </c>
      <c r="D4305" s="10">
        <v>0.71</v>
      </c>
      <c r="E4305" s="16">
        <v>21.45</v>
      </c>
      <c r="F4305">
        <v>413347</v>
      </c>
      <c r="G4305" s="5">
        <v>43122</v>
      </c>
    </row>
    <row r="4306" spans="1:7" x14ac:dyDescent="0.4">
      <c r="A4306">
        <v>5</v>
      </c>
      <c r="B4306" t="s">
        <v>522</v>
      </c>
      <c r="C4306" s="10">
        <v>7.75</v>
      </c>
      <c r="D4306" s="10">
        <v>1.35</v>
      </c>
      <c r="E4306" s="16">
        <v>21.09</v>
      </c>
      <c r="F4306">
        <v>8137828</v>
      </c>
      <c r="G4306" s="5">
        <v>43122</v>
      </c>
    </row>
    <row r="4307" spans="1:7" x14ac:dyDescent="0.4">
      <c r="A4307">
        <v>6</v>
      </c>
      <c r="B4307" t="s">
        <v>1053</v>
      </c>
      <c r="C4307" s="10">
        <v>5.14</v>
      </c>
      <c r="D4307" s="10">
        <v>0.86</v>
      </c>
      <c r="E4307" s="16">
        <v>20.09</v>
      </c>
      <c r="F4307">
        <v>8338813</v>
      </c>
      <c r="G4307" s="5">
        <v>43122</v>
      </c>
    </row>
    <row r="4308" spans="1:7" x14ac:dyDescent="0.4">
      <c r="A4308">
        <v>7</v>
      </c>
      <c r="B4308" t="s">
        <v>1184</v>
      </c>
      <c r="C4308" s="10">
        <v>3.74</v>
      </c>
      <c r="D4308" s="10">
        <v>0.62</v>
      </c>
      <c r="E4308" s="16">
        <v>19.87</v>
      </c>
      <c r="F4308">
        <v>283493</v>
      </c>
      <c r="G4308" s="5">
        <v>43122</v>
      </c>
    </row>
    <row r="4309" spans="1:7" x14ac:dyDescent="0.4">
      <c r="A4309">
        <v>8</v>
      </c>
      <c r="B4309" t="s">
        <v>1049</v>
      </c>
      <c r="C4309" s="10">
        <v>9.76</v>
      </c>
      <c r="D4309" s="10">
        <v>1.59</v>
      </c>
      <c r="E4309" s="16">
        <v>19.46</v>
      </c>
      <c r="F4309">
        <v>64079</v>
      </c>
      <c r="G4309" s="5">
        <v>43122</v>
      </c>
    </row>
    <row r="4310" spans="1:7" x14ac:dyDescent="0.4">
      <c r="A4310">
        <v>9</v>
      </c>
      <c r="B4310" t="s">
        <v>1843</v>
      </c>
      <c r="C4310" s="10">
        <v>15.56</v>
      </c>
      <c r="D4310" s="10">
        <v>2.42</v>
      </c>
      <c r="E4310" s="16">
        <v>18.420000000000002</v>
      </c>
      <c r="F4310">
        <v>17317076</v>
      </c>
      <c r="G4310" s="5">
        <v>43122</v>
      </c>
    </row>
    <row r="4311" spans="1:7" x14ac:dyDescent="0.4">
      <c r="A4311">
        <v>10</v>
      </c>
      <c r="B4311" t="s">
        <v>434</v>
      </c>
      <c r="C4311" s="10">
        <v>3.84</v>
      </c>
      <c r="D4311" s="10">
        <v>0.55000000000000004</v>
      </c>
      <c r="E4311" s="16">
        <v>16.72</v>
      </c>
      <c r="F4311">
        <v>4751635</v>
      </c>
      <c r="G4311" s="5">
        <v>43122</v>
      </c>
    </row>
    <row r="4312" spans="1:7" x14ac:dyDescent="0.4">
      <c r="A4312">
        <v>11</v>
      </c>
      <c r="B4312" t="s">
        <v>763</v>
      </c>
      <c r="C4312" s="10">
        <v>102.84</v>
      </c>
      <c r="D4312" s="10">
        <v>14.61</v>
      </c>
      <c r="E4312" s="16">
        <v>16.559999999999999</v>
      </c>
      <c r="F4312">
        <v>1787706</v>
      </c>
      <c r="G4312" s="5">
        <v>43122</v>
      </c>
    </row>
    <row r="4313" spans="1:7" x14ac:dyDescent="0.4">
      <c r="A4313">
        <v>12</v>
      </c>
      <c r="B4313" t="s">
        <v>775</v>
      </c>
      <c r="C4313" s="10">
        <v>50.02</v>
      </c>
      <c r="D4313" s="10">
        <v>7.02</v>
      </c>
      <c r="E4313" s="16">
        <v>16.329999999999998</v>
      </c>
      <c r="F4313">
        <v>474152</v>
      </c>
      <c r="G4313" s="5">
        <v>43122</v>
      </c>
    </row>
    <row r="4314" spans="1:7" x14ac:dyDescent="0.4">
      <c r="A4314">
        <v>13</v>
      </c>
      <c r="B4314" t="s">
        <v>1230</v>
      </c>
      <c r="C4314" s="10">
        <v>28.81</v>
      </c>
      <c r="D4314" s="10">
        <v>3.98</v>
      </c>
      <c r="E4314" s="16">
        <v>16.03</v>
      </c>
      <c r="F4314">
        <v>3936227</v>
      </c>
      <c r="G4314" s="5">
        <v>43122</v>
      </c>
    </row>
    <row r="4315" spans="1:7" x14ac:dyDescent="0.4">
      <c r="A4315">
        <v>14</v>
      </c>
      <c r="B4315" t="s">
        <v>366</v>
      </c>
      <c r="C4315" s="10">
        <v>11.55</v>
      </c>
      <c r="D4315" s="10">
        <v>1.55</v>
      </c>
      <c r="E4315" s="16">
        <v>15.5</v>
      </c>
      <c r="F4315">
        <v>15117346</v>
      </c>
      <c r="G4315" s="5">
        <v>43122</v>
      </c>
    </row>
    <row r="4316" spans="1:7" x14ac:dyDescent="0.4">
      <c r="A4316">
        <v>15</v>
      </c>
      <c r="B4316" t="s">
        <v>1817</v>
      </c>
      <c r="C4316" s="10">
        <v>2.67</v>
      </c>
      <c r="D4316" s="10">
        <v>0.34</v>
      </c>
      <c r="E4316" s="16">
        <v>14.8</v>
      </c>
      <c r="F4316">
        <v>259657</v>
      </c>
      <c r="G4316" s="5">
        <v>43122</v>
      </c>
    </row>
    <row r="4317" spans="1:7" x14ac:dyDescent="0.4">
      <c r="A4317">
        <v>16</v>
      </c>
      <c r="B4317" t="s">
        <v>1928</v>
      </c>
      <c r="C4317" s="10">
        <v>2.5</v>
      </c>
      <c r="D4317" s="10">
        <v>0.32</v>
      </c>
      <c r="E4317" s="16">
        <v>14.68</v>
      </c>
      <c r="F4317">
        <v>462661</v>
      </c>
      <c r="G4317" s="5">
        <v>43122</v>
      </c>
    </row>
    <row r="4318" spans="1:7" x14ac:dyDescent="0.4">
      <c r="A4318">
        <v>17</v>
      </c>
      <c r="B4318" t="s">
        <v>1051</v>
      </c>
      <c r="C4318" s="10">
        <v>34.619999999999997</v>
      </c>
      <c r="D4318" s="10">
        <v>4.22</v>
      </c>
      <c r="E4318" s="16">
        <v>13.88</v>
      </c>
      <c r="F4318">
        <v>3177540</v>
      </c>
      <c r="G4318" s="5">
        <v>43122</v>
      </c>
    </row>
    <row r="4319" spans="1:7" x14ac:dyDescent="0.4">
      <c r="A4319">
        <v>18</v>
      </c>
      <c r="B4319" t="s">
        <v>1463</v>
      </c>
      <c r="C4319" s="10">
        <v>33.75</v>
      </c>
      <c r="D4319" s="10">
        <v>4.0199999999999996</v>
      </c>
      <c r="E4319" s="16">
        <v>13.52</v>
      </c>
      <c r="F4319">
        <v>800646</v>
      </c>
      <c r="G4319" s="5">
        <v>43122</v>
      </c>
    </row>
    <row r="4320" spans="1:7" x14ac:dyDescent="0.4">
      <c r="A4320">
        <v>19</v>
      </c>
      <c r="B4320" t="s">
        <v>1437</v>
      </c>
      <c r="C4320" s="10">
        <v>5.9</v>
      </c>
      <c r="D4320" s="10">
        <v>0.69</v>
      </c>
      <c r="E4320" s="16">
        <v>13.24</v>
      </c>
      <c r="F4320">
        <v>5909077</v>
      </c>
      <c r="G4320" s="5">
        <v>43122</v>
      </c>
    </row>
    <row r="4321" spans="1:7" x14ac:dyDescent="0.4">
      <c r="A4321">
        <v>20</v>
      </c>
      <c r="B4321" t="s">
        <v>810</v>
      </c>
      <c r="C4321" s="10">
        <v>3.54</v>
      </c>
      <c r="D4321" s="10">
        <v>0.41</v>
      </c>
      <c r="E4321" s="16">
        <v>13.1</v>
      </c>
      <c r="F4321">
        <v>3161625</v>
      </c>
      <c r="G4321" s="5">
        <v>43122</v>
      </c>
    </row>
    <row r="4322" spans="1:7" x14ac:dyDescent="0.4">
      <c r="A4322">
        <v>21</v>
      </c>
      <c r="B4322" t="s">
        <v>544</v>
      </c>
      <c r="C4322" s="10">
        <v>33.35</v>
      </c>
      <c r="D4322" s="10">
        <v>3.85</v>
      </c>
      <c r="E4322" s="16">
        <v>13.05</v>
      </c>
      <c r="F4322">
        <v>1732167</v>
      </c>
      <c r="G4322" s="5">
        <v>43122</v>
      </c>
    </row>
    <row r="4323" spans="1:7" x14ac:dyDescent="0.4">
      <c r="A4323">
        <v>22</v>
      </c>
      <c r="B4323" t="s">
        <v>1140</v>
      </c>
      <c r="C4323" s="10">
        <v>3.99</v>
      </c>
      <c r="D4323" s="10">
        <v>0.46</v>
      </c>
      <c r="E4323" s="16">
        <v>13.03</v>
      </c>
      <c r="F4323">
        <v>1263973</v>
      </c>
      <c r="G4323" s="5">
        <v>43122</v>
      </c>
    </row>
    <row r="4324" spans="1:7" x14ac:dyDescent="0.4">
      <c r="A4324">
        <v>23</v>
      </c>
      <c r="B4324" t="s">
        <v>1046</v>
      </c>
      <c r="C4324" s="10">
        <v>22.43</v>
      </c>
      <c r="D4324" s="10">
        <v>2.5099999999999998</v>
      </c>
      <c r="E4324" s="16">
        <v>12.6</v>
      </c>
      <c r="F4324">
        <v>7447535</v>
      </c>
      <c r="G4324" s="5">
        <v>43122</v>
      </c>
    </row>
    <row r="4325" spans="1:7" x14ac:dyDescent="0.4">
      <c r="A4325">
        <v>24</v>
      </c>
      <c r="B4325" t="s">
        <v>1179</v>
      </c>
      <c r="C4325" s="10">
        <v>8.2899999999999991</v>
      </c>
      <c r="D4325" s="10">
        <v>0.92</v>
      </c>
      <c r="E4325" s="16">
        <v>12.48</v>
      </c>
      <c r="F4325">
        <v>899749</v>
      </c>
      <c r="G4325" s="5">
        <v>43122</v>
      </c>
    </row>
    <row r="4326" spans="1:7" x14ac:dyDescent="0.4">
      <c r="A4326">
        <v>25</v>
      </c>
      <c r="B4326" t="s">
        <v>1929</v>
      </c>
      <c r="C4326" s="10">
        <v>78.349999999999994</v>
      </c>
      <c r="D4326" s="10">
        <v>8.4600000000000009</v>
      </c>
      <c r="E4326" s="16">
        <v>12.1</v>
      </c>
      <c r="F4326">
        <v>2517442</v>
      </c>
      <c r="G4326" s="5">
        <v>43122</v>
      </c>
    </row>
    <row r="4327" spans="1:7" x14ac:dyDescent="0.4">
      <c r="A4327">
        <v>26</v>
      </c>
      <c r="B4327" t="s">
        <v>1191</v>
      </c>
      <c r="C4327" s="10">
        <v>57.35</v>
      </c>
      <c r="D4327" s="10">
        <v>6.09</v>
      </c>
      <c r="E4327" s="16">
        <v>11.88</v>
      </c>
      <c r="F4327">
        <v>1280250</v>
      </c>
      <c r="G4327" s="5">
        <v>43122</v>
      </c>
    </row>
    <row r="4328" spans="1:7" x14ac:dyDescent="0.4">
      <c r="A4328">
        <v>27</v>
      </c>
      <c r="B4328" t="s">
        <v>980</v>
      </c>
      <c r="C4328" s="10">
        <v>21.66</v>
      </c>
      <c r="D4328" s="10">
        <v>2.23</v>
      </c>
      <c r="E4328" s="16">
        <v>11.48</v>
      </c>
      <c r="F4328">
        <v>1226175</v>
      </c>
      <c r="G4328" s="5">
        <v>43122</v>
      </c>
    </row>
    <row r="4329" spans="1:7" x14ac:dyDescent="0.4">
      <c r="A4329">
        <v>28</v>
      </c>
      <c r="B4329" t="s">
        <v>1408</v>
      </c>
      <c r="C4329" s="10">
        <v>8.8000000000000007</v>
      </c>
      <c r="D4329" s="10">
        <v>0.9</v>
      </c>
      <c r="E4329" s="16">
        <v>11.39</v>
      </c>
      <c r="F4329">
        <v>133355</v>
      </c>
      <c r="G4329" s="5">
        <v>43122</v>
      </c>
    </row>
    <row r="4330" spans="1:7" x14ac:dyDescent="0.4">
      <c r="A4330">
        <v>29</v>
      </c>
      <c r="B4330" t="s">
        <v>1920</v>
      </c>
      <c r="C4330" s="10">
        <v>11.85</v>
      </c>
      <c r="D4330" s="10">
        <v>1.1499999999999999</v>
      </c>
      <c r="E4330" s="16">
        <v>10.75</v>
      </c>
      <c r="F4330">
        <v>1615267</v>
      </c>
      <c r="G4330" s="5">
        <v>43122</v>
      </c>
    </row>
    <row r="4331" spans="1:7" x14ac:dyDescent="0.4">
      <c r="A4331">
        <v>30</v>
      </c>
      <c r="B4331" t="s">
        <v>1375</v>
      </c>
      <c r="C4331" s="10">
        <v>194.65</v>
      </c>
      <c r="D4331" s="10">
        <v>18.7</v>
      </c>
      <c r="E4331" s="16">
        <v>10.63</v>
      </c>
      <c r="F4331">
        <v>2512251</v>
      </c>
      <c r="G4331" s="5">
        <v>43122</v>
      </c>
    </row>
    <row r="4332" spans="1:7" x14ac:dyDescent="0.4">
      <c r="A4332">
        <v>31</v>
      </c>
      <c r="B4332" t="s">
        <v>217</v>
      </c>
      <c r="C4332" s="10">
        <v>5.96</v>
      </c>
      <c r="D4332" s="10">
        <v>0.56999999999999995</v>
      </c>
      <c r="E4332" s="16">
        <v>10.58</v>
      </c>
      <c r="F4332">
        <v>100166</v>
      </c>
      <c r="G4332" s="5">
        <v>43122</v>
      </c>
    </row>
    <row r="4333" spans="1:7" x14ac:dyDescent="0.4">
      <c r="A4333">
        <v>32</v>
      </c>
      <c r="B4333" t="s">
        <v>932</v>
      </c>
      <c r="C4333" s="10">
        <v>7.55</v>
      </c>
      <c r="D4333" s="10">
        <v>0.72</v>
      </c>
      <c r="E4333" s="16">
        <v>10.54</v>
      </c>
      <c r="F4333">
        <v>2358170</v>
      </c>
      <c r="G4333" s="5">
        <v>43122</v>
      </c>
    </row>
    <row r="4334" spans="1:7" x14ac:dyDescent="0.4">
      <c r="A4334">
        <v>33</v>
      </c>
      <c r="B4334" t="s">
        <v>1930</v>
      </c>
      <c r="C4334" s="10">
        <v>32.450000000000003</v>
      </c>
      <c r="D4334" s="10">
        <v>3.05</v>
      </c>
      <c r="E4334" s="16">
        <v>10.37</v>
      </c>
      <c r="F4334">
        <v>29906347</v>
      </c>
      <c r="G4334" s="5">
        <v>43122</v>
      </c>
    </row>
    <row r="4335" spans="1:7" x14ac:dyDescent="0.4">
      <c r="A4335">
        <v>34</v>
      </c>
      <c r="B4335" t="s">
        <v>757</v>
      </c>
      <c r="C4335" s="10">
        <v>9.59</v>
      </c>
      <c r="D4335" s="10">
        <v>0.9</v>
      </c>
      <c r="E4335" s="16">
        <v>10.36</v>
      </c>
      <c r="F4335">
        <v>2059233</v>
      </c>
      <c r="G4335" s="5">
        <v>43122</v>
      </c>
    </row>
    <row r="4336" spans="1:7" x14ac:dyDescent="0.4">
      <c r="A4336">
        <v>35</v>
      </c>
      <c r="B4336" t="s">
        <v>218</v>
      </c>
      <c r="C4336" s="10">
        <v>32.49</v>
      </c>
      <c r="D4336" s="10">
        <v>3.01</v>
      </c>
      <c r="E4336" s="16">
        <v>10.210000000000001</v>
      </c>
      <c r="F4336">
        <v>864582</v>
      </c>
      <c r="G4336" s="5">
        <v>43122</v>
      </c>
    </row>
    <row r="4337" spans="1:7" x14ac:dyDescent="0.4">
      <c r="A4337">
        <v>36</v>
      </c>
      <c r="B4337" t="s">
        <v>875</v>
      </c>
      <c r="C4337" s="10">
        <v>42.3</v>
      </c>
      <c r="D4337" s="10">
        <v>3.9</v>
      </c>
      <c r="E4337" s="16">
        <v>10.16</v>
      </c>
      <c r="F4337">
        <v>1287669</v>
      </c>
      <c r="G4337" s="5">
        <v>43122</v>
      </c>
    </row>
    <row r="4338" spans="1:7" x14ac:dyDescent="0.4">
      <c r="A4338">
        <v>37</v>
      </c>
      <c r="B4338" t="s">
        <v>647</v>
      </c>
      <c r="C4338" s="10">
        <v>9.25</v>
      </c>
      <c r="D4338" s="10">
        <v>0.85</v>
      </c>
      <c r="E4338" s="16">
        <v>10.119999999999999</v>
      </c>
      <c r="F4338">
        <v>1346839</v>
      </c>
      <c r="G4338" s="5">
        <v>43122</v>
      </c>
    </row>
    <row r="4339" spans="1:7" x14ac:dyDescent="0.4">
      <c r="A4339">
        <v>38</v>
      </c>
      <c r="B4339" t="s">
        <v>1931</v>
      </c>
      <c r="C4339" s="10">
        <v>2.64</v>
      </c>
      <c r="D4339" s="10">
        <v>0.24</v>
      </c>
      <c r="E4339" s="16">
        <v>10</v>
      </c>
      <c r="F4339">
        <v>10151690</v>
      </c>
      <c r="G4339" s="5">
        <v>43122</v>
      </c>
    </row>
    <row r="4340" spans="1:7" x14ac:dyDescent="0.4">
      <c r="A4340">
        <v>39</v>
      </c>
      <c r="B4340" t="s">
        <v>1508</v>
      </c>
      <c r="C4340" s="10">
        <v>20.92</v>
      </c>
      <c r="D4340" s="10">
        <v>1.89</v>
      </c>
      <c r="E4340" s="16">
        <v>9.93</v>
      </c>
      <c r="F4340">
        <v>1509043</v>
      </c>
      <c r="G4340" s="5">
        <v>43122</v>
      </c>
    </row>
    <row r="4341" spans="1:7" x14ac:dyDescent="0.4">
      <c r="A4341">
        <v>40</v>
      </c>
      <c r="B4341" t="s">
        <v>1760</v>
      </c>
      <c r="C4341" s="10">
        <v>3</v>
      </c>
      <c r="D4341" s="10">
        <v>0.27</v>
      </c>
      <c r="E4341" s="16">
        <v>9.89</v>
      </c>
      <c r="F4341">
        <v>4938251</v>
      </c>
      <c r="G4341" s="5">
        <v>43122</v>
      </c>
    </row>
    <row r="4342" spans="1:7" x14ac:dyDescent="0.4">
      <c r="A4342">
        <v>41</v>
      </c>
      <c r="B4342" t="s">
        <v>1932</v>
      </c>
      <c r="C4342" s="10">
        <v>18.68</v>
      </c>
      <c r="D4342" s="10">
        <v>1.67</v>
      </c>
      <c r="E4342" s="16">
        <v>9.82</v>
      </c>
      <c r="F4342">
        <v>8766066</v>
      </c>
      <c r="G4342" s="5">
        <v>43122</v>
      </c>
    </row>
    <row r="4343" spans="1:7" x14ac:dyDescent="0.4">
      <c r="A4343">
        <v>42</v>
      </c>
      <c r="B4343" t="s">
        <v>1112</v>
      </c>
      <c r="C4343" s="10">
        <v>8.5299999999999994</v>
      </c>
      <c r="D4343" s="10">
        <v>0.76</v>
      </c>
      <c r="E4343" s="16">
        <v>9.7799999999999994</v>
      </c>
      <c r="F4343">
        <v>4393609</v>
      </c>
      <c r="G4343" s="5">
        <v>43122</v>
      </c>
    </row>
    <row r="4344" spans="1:7" x14ac:dyDescent="0.4">
      <c r="A4344">
        <v>43</v>
      </c>
      <c r="B4344" t="s">
        <v>328</v>
      </c>
      <c r="C4344" s="10">
        <v>7.4</v>
      </c>
      <c r="D4344" s="10">
        <v>0.65</v>
      </c>
      <c r="E4344" s="16">
        <v>9.6300000000000008</v>
      </c>
      <c r="F4344">
        <v>155687</v>
      </c>
      <c r="G4344" s="5">
        <v>43122</v>
      </c>
    </row>
    <row r="4345" spans="1:7" x14ac:dyDescent="0.4">
      <c r="A4345">
        <v>44</v>
      </c>
      <c r="B4345" t="s">
        <v>1018</v>
      </c>
      <c r="C4345" s="10">
        <v>10.25</v>
      </c>
      <c r="D4345" s="10">
        <v>0.9</v>
      </c>
      <c r="E4345" s="16">
        <v>9.6300000000000008</v>
      </c>
      <c r="F4345">
        <v>1465876</v>
      </c>
      <c r="G4345" s="5">
        <v>43122</v>
      </c>
    </row>
    <row r="4346" spans="1:7" x14ac:dyDescent="0.4">
      <c r="A4346">
        <v>45</v>
      </c>
      <c r="B4346" t="s">
        <v>521</v>
      </c>
      <c r="C4346" s="10">
        <v>19.71</v>
      </c>
      <c r="D4346" s="10">
        <v>1.72</v>
      </c>
      <c r="E4346" s="16">
        <v>9.56</v>
      </c>
      <c r="F4346">
        <v>569237</v>
      </c>
      <c r="G4346" s="5">
        <v>43122</v>
      </c>
    </row>
    <row r="4347" spans="1:7" x14ac:dyDescent="0.4">
      <c r="A4347">
        <v>46</v>
      </c>
      <c r="B4347" t="s">
        <v>1636</v>
      </c>
      <c r="C4347" s="10">
        <v>8.5399999999999991</v>
      </c>
      <c r="D4347" s="10">
        <v>0.74</v>
      </c>
      <c r="E4347" s="16">
        <v>9.49</v>
      </c>
      <c r="F4347">
        <v>1984966</v>
      </c>
      <c r="G4347" s="5">
        <v>43122</v>
      </c>
    </row>
    <row r="4348" spans="1:7" x14ac:dyDescent="0.4">
      <c r="A4348">
        <v>47</v>
      </c>
      <c r="B4348" t="s">
        <v>770</v>
      </c>
      <c r="C4348" s="10">
        <v>42.2</v>
      </c>
      <c r="D4348" s="10">
        <v>3.64</v>
      </c>
      <c r="E4348" s="16">
        <v>9.44</v>
      </c>
      <c r="F4348">
        <v>181493</v>
      </c>
      <c r="G4348" s="5">
        <v>43122</v>
      </c>
    </row>
    <row r="4349" spans="1:7" x14ac:dyDescent="0.4">
      <c r="A4349">
        <v>48</v>
      </c>
      <c r="B4349" t="s">
        <v>481</v>
      </c>
      <c r="C4349" s="10">
        <v>19.7</v>
      </c>
      <c r="D4349" s="10">
        <v>1.7</v>
      </c>
      <c r="E4349" s="16">
        <v>9.41</v>
      </c>
      <c r="F4349">
        <v>68324</v>
      </c>
      <c r="G4349" s="5">
        <v>43122</v>
      </c>
    </row>
    <row r="4350" spans="1:7" x14ac:dyDescent="0.4">
      <c r="A4350">
        <v>49</v>
      </c>
      <c r="B4350" t="s">
        <v>50</v>
      </c>
      <c r="C4350" s="10">
        <v>4.6500000000000004</v>
      </c>
      <c r="D4350" s="10">
        <v>0.4</v>
      </c>
      <c r="E4350" s="16">
        <v>9.41</v>
      </c>
      <c r="F4350">
        <v>1364239</v>
      </c>
      <c r="G4350" s="5">
        <v>43122</v>
      </c>
    </row>
    <row r="4351" spans="1:7" x14ac:dyDescent="0.4">
      <c r="A4351">
        <v>50</v>
      </c>
      <c r="B4351" t="s">
        <v>1536</v>
      </c>
      <c r="C4351" s="10">
        <v>19.399999999999999</v>
      </c>
      <c r="D4351" s="10">
        <v>1.65</v>
      </c>
      <c r="E4351" s="16">
        <v>9.3000000000000007</v>
      </c>
      <c r="F4351">
        <v>2401778</v>
      </c>
      <c r="G4351" s="5">
        <v>43122</v>
      </c>
    </row>
    <row r="4352" spans="1:7" x14ac:dyDescent="0.4">
      <c r="A4352">
        <v>51</v>
      </c>
      <c r="B4352" t="s">
        <v>916</v>
      </c>
      <c r="C4352" s="10">
        <v>3.21</v>
      </c>
      <c r="D4352" s="10">
        <v>0.27</v>
      </c>
      <c r="E4352" s="16">
        <v>9.18</v>
      </c>
      <c r="F4352">
        <v>686378</v>
      </c>
      <c r="G4352" s="5">
        <v>43122</v>
      </c>
    </row>
    <row r="4353" spans="1:7" x14ac:dyDescent="0.4">
      <c r="A4353">
        <v>52</v>
      </c>
      <c r="B4353" t="s">
        <v>1152</v>
      </c>
      <c r="C4353" s="10">
        <v>5.03</v>
      </c>
      <c r="D4353" s="10">
        <v>0.42</v>
      </c>
      <c r="E4353" s="16">
        <v>9.11</v>
      </c>
      <c r="F4353">
        <v>176902</v>
      </c>
      <c r="G4353" s="5">
        <v>43122</v>
      </c>
    </row>
    <row r="4354" spans="1:7" x14ac:dyDescent="0.4">
      <c r="A4354">
        <v>53</v>
      </c>
      <c r="B4354" t="s">
        <v>228</v>
      </c>
      <c r="C4354" s="10">
        <v>21.56</v>
      </c>
      <c r="D4354" s="10">
        <v>1.8</v>
      </c>
      <c r="E4354" s="16">
        <v>9.11</v>
      </c>
      <c r="F4354">
        <v>514658</v>
      </c>
      <c r="G4354" s="5">
        <v>43122</v>
      </c>
    </row>
    <row r="4355" spans="1:7" x14ac:dyDescent="0.4">
      <c r="A4355">
        <v>54</v>
      </c>
      <c r="B4355" t="s">
        <v>399</v>
      </c>
      <c r="C4355" s="10">
        <v>6</v>
      </c>
      <c r="D4355" s="10">
        <v>0.5</v>
      </c>
      <c r="E4355" s="16">
        <v>9.09</v>
      </c>
      <c r="F4355">
        <v>250375</v>
      </c>
      <c r="G4355" s="5">
        <v>43122</v>
      </c>
    </row>
    <row r="4356" spans="1:7" x14ac:dyDescent="0.4">
      <c r="A4356">
        <v>55</v>
      </c>
      <c r="B4356" t="s">
        <v>1458</v>
      </c>
      <c r="C4356" s="10">
        <v>25.31</v>
      </c>
      <c r="D4356" s="10">
        <v>2.09</v>
      </c>
      <c r="E4356" s="16">
        <v>9</v>
      </c>
      <c r="F4356">
        <v>2215424</v>
      </c>
      <c r="G4356" s="5">
        <v>43122</v>
      </c>
    </row>
    <row r="4357" spans="1:7" x14ac:dyDescent="0.4">
      <c r="A4357">
        <v>56</v>
      </c>
      <c r="B4357" t="s">
        <v>1275</v>
      </c>
      <c r="C4357" s="10">
        <v>2.31</v>
      </c>
      <c r="D4357" s="10">
        <v>0.19</v>
      </c>
      <c r="E4357" s="16">
        <v>8.9600000000000009</v>
      </c>
      <c r="F4357">
        <v>8340308</v>
      </c>
      <c r="G4357" s="5">
        <v>43122</v>
      </c>
    </row>
    <row r="4358" spans="1:7" x14ac:dyDescent="0.4">
      <c r="A4358">
        <v>57</v>
      </c>
      <c r="B4358" t="s">
        <v>38</v>
      </c>
      <c r="C4358" s="10">
        <v>47</v>
      </c>
      <c r="D4358" s="10">
        <v>3.83</v>
      </c>
      <c r="E4358" s="16">
        <v>8.8699999999999992</v>
      </c>
      <c r="F4358">
        <v>586949</v>
      </c>
      <c r="G4358" s="5">
        <v>43122</v>
      </c>
    </row>
    <row r="4359" spans="1:7" x14ac:dyDescent="0.4">
      <c r="A4359">
        <v>58</v>
      </c>
      <c r="B4359" t="s">
        <v>1136</v>
      </c>
      <c r="C4359" s="10">
        <v>21.21</v>
      </c>
      <c r="D4359" s="10">
        <v>1.72</v>
      </c>
      <c r="E4359" s="16">
        <v>8.83</v>
      </c>
      <c r="F4359">
        <v>417909</v>
      </c>
      <c r="G4359" s="5">
        <v>43122</v>
      </c>
    </row>
    <row r="4360" spans="1:7" x14ac:dyDescent="0.4">
      <c r="A4360">
        <v>59</v>
      </c>
      <c r="B4360" t="s">
        <v>1027</v>
      </c>
      <c r="C4360" s="10">
        <v>195.23</v>
      </c>
      <c r="D4360" s="10">
        <v>15.59</v>
      </c>
      <c r="E4360" s="16">
        <v>8.68</v>
      </c>
      <c r="F4360">
        <v>6603761</v>
      </c>
      <c r="G4360" s="5">
        <v>43122</v>
      </c>
    </row>
    <row r="4361" spans="1:7" x14ac:dyDescent="0.4">
      <c r="A4361">
        <v>60</v>
      </c>
      <c r="B4361" t="s">
        <v>1898</v>
      </c>
      <c r="C4361" s="10">
        <v>17</v>
      </c>
      <c r="D4361" s="10">
        <v>1.35</v>
      </c>
      <c r="E4361" s="16">
        <v>8.6300000000000008</v>
      </c>
      <c r="F4361">
        <v>2714659</v>
      </c>
      <c r="G4361" s="5">
        <v>43122</v>
      </c>
    </row>
    <row r="4362" spans="1:7" x14ac:dyDescent="0.4">
      <c r="A4362">
        <v>61</v>
      </c>
      <c r="B4362" t="s">
        <v>67</v>
      </c>
      <c r="C4362" s="10">
        <v>28.21</v>
      </c>
      <c r="D4362" s="10">
        <v>2.2400000000000002</v>
      </c>
      <c r="E4362" s="16">
        <v>8.6300000000000008</v>
      </c>
      <c r="F4362">
        <v>10708</v>
      </c>
      <c r="G4362" s="5">
        <v>43122</v>
      </c>
    </row>
    <row r="4363" spans="1:7" x14ac:dyDescent="0.4">
      <c r="A4363">
        <v>62</v>
      </c>
      <c r="B4363" t="s">
        <v>1933</v>
      </c>
      <c r="C4363" s="10">
        <v>53.39</v>
      </c>
      <c r="D4363" s="10">
        <v>4.2300000000000004</v>
      </c>
      <c r="E4363" s="16">
        <v>8.6</v>
      </c>
      <c r="F4363">
        <v>989924</v>
      </c>
      <c r="G4363" s="5">
        <v>43122</v>
      </c>
    </row>
    <row r="4364" spans="1:7" x14ac:dyDescent="0.4">
      <c r="A4364">
        <v>63</v>
      </c>
      <c r="B4364" t="s">
        <v>389</v>
      </c>
      <c r="C4364" s="10">
        <v>12.19</v>
      </c>
      <c r="D4364" s="10">
        <v>0.96</v>
      </c>
      <c r="E4364" s="16">
        <v>8.5500000000000007</v>
      </c>
      <c r="F4364">
        <v>201213</v>
      </c>
      <c r="G4364" s="5">
        <v>43122</v>
      </c>
    </row>
    <row r="4365" spans="1:7" x14ac:dyDescent="0.4">
      <c r="A4365">
        <v>64</v>
      </c>
      <c r="B4365" t="s">
        <v>564</v>
      </c>
      <c r="C4365" s="10">
        <v>36.68</v>
      </c>
      <c r="D4365" s="10">
        <v>2.88</v>
      </c>
      <c r="E4365" s="16">
        <v>8.52</v>
      </c>
      <c r="F4365">
        <v>789571</v>
      </c>
      <c r="G4365" s="5">
        <v>43122</v>
      </c>
    </row>
    <row r="4366" spans="1:7" x14ac:dyDescent="0.4">
      <c r="A4366">
        <v>65</v>
      </c>
      <c r="B4366" t="s">
        <v>287</v>
      </c>
      <c r="C4366" s="10">
        <v>6.4</v>
      </c>
      <c r="D4366" s="10">
        <v>0.5</v>
      </c>
      <c r="E4366" s="16">
        <v>8.4700000000000006</v>
      </c>
      <c r="F4366">
        <v>110398</v>
      </c>
      <c r="G4366" s="5">
        <v>43122</v>
      </c>
    </row>
    <row r="4367" spans="1:7" x14ac:dyDescent="0.4">
      <c r="A4367">
        <v>66</v>
      </c>
      <c r="B4367" t="s">
        <v>772</v>
      </c>
      <c r="C4367" s="10">
        <v>43.62</v>
      </c>
      <c r="D4367" s="10">
        <v>3.4</v>
      </c>
      <c r="E4367" s="16">
        <v>8.4499999999999993</v>
      </c>
      <c r="F4367">
        <v>5217235</v>
      </c>
      <c r="G4367" s="5">
        <v>43122</v>
      </c>
    </row>
    <row r="4368" spans="1:7" x14ac:dyDescent="0.4">
      <c r="A4368">
        <v>67</v>
      </c>
      <c r="B4368" t="s">
        <v>937</v>
      </c>
      <c r="C4368" s="10">
        <v>9.57</v>
      </c>
      <c r="D4368" s="10">
        <v>0.74</v>
      </c>
      <c r="E4368" s="16">
        <v>8.3800000000000008</v>
      </c>
      <c r="F4368">
        <v>597823</v>
      </c>
      <c r="G4368" s="5">
        <v>43122</v>
      </c>
    </row>
    <row r="4369" spans="1:7" x14ac:dyDescent="0.4">
      <c r="A4369">
        <v>68</v>
      </c>
      <c r="B4369" t="s">
        <v>1934</v>
      </c>
      <c r="C4369" s="10">
        <v>2.2000000000000002</v>
      </c>
      <c r="D4369" s="10">
        <v>0.17</v>
      </c>
      <c r="E4369" s="16">
        <v>8.3699999999999992</v>
      </c>
      <c r="F4369">
        <v>3018890</v>
      </c>
      <c r="G4369" s="5">
        <v>43122</v>
      </c>
    </row>
    <row r="4370" spans="1:7" x14ac:dyDescent="0.4">
      <c r="A4370">
        <v>69</v>
      </c>
      <c r="B4370" t="s">
        <v>1502</v>
      </c>
      <c r="C4370" s="10">
        <v>20.23</v>
      </c>
      <c r="D4370" s="10">
        <v>1.56</v>
      </c>
      <c r="E4370" s="16">
        <v>8.36</v>
      </c>
      <c r="F4370">
        <v>455511</v>
      </c>
      <c r="G4370" s="5">
        <v>43122</v>
      </c>
    </row>
    <row r="4371" spans="1:7" x14ac:dyDescent="0.4">
      <c r="A4371">
        <v>70</v>
      </c>
      <c r="B4371" t="s">
        <v>1365</v>
      </c>
      <c r="C4371" s="10">
        <v>84</v>
      </c>
      <c r="D4371" s="10">
        <v>6.47</v>
      </c>
      <c r="E4371" s="16">
        <v>8.35</v>
      </c>
      <c r="F4371">
        <v>314664</v>
      </c>
      <c r="G4371" s="5">
        <v>43122</v>
      </c>
    </row>
    <row r="4372" spans="1:7" x14ac:dyDescent="0.4">
      <c r="A4372">
        <v>71</v>
      </c>
      <c r="B4372" t="s">
        <v>205</v>
      </c>
      <c r="C4372" s="10">
        <v>4.29</v>
      </c>
      <c r="D4372" s="10">
        <v>0.33</v>
      </c>
      <c r="E4372" s="16">
        <v>8.33</v>
      </c>
      <c r="F4372">
        <v>35938</v>
      </c>
      <c r="G4372" s="5">
        <v>43122</v>
      </c>
    </row>
    <row r="4373" spans="1:7" x14ac:dyDescent="0.4">
      <c r="A4373">
        <v>72</v>
      </c>
      <c r="B4373" t="s">
        <v>199</v>
      </c>
      <c r="C4373" s="10">
        <v>3.32</v>
      </c>
      <c r="D4373" s="10">
        <v>0.25</v>
      </c>
      <c r="E4373" s="16">
        <v>8.14</v>
      </c>
      <c r="F4373">
        <v>1209164</v>
      </c>
      <c r="G4373" s="5">
        <v>43122</v>
      </c>
    </row>
    <row r="4374" spans="1:7" x14ac:dyDescent="0.4">
      <c r="A4374">
        <v>73</v>
      </c>
      <c r="B4374" t="s">
        <v>1677</v>
      </c>
      <c r="C4374" s="10">
        <v>62.34</v>
      </c>
      <c r="D4374" s="10">
        <v>4.62</v>
      </c>
      <c r="E4374" s="16">
        <v>8</v>
      </c>
      <c r="F4374">
        <v>1423080</v>
      </c>
      <c r="G4374" s="5">
        <v>43122</v>
      </c>
    </row>
    <row r="4375" spans="1:7" x14ac:dyDescent="0.4">
      <c r="A4375">
        <v>74</v>
      </c>
      <c r="B4375" t="s">
        <v>576</v>
      </c>
      <c r="C4375" s="10">
        <v>30.54</v>
      </c>
      <c r="D4375" s="10">
        <v>2.25</v>
      </c>
      <c r="E4375" s="16">
        <v>7.95</v>
      </c>
      <c r="F4375">
        <v>132368</v>
      </c>
      <c r="G4375" s="5">
        <v>43122</v>
      </c>
    </row>
    <row r="4376" spans="1:7" x14ac:dyDescent="0.4">
      <c r="A4376">
        <v>75</v>
      </c>
      <c r="B4376" t="s">
        <v>1208</v>
      </c>
      <c r="C4376" s="10">
        <v>5.16</v>
      </c>
      <c r="D4376" s="10">
        <v>0.38</v>
      </c>
      <c r="E4376" s="16">
        <v>7.95</v>
      </c>
      <c r="F4376">
        <v>6021671</v>
      </c>
      <c r="G4376" s="5">
        <v>43122</v>
      </c>
    </row>
    <row r="4377" spans="1:7" x14ac:dyDescent="0.4">
      <c r="A4377">
        <v>76</v>
      </c>
      <c r="B4377" t="s">
        <v>1819</v>
      </c>
      <c r="C4377" s="10">
        <v>18.600000000000001</v>
      </c>
      <c r="D4377" s="10">
        <v>1.35</v>
      </c>
      <c r="E4377" s="16">
        <v>7.83</v>
      </c>
      <c r="F4377">
        <v>1086031</v>
      </c>
      <c r="G4377" s="5">
        <v>43122</v>
      </c>
    </row>
    <row r="4378" spans="1:7" x14ac:dyDescent="0.4">
      <c r="A4378">
        <v>77</v>
      </c>
      <c r="B4378" t="s">
        <v>1602</v>
      </c>
      <c r="C4378" s="10">
        <v>4.71</v>
      </c>
      <c r="D4378" s="10">
        <v>0.34</v>
      </c>
      <c r="E4378" s="16">
        <v>7.78</v>
      </c>
      <c r="F4378">
        <v>309910</v>
      </c>
      <c r="G4378" s="5">
        <v>43122</v>
      </c>
    </row>
    <row r="4379" spans="1:7" x14ac:dyDescent="0.4">
      <c r="A4379">
        <v>78</v>
      </c>
      <c r="B4379" t="s">
        <v>1013</v>
      </c>
      <c r="C4379" s="10">
        <v>4.16</v>
      </c>
      <c r="D4379" s="10">
        <v>0.3</v>
      </c>
      <c r="E4379" s="16">
        <v>7.77</v>
      </c>
      <c r="F4379">
        <v>6115208</v>
      </c>
      <c r="G4379" s="5">
        <v>43122</v>
      </c>
    </row>
    <row r="4380" spans="1:7" x14ac:dyDescent="0.4">
      <c r="A4380">
        <v>79</v>
      </c>
      <c r="B4380" t="s">
        <v>1935</v>
      </c>
      <c r="C4380" s="10">
        <v>67.599999999999994</v>
      </c>
      <c r="D4380" s="10">
        <v>4.8499999999999996</v>
      </c>
      <c r="E4380" s="16">
        <v>7.73</v>
      </c>
      <c r="F4380">
        <v>2543141</v>
      </c>
      <c r="G4380" s="5">
        <v>43122</v>
      </c>
    </row>
    <row r="4381" spans="1:7" x14ac:dyDescent="0.4">
      <c r="A4381">
        <v>80</v>
      </c>
      <c r="B4381" t="s">
        <v>738</v>
      </c>
      <c r="C4381" s="10">
        <v>2.41</v>
      </c>
      <c r="D4381" s="10">
        <v>0.17</v>
      </c>
      <c r="E4381" s="16">
        <v>7.59</v>
      </c>
      <c r="F4381">
        <v>405160</v>
      </c>
      <c r="G4381" s="5">
        <v>43122</v>
      </c>
    </row>
    <row r="4382" spans="1:7" x14ac:dyDescent="0.4">
      <c r="A4382">
        <v>81</v>
      </c>
      <c r="B4382" t="s">
        <v>1936</v>
      </c>
      <c r="C4382" s="10">
        <v>17.8</v>
      </c>
      <c r="D4382" s="10">
        <v>1.25</v>
      </c>
      <c r="E4382" s="16">
        <v>7.55</v>
      </c>
      <c r="F4382">
        <v>1102713</v>
      </c>
      <c r="G4382" s="5">
        <v>43122</v>
      </c>
    </row>
    <row r="4383" spans="1:7" x14ac:dyDescent="0.4">
      <c r="A4383">
        <v>82</v>
      </c>
      <c r="B4383" t="s">
        <v>1725</v>
      </c>
      <c r="C4383" s="10">
        <v>16.399999999999999</v>
      </c>
      <c r="D4383" s="10">
        <v>1.1499999999999999</v>
      </c>
      <c r="E4383" s="16">
        <v>7.54</v>
      </c>
      <c r="F4383">
        <v>640040</v>
      </c>
      <c r="G4383" s="5">
        <v>43122</v>
      </c>
    </row>
    <row r="4384" spans="1:7" x14ac:dyDescent="0.4">
      <c r="A4384">
        <v>83</v>
      </c>
      <c r="B4384" t="s">
        <v>1824</v>
      </c>
      <c r="C4384" s="10">
        <v>21</v>
      </c>
      <c r="D4384" s="10">
        <v>1.47</v>
      </c>
      <c r="E4384" s="16">
        <v>7.53</v>
      </c>
      <c r="F4384">
        <v>147190</v>
      </c>
      <c r="G4384" s="5">
        <v>43122</v>
      </c>
    </row>
    <row r="4385" spans="1:7" x14ac:dyDescent="0.4">
      <c r="A4385">
        <v>84</v>
      </c>
      <c r="B4385" t="s">
        <v>1282</v>
      </c>
      <c r="C4385" s="10">
        <v>4.59</v>
      </c>
      <c r="D4385" s="10">
        <v>0.32</v>
      </c>
      <c r="E4385" s="16">
        <v>7.49</v>
      </c>
      <c r="F4385">
        <v>398720</v>
      </c>
      <c r="G4385" s="5">
        <v>43122</v>
      </c>
    </row>
    <row r="4386" spans="1:7" x14ac:dyDescent="0.4">
      <c r="A4386">
        <v>85</v>
      </c>
      <c r="B4386" t="s">
        <v>1937</v>
      </c>
      <c r="C4386" s="10">
        <v>28.93</v>
      </c>
      <c r="D4386" s="10">
        <v>2.0099999999999998</v>
      </c>
      <c r="E4386" s="16">
        <v>7.47</v>
      </c>
      <c r="F4386">
        <v>3319177</v>
      </c>
      <c r="G4386" s="5">
        <v>43122</v>
      </c>
    </row>
    <row r="4387" spans="1:7" x14ac:dyDescent="0.4">
      <c r="A4387">
        <v>86</v>
      </c>
      <c r="B4387" t="s">
        <v>684</v>
      </c>
      <c r="C4387" s="10">
        <v>2.6</v>
      </c>
      <c r="D4387" s="10">
        <v>0.18</v>
      </c>
      <c r="E4387" s="16">
        <v>7.44</v>
      </c>
      <c r="F4387">
        <v>771742</v>
      </c>
      <c r="G4387" s="5">
        <v>43122</v>
      </c>
    </row>
    <row r="4388" spans="1:7" x14ac:dyDescent="0.4">
      <c r="A4388">
        <v>87</v>
      </c>
      <c r="B4388" t="s">
        <v>1938</v>
      </c>
      <c r="C4388" s="10">
        <v>2.48</v>
      </c>
      <c r="D4388" s="10">
        <v>0.17</v>
      </c>
      <c r="E4388" s="16">
        <v>7.36</v>
      </c>
      <c r="F4388">
        <v>887330</v>
      </c>
      <c r="G4388" s="5">
        <v>43122</v>
      </c>
    </row>
    <row r="4389" spans="1:7" x14ac:dyDescent="0.4">
      <c r="A4389">
        <v>88</v>
      </c>
      <c r="B4389" t="s">
        <v>227</v>
      </c>
      <c r="C4389" s="10">
        <v>2.19</v>
      </c>
      <c r="D4389" s="10">
        <v>0.15</v>
      </c>
      <c r="E4389" s="16">
        <v>7.35</v>
      </c>
      <c r="F4389">
        <v>996092</v>
      </c>
      <c r="G4389" s="5">
        <v>43122</v>
      </c>
    </row>
    <row r="4390" spans="1:7" x14ac:dyDescent="0.4">
      <c r="A4390">
        <v>89</v>
      </c>
      <c r="B4390" t="s">
        <v>1157</v>
      </c>
      <c r="C4390" s="10">
        <v>10.25</v>
      </c>
      <c r="D4390" s="10">
        <v>0.7</v>
      </c>
      <c r="E4390" s="16">
        <v>7.33</v>
      </c>
      <c r="F4390">
        <v>666617</v>
      </c>
      <c r="G4390" s="5">
        <v>43122</v>
      </c>
    </row>
    <row r="4391" spans="1:7" x14ac:dyDescent="0.4">
      <c r="A4391">
        <v>90</v>
      </c>
      <c r="B4391" t="s">
        <v>1037</v>
      </c>
      <c r="C4391" s="10">
        <v>4.54</v>
      </c>
      <c r="D4391" s="10">
        <v>0.31</v>
      </c>
      <c r="E4391" s="16">
        <v>7.33</v>
      </c>
      <c r="F4391">
        <v>2111704</v>
      </c>
      <c r="G4391" s="5">
        <v>43122</v>
      </c>
    </row>
    <row r="4392" spans="1:7" x14ac:dyDescent="0.4">
      <c r="A4392">
        <v>91</v>
      </c>
      <c r="B4392" t="s">
        <v>797</v>
      </c>
      <c r="C4392" s="10">
        <v>17.149999999999999</v>
      </c>
      <c r="D4392" s="10">
        <v>1.1599999999999999</v>
      </c>
      <c r="E4392" s="16">
        <v>7.25</v>
      </c>
      <c r="F4392">
        <v>2846318</v>
      </c>
      <c r="G4392" s="5">
        <v>43122</v>
      </c>
    </row>
    <row r="4393" spans="1:7" x14ac:dyDescent="0.4">
      <c r="A4393">
        <v>92</v>
      </c>
      <c r="B4393" t="s">
        <v>1022</v>
      </c>
      <c r="C4393" s="10">
        <v>76.78</v>
      </c>
      <c r="D4393" s="10">
        <v>5.19</v>
      </c>
      <c r="E4393" s="16">
        <v>7.25</v>
      </c>
      <c r="F4393">
        <v>3216600</v>
      </c>
      <c r="G4393" s="5">
        <v>43122</v>
      </c>
    </row>
    <row r="4394" spans="1:7" x14ac:dyDescent="0.4">
      <c r="A4394">
        <v>93</v>
      </c>
      <c r="B4394" t="s">
        <v>1429</v>
      </c>
      <c r="C4394" s="10">
        <v>7.4</v>
      </c>
      <c r="D4394" s="10">
        <v>0.5</v>
      </c>
      <c r="E4394" s="16">
        <v>7.25</v>
      </c>
      <c r="F4394">
        <v>253740</v>
      </c>
      <c r="G4394" s="5">
        <v>43122</v>
      </c>
    </row>
    <row r="4395" spans="1:7" x14ac:dyDescent="0.4">
      <c r="A4395">
        <v>94</v>
      </c>
      <c r="B4395" t="s">
        <v>405</v>
      </c>
      <c r="C4395" s="10">
        <v>35.39</v>
      </c>
      <c r="D4395" s="10">
        <v>2.39</v>
      </c>
      <c r="E4395" s="16">
        <v>7.24</v>
      </c>
      <c r="F4395">
        <v>71722</v>
      </c>
      <c r="G4395" s="5">
        <v>43122</v>
      </c>
    </row>
    <row r="4396" spans="1:7" x14ac:dyDescent="0.4">
      <c r="A4396">
        <v>95</v>
      </c>
      <c r="B4396" t="s">
        <v>185</v>
      </c>
      <c r="C4396" s="10">
        <v>3.57</v>
      </c>
      <c r="D4396" s="10">
        <v>0.24</v>
      </c>
      <c r="E4396" s="16">
        <v>7.21</v>
      </c>
      <c r="F4396">
        <v>188291</v>
      </c>
      <c r="G4396" s="5">
        <v>43122</v>
      </c>
    </row>
    <row r="4397" spans="1:7" x14ac:dyDescent="0.4">
      <c r="A4397">
        <v>96</v>
      </c>
      <c r="B4397" t="s">
        <v>1166</v>
      </c>
      <c r="C4397" s="10">
        <v>15.48</v>
      </c>
      <c r="D4397" s="10">
        <v>1.03</v>
      </c>
      <c r="E4397" s="16">
        <v>7.13</v>
      </c>
      <c r="F4397">
        <v>93847</v>
      </c>
      <c r="G4397" s="5">
        <v>43122</v>
      </c>
    </row>
    <row r="4398" spans="1:7" x14ac:dyDescent="0.4">
      <c r="A4398">
        <v>97</v>
      </c>
      <c r="B4398" t="s">
        <v>1939</v>
      </c>
      <c r="C4398" s="10">
        <v>21.2</v>
      </c>
      <c r="D4398" s="10">
        <v>1.4</v>
      </c>
      <c r="E4398" s="16">
        <v>7.07</v>
      </c>
      <c r="F4398">
        <v>509635</v>
      </c>
      <c r="G4398" s="5">
        <v>43122</v>
      </c>
    </row>
    <row r="4399" spans="1:7" x14ac:dyDescent="0.4">
      <c r="A4399">
        <v>98</v>
      </c>
      <c r="B4399" t="s">
        <v>949</v>
      </c>
      <c r="C4399" s="10">
        <v>11.5</v>
      </c>
      <c r="D4399" s="10">
        <v>0.75</v>
      </c>
      <c r="E4399" s="16">
        <v>6.98</v>
      </c>
      <c r="F4399">
        <v>1059869</v>
      </c>
      <c r="G4399" s="5">
        <v>43122</v>
      </c>
    </row>
    <row r="4400" spans="1:7" x14ac:dyDescent="0.4">
      <c r="A4400">
        <v>99</v>
      </c>
      <c r="B4400" t="s">
        <v>1442</v>
      </c>
      <c r="C4400" s="10">
        <v>8.94</v>
      </c>
      <c r="D4400" s="10">
        <v>0.57999999999999996</v>
      </c>
      <c r="E4400" s="16">
        <v>6.94</v>
      </c>
      <c r="F4400">
        <v>267223</v>
      </c>
      <c r="G4400" s="5">
        <v>43122</v>
      </c>
    </row>
    <row r="4401" spans="1:7" x14ac:dyDescent="0.4">
      <c r="A4401">
        <v>100</v>
      </c>
      <c r="B4401" t="s">
        <v>1438</v>
      </c>
      <c r="C4401" s="10">
        <v>60.67</v>
      </c>
      <c r="D4401" s="10">
        <v>3.91</v>
      </c>
      <c r="E4401" s="16">
        <v>6.89</v>
      </c>
      <c r="F4401">
        <v>1896655</v>
      </c>
      <c r="G4401" s="5">
        <v>43122</v>
      </c>
    </row>
    <row r="4402" spans="1:7" x14ac:dyDescent="0.4">
      <c r="A4402">
        <v>1</v>
      </c>
      <c r="B4402" t="s">
        <v>102</v>
      </c>
      <c r="C4402" s="10">
        <v>7.59</v>
      </c>
      <c r="D4402" s="10">
        <v>1.68</v>
      </c>
      <c r="E4402" s="16">
        <v>28.43</v>
      </c>
      <c r="F4402">
        <v>1441783</v>
      </c>
      <c r="G4402" s="5">
        <v>43123</v>
      </c>
    </row>
    <row r="4403" spans="1:7" x14ac:dyDescent="0.4">
      <c r="A4403">
        <v>2</v>
      </c>
      <c r="B4403" t="s">
        <v>760</v>
      </c>
      <c r="C4403" s="10">
        <v>4.1500000000000004</v>
      </c>
      <c r="D4403" s="10">
        <v>0.83</v>
      </c>
      <c r="E4403" s="16">
        <v>25</v>
      </c>
      <c r="F4403">
        <v>994498</v>
      </c>
      <c r="G4403" s="5">
        <v>43123</v>
      </c>
    </row>
    <row r="4404" spans="1:7" x14ac:dyDescent="0.4">
      <c r="A4404">
        <v>3</v>
      </c>
      <c r="B4404" t="s">
        <v>310</v>
      </c>
      <c r="C4404" s="10">
        <v>5.69</v>
      </c>
      <c r="D4404" s="10">
        <v>1.05</v>
      </c>
      <c r="E4404" s="16">
        <v>22.63</v>
      </c>
      <c r="F4404">
        <v>7051929</v>
      </c>
      <c r="G4404" s="5">
        <v>43123</v>
      </c>
    </row>
    <row r="4405" spans="1:7" x14ac:dyDescent="0.4">
      <c r="A4405">
        <v>4</v>
      </c>
      <c r="B4405" t="s">
        <v>278</v>
      </c>
      <c r="C4405" s="10">
        <v>5.66</v>
      </c>
      <c r="D4405" s="10">
        <v>0.91</v>
      </c>
      <c r="E4405" s="16">
        <v>19.16</v>
      </c>
      <c r="F4405">
        <v>304619</v>
      </c>
      <c r="G4405" s="5">
        <v>43123</v>
      </c>
    </row>
    <row r="4406" spans="1:7" x14ac:dyDescent="0.4">
      <c r="A4406">
        <v>5</v>
      </c>
      <c r="B4406" t="s">
        <v>830</v>
      </c>
      <c r="C4406" s="10">
        <v>9.77</v>
      </c>
      <c r="D4406" s="10">
        <v>1.5</v>
      </c>
      <c r="E4406" s="16">
        <v>18.14</v>
      </c>
      <c r="F4406">
        <v>13755251</v>
      </c>
      <c r="G4406" s="5">
        <v>43123</v>
      </c>
    </row>
    <row r="4407" spans="1:7" x14ac:dyDescent="0.4">
      <c r="A4407">
        <v>6</v>
      </c>
      <c r="B4407" t="s">
        <v>415</v>
      </c>
      <c r="C4407" s="10">
        <v>11.85</v>
      </c>
      <c r="D4407" s="10">
        <v>1.8</v>
      </c>
      <c r="E4407" s="16">
        <v>17.98</v>
      </c>
      <c r="F4407">
        <v>76620</v>
      </c>
      <c r="G4407" s="5">
        <v>43123</v>
      </c>
    </row>
    <row r="4408" spans="1:7" x14ac:dyDescent="0.4">
      <c r="A4408">
        <v>7</v>
      </c>
      <c r="B4408" t="s">
        <v>1940</v>
      </c>
      <c r="C4408" s="10">
        <v>2.92</v>
      </c>
      <c r="D4408" s="10">
        <v>0.43</v>
      </c>
      <c r="E4408" s="16">
        <v>17.27</v>
      </c>
      <c r="F4408">
        <v>9232971</v>
      </c>
      <c r="G4408" s="5">
        <v>43123</v>
      </c>
    </row>
    <row r="4409" spans="1:7" x14ac:dyDescent="0.4">
      <c r="A4409">
        <v>8</v>
      </c>
      <c r="B4409" t="s">
        <v>638</v>
      </c>
      <c r="C4409" s="10">
        <v>2.5499999999999998</v>
      </c>
      <c r="D4409" s="10">
        <v>0.34</v>
      </c>
      <c r="E4409" s="16">
        <v>15.26</v>
      </c>
      <c r="F4409">
        <v>7744</v>
      </c>
      <c r="G4409" s="5">
        <v>43123</v>
      </c>
    </row>
    <row r="4410" spans="1:7" x14ac:dyDescent="0.4">
      <c r="A4410">
        <v>9</v>
      </c>
      <c r="B4410" t="s">
        <v>161</v>
      </c>
      <c r="C4410" s="10">
        <v>5.78</v>
      </c>
      <c r="D4410" s="10">
        <v>0.75</v>
      </c>
      <c r="E4410" s="16">
        <v>14.91</v>
      </c>
      <c r="F4410">
        <v>779129</v>
      </c>
      <c r="G4410" s="5">
        <v>43123</v>
      </c>
    </row>
    <row r="4411" spans="1:7" x14ac:dyDescent="0.4">
      <c r="A4411">
        <v>10</v>
      </c>
      <c r="B4411" t="s">
        <v>1463</v>
      </c>
      <c r="C4411" s="10">
        <v>38.78</v>
      </c>
      <c r="D4411" s="10">
        <v>5.03</v>
      </c>
      <c r="E4411" s="16">
        <v>14.9</v>
      </c>
      <c r="F4411">
        <v>2287659</v>
      </c>
      <c r="G4411" s="5">
        <v>43123</v>
      </c>
    </row>
    <row r="4412" spans="1:7" x14ac:dyDescent="0.4">
      <c r="A4412">
        <v>11</v>
      </c>
      <c r="B4412" t="s">
        <v>1941</v>
      </c>
      <c r="C4412" s="10">
        <v>100.35</v>
      </c>
      <c r="D4412" s="10">
        <v>12.84</v>
      </c>
      <c r="E4412" s="16">
        <v>14.67</v>
      </c>
      <c r="F4412">
        <v>4647277</v>
      </c>
      <c r="G4412" s="5">
        <v>43123</v>
      </c>
    </row>
    <row r="4413" spans="1:7" x14ac:dyDescent="0.4">
      <c r="A4413">
        <v>12</v>
      </c>
      <c r="B4413" t="s">
        <v>1071</v>
      </c>
      <c r="C4413" s="10">
        <v>6.94</v>
      </c>
      <c r="D4413" s="10">
        <v>0.88</v>
      </c>
      <c r="E4413" s="16">
        <v>14.52</v>
      </c>
      <c r="F4413">
        <v>183267</v>
      </c>
      <c r="G4413" s="5">
        <v>43123</v>
      </c>
    </row>
    <row r="4414" spans="1:7" x14ac:dyDescent="0.4">
      <c r="A4414">
        <v>13</v>
      </c>
      <c r="B4414" t="s">
        <v>930</v>
      </c>
      <c r="C4414" s="10">
        <v>15.19</v>
      </c>
      <c r="D4414" s="10">
        <v>1.92</v>
      </c>
      <c r="E4414" s="16">
        <v>14.47</v>
      </c>
      <c r="F4414">
        <v>387521</v>
      </c>
      <c r="G4414" s="5">
        <v>43123</v>
      </c>
    </row>
    <row r="4415" spans="1:7" x14ac:dyDescent="0.4">
      <c r="A4415">
        <v>14</v>
      </c>
      <c r="B4415" t="s">
        <v>937</v>
      </c>
      <c r="C4415" s="10">
        <v>10.94</v>
      </c>
      <c r="D4415" s="10">
        <v>1.37</v>
      </c>
      <c r="E4415" s="16">
        <v>14.32</v>
      </c>
      <c r="F4415">
        <v>1887361</v>
      </c>
      <c r="G4415" s="5">
        <v>43123</v>
      </c>
    </row>
    <row r="4416" spans="1:7" x14ac:dyDescent="0.4">
      <c r="A4416">
        <v>15</v>
      </c>
      <c r="B4416" t="s">
        <v>1362</v>
      </c>
      <c r="C4416" s="10">
        <v>10.78</v>
      </c>
      <c r="D4416" s="10">
        <v>1.31</v>
      </c>
      <c r="E4416" s="16">
        <v>13.83</v>
      </c>
      <c r="F4416">
        <v>3130097</v>
      </c>
      <c r="G4416" s="5">
        <v>43123</v>
      </c>
    </row>
    <row r="4417" spans="1:7" x14ac:dyDescent="0.4">
      <c r="A4417">
        <v>16</v>
      </c>
      <c r="B4417" t="s">
        <v>1617</v>
      </c>
      <c r="C4417" s="10">
        <v>89.75</v>
      </c>
      <c r="D4417" s="10">
        <v>10.55</v>
      </c>
      <c r="E4417" s="16">
        <v>13.32</v>
      </c>
      <c r="F4417">
        <v>4663143</v>
      </c>
      <c r="G4417" s="5">
        <v>43123</v>
      </c>
    </row>
    <row r="4418" spans="1:7" x14ac:dyDescent="0.4">
      <c r="A4418">
        <v>17</v>
      </c>
      <c r="B4418" t="s">
        <v>1014</v>
      </c>
      <c r="C4418" s="10">
        <v>5.62</v>
      </c>
      <c r="D4418" s="10">
        <v>0.65</v>
      </c>
      <c r="E4418" s="16">
        <v>13.08</v>
      </c>
      <c r="F4418">
        <v>1008753</v>
      </c>
      <c r="G4418" s="5">
        <v>43123</v>
      </c>
    </row>
    <row r="4419" spans="1:7" x14ac:dyDescent="0.4">
      <c r="A4419">
        <v>18</v>
      </c>
      <c r="B4419" t="s">
        <v>1810</v>
      </c>
      <c r="C4419" s="10">
        <v>2.35</v>
      </c>
      <c r="D4419" s="10">
        <v>0.27</v>
      </c>
      <c r="E4419" s="16">
        <v>12.8</v>
      </c>
      <c r="F4419">
        <v>35157</v>
      </c>
      <c r="G4419" s="5">
        <v>43123</v>
      </c>
    </row>
    <row r="4420" spans="1:7" x14ac:dyDescent="0.4">
      <c r="A4420">
        <v>19</v>
      </c>
      <c r="B4420" t="s">
        <v>1602</v>
      </c>
      <c r="C4420" s="10">
        <v>5.31</v>
      </c>
      <c r="D4420" s="10">
        <v>0.6</v>
      </c>
      <c r="E4420" s="16">
        <v>12.74</v>
      </c>
      <c r="F4420">
        <v>580200</v>
      </c>
      <c r="G4420" s="5">
        <v>43123</v>
      </c>
    </row>
    <row r="4421" spans="1:7" x14ac:dyDescent="0.4">
      <c r="A4421">
        <v>20</v>
      </c>
      <c r="B4421" t="s">
        <v>1155</v>
      </c>
      <c r="C4421" s="10">
        <v>12.72</v>
      </c>
      <c r="D4421" s="10">
        <v>1.36</v>
      </c>
      <c r="E4421" s="16">
        <v>11.97</v>
      </c>
      <c r="F4421">
        <v>1293588</v>
      </c>
      <c r="G4421" s="5">
        <v>43123</v>
      </c>
    </row>
    <row r="4422" spans="1:7" x14ac:dyDescent="0.4">
      <c r="A4422">
        <v>21</v>
      </c>
      <c r="B4422" t="s">
        <v>67</v>
      </c>
      <c r="C4422" s="10">
        <v>31.55</v>
      </c>
      <c r="D4422" s="10">
        <v>3.34</v>
      </c>
      <c r="E4422" s="16">
        <v>11.84</v>
      </c>
      <c r="F4422">
        <v>19383</v>
      </c>
      <c r="G4422" s="5">
        <v>43123</v>
      </c>
    </row>
    <row r="4423" spans="1:7" x14ac:dyDescent="0.4">
      <c r="A4423">
        <v>22</v>
      </c>
      <c r="B4423" t="s">
        <v>583</v>
      </c>
      <c r="C4423" s="10">
        <v>4.3499999999999996</v>
      </c>
      <c r="D4423" s="10">
        <v>0.45</v>
      </c>
      <c r="E4423" s="16">
        <v>11.54</v>
      </c>
      <c r="F4423">
        <v>1273586</v>
      </c>
      <c r="G4423" s="5">
        <v>43123</v>
      </c>
    </row>
    <row r="4424" spans="1:7" x14ac:dyDescent="0.4">
      <c r="A4424">
        <v>23</v>
      </c>
      <c r="B4424" t="s">
        <v>1942</v>
      </c>
      <c r="C4424" s="10">
        <v>50</v>
      </c>
      <c r="D4424" s="10">
        <v>4.96</v>
      </c>
      <c r="E4424" s="16">
        <v>11.01</v>
      </c>
      <c r="F4424">
        <v>2957</v>
      </c>
      <c r="G4424" s="5">
        <v>43123</v>
      </c>
    </row>
    <row r="4425" spans="1:7" x14ac:dyDescent="0.4">
      <c r="A4425">
        <v>24</v>
      </c>
      <c r="B4425" t="s">
        <v>1943</v>
      </c>
      <c r="C4425" s="10">
        <v>2.42</v>
      </c>
      <c r="D4425" s="10">
        <v>0.24</v>
      </c>
      <c r="E4425" s="16">
        <v>11.01</v>
      </c>
      <c r="F4425">
        <v>1010100</v>
      </c>
      <c r="G4425" s="5">
        <v>43123</v>
      </c>
    </row>
    <row r="4426" spans="1:7" x14ac:dyDescent="0.4">
      <c r="A4426">
        <v>25</v>
      </c>
      <c r="B4426" t="s">
        <v>265</v>
      </c>
      <c r="C4426" s="10">
        <v>9.43</v>
      </c>
      <c r="D4426" s="10">
        <v>0.93</v>
      </c>
      <c r="E4426" s="16">
        <v>10.94</v>
      </c>
      <c r="F4426">
        <v>1767607</v>
      </c>
      <c r="G4426" s="5">
        <v>43123</v>
      </c>
    </row>
    <row r="4427" spans="1:7" x14ac:dyDescent="0.4">
      <c r="A4427">
        <v>26</v>
      </c>
      <c r="B4427" t="s">
        <v>166</v>
      </c>
      <c r="C4427" s="10">
        <v>5.79</v>
      </c>
      <c r="D4427" s="10">
        <v>0.56999999999999995</v>
      </c>
      <c r="E4427" s="16">
        <v>10.92</v>
      </c>
      <c r="F4427">
        <v>816420</v>
      </c>
      <c r="G4427" s="5">
        <v>43123</v>
      </c>
    </row>
    <row r="4428" spans="1:7" x14ac:dyDescent="0.4">
      <c r="A4428">
        <v>27</v>
      </c>
      <c r="B4428" t="s">
        <v>1944</v>
      </c>
      <c r="C4428" s="10">
        <v>41.66</v>
      </c>
      <c r="D4428" s="10">
        <v>4.08</v>
      </c>
      <c r="E4428" s="16">
        <v>10.86</v>
      </c>
      <c r="F4428">
        <v>2991448</v>
      </c>
      <c r="G4428" s="5">
        <v>43123</v>
      </c>
    </row>
    <row r="4429" spans="1:7" x14ac:dyDescent="0.4">
      <c r="A4429">
        <v>28</v>
      </c>
      <c r="B4429" t="s">
        <v>1945</v>
      </c>
      <c r="C4429" s="10">
        <v>7.49</v>
      </c>
      <c r="D4429" s="10">
        <v>0.73</v>
      </c>
      <c r="E4429" s="16">
        <v>10.8</v>
      </c>
      <c r="F4429">
        <v>111716</v>
      </c>
      <c r="G4429" s="5">
        <v>43123</v>
      </c>
    </row>
    <row r="4430" spans="1:7" x14ac:dyDescent="0.4">
      <c r="A4430">
        <v>29</v>
      </c>
      <c r="B4430" t="s">
        <v>481</v>
      </c>
      <c r="C4430" s="10">
        <v>21.8</v>
      </c>
      <c r="D4430" s="10">
        <v>2.1</v>
      </c>
      <c r="E4430" s="16">
        <v>10.66</v>
      </c>
      <c r="F4430">
        <v>74829</v>
      </c>
      <c r="G4430" s="5">
        <v>43123</v>
      </c>
    </row>
    <row r="4431" spans="1:7" x14ac:dyDescent="0.4">
      <c r="A4431">
        <v>30</v>
      </c>
      <c r="B4431" t="s">
        <v>1774</v>
      </c>
      <c r="C4431" s="10">
        <v>17.760000000000002</v>
      </c>
      <c r="D4431" s="10">
        <v>1.67</v>
      </c>
      <c r="E4431" s="16">
        <v>10.38</v>
      </c>
      <c r="F4431">
        <v>18006645</v>
      </c>
      <c r="G4431" s="5">
        <v>43123</v>
      </c>
    </row>
    <row r="4432" spans="1:7" x14ac:dyDescent="0.4">
      <c r="A4432">
        <v>31</v>
      </c>
      <c r="B4432" t="s">
        <v>277</v>
      </c>
      <c r="C4432" s="10">
        <v>72.95</v>
      </c>
      <c r="D4432" s="10">
        <v>6.7</v>
      </c>
      <c r="E4432" s="16">
        <v>10.11</v>
      </c>
      <c r="F4432">
        <v>227325</v>
      </c>
      <c r="G4432" s="5">
        <v>43123</v>
      </c>
    </row>
    <row r="4433" spans="1:7" x14ac:dyDescent="0.4">
      <c r="A4433">
        <v>32</v>
      </c>
      <c r="B4433" t="s">
        <v>1179</v>
      </c>
      <c r="C4433" s="10">
        <v>9.1199999999999992</v>
      </c>
      <c r="D4433" s="10">
        <v>0.83</v>
      </c>
      <c r="E4433" s="16">
        <v>10.01</v>
      </c>
      <c r="F4433">
        <v>1956100</v>
      </c>
      <c r="G4433" s="5">
        <v>43123</v>
      </c>
    </row>
    <row r="4434" spans="1:7" x14ac:dyDescent="0.4">
      <c r="A4434">
        <v>33</v>
      </c>
      <c r="B4434" t="s">
        <v>802</v>
      </c>
      <c r="C4434" s="10">
        <v>250.29</v>
      </c>
      <c r="D4434" s="10">
        <v>22.71</v>
      </c>
      <c r="E4434" s="16">
        <v>9.98</v>
      </c>
      <c r="F4434">
        <v>27582591</v>
      </c>
      <c r="G4434" s="5">
        <v>43123</v>
      </c>
    </row>
    <row r="4435" spans="1:7" x14ac:dyDescent="0.4">
      <c r="A4435">
        <v>34</v>
      </c>
      <c r="B4435" t="s">
        <v>1377</v>
      </c>
      <c r="C4435" s="10">
        <v>4.4400000000000004</v>
      </c>
      <c r="D4435" s="10">
        <v>0.4</v>
      </c>
      <c r="E4435" s="16">
        <v>9.9</v>
      </c>
      <c r="F4435">
        <v>12787902</v>
      </c>
      <c r="G4435" s="5">
        <v>43123</v>
      </c>
    </row>
    <row r="4436" spans="1:7" x14ac:dyDescent="0.4">
      <c r="A4436">
        <v>35</v>
      </c>
      <c r="B4436" t="s">
        <v>540</v>
      </c>
      <c r="C4436" s="10">
        <v>4.45</v>
      </c>
      <c r="D4436" s="10">
        <v>0.4</v>
      </c>
      <c r="E4436" s="16">
        <v>9.8800000000000008</v>
      </c>
      <c r="F4436">
        <v>263582</v>
      </c>
      <c r="G4436" s="5">
        <v>43123</v>
      </c>
    </row>
    <row r="4437" spans="1:7" x14ac:dyDescent="0.4">
      <c r="A4437">
        <v>36</v>
      </c>
      <c r="B4437" t="s">
        <v>471</v>
      </c>
      <c r="C4437" s="10">
        <v>15.53</v>
      </c>
      <c r="D4437" s="10">
        <v>1.38</v>
      </c>
      <c r="E4437" s="16">
        <v>9.75</v>
      </c>
      <c r="F4437">
        <v>925242</v>
      </c>
      <c r="G4437" s="5">
        <v>43123</v>
      </c>
    </row>
    <row r="4438" spans="1:7" x14ac:dyDescent="0.4">
      <c r="A4438">
        <v>37</v>
      </c>
      <c r="B4438" t="s">
        <v>916</v>
      </c>
      <c r="C4438" s="10">
        <v>3.52</v>
      </c>
      <c r="D4438" s="10">
        <v>0.31</v>
      </c>
      <c r="E4438" s="16">
        <v>9.66</v>
      </c>
      <c r="F4438">
        <v>642101</v>
      </c>
      <c r="G4438" s="5">
        <v>43123</v>
      </c>
    </row>
    <row r="4439" spans="1:7" x14ac:dyDescent="0.4">
      <c r="A4439">
        <v>38</v>
      </c>
      <c r="B4439" t="s">
        <v>610</v>
      </c>
      <c r="C4439" s="10">
        <v>3.31</v>
      </c>
      <c r="D4439" s="10">
        <v>0.28999999999999998</v>
      </c>
      <c r="E4439" s="16">
        <v>9.6</v>
      </c>
      <c r="F4439">
        <v>361574</v>
      </c>
      <c r="G4439" s="5">
        <v>43123</v>
      </c>
    </row>
    <row r="4440" spans="1:7" x14ac:dyDescent="0.4">
      <c r="A4440">
        <v>39</v>
      </c>
      <c r="B4440" t="s">
        <v>45</v>
      </c>
      <c r="C4440" s="10">
        <v>4.09</v>
      </c>
      <c r="D4440" s="10">
        <v>0.35</v>
      </c>
      <c r="E4440" s="16">
        <v>9.36</v>
      </c>
      <c r="F4440">
        <v>23938351</v>
      </c>
      <c r="G4440" s="5">
        <v>43123</v>
      </c>
    </row>
    <row r="4441" spans="1:7" x14ac:dyDescent="0.4">
      <c r="A4441">
        <v>40</v>
      </c>
      <c r="B4441" t="s">
        <v>1946</v>
      </c>
      <c r="C4441" s="10">
        <v>15.59</v>
      </c>
      <c r="D4441" s="10">
        <v>1.33</v>
      </c>
      <c r="E4441" s="16">
        <v>9.33</v>
      </c>
      <c r="F4441">
        <v>3872585</v>
      </c>
      <c r="G4441" s="5">
        <v>43123</v>
      </c>
    </row>
    <row r="4442" spans="1:7" x14ac:dyDescent="0.4">
      <c r="A4442">
        <v>41</v>
      </c>
      <c r="B4442" t="s">
        <v>1947</v>
      </c>
      <c r="C4442" s="10">
        <v>7.24</v>
      </c>
      <c r="D4442" s="10">
        <v>0.6</v>
      </c>
      <c r="E4442" s="16">
        <v>9.0399999999999991</v>
      </c>
      <c r="F4442">
        <v>1991864</v>
      </c>
      <c r="G4442" s="5">
        <v>43123</v>
      </c>
    </row>
    <row r="4443" spans="1:7" x14ac:dyDescent="0.4">
      <c r="A4443">
        <v>42</v>
      </c>
      <c r="B4443" t="s">
        <v>1933</v>
      </c>
      <c r="C4443" s="10">
        <v>58.14</v>
      </c>
      <c r="D4443" s="10">
        <v>4.75</v>
      </c>
      <c r="E4443" s="16">
        <v>8.9</v>
      </c>
      <c r="F4443">
        <v>1623235</v>
      </c>
      <c r="G4443" s="5">
        <v>43123</v>
      </c>
    </row>
    <row r="4444" spans="1:7" x14ac:dyDescent="0.4">
      <c r="A4444">
        <v>43</v>
      </c>
      <c r="B4444" t="s">
        <v>381</v>
      </c>
      <c r="C4444" s="10">
        <v>4.83</v>
      </c>
      <c r="D4444" s="10">
        <v>0.39</v>
      </c>
      <c r="E4444" s="16">
        <v>8.7799999999999994</v>
      </c>
      <c r="F4444">
        <v>8734220</v>
      </c>
      <c r="G4444" s="5">
        <v>43123</v>
      </c>
    </row>
    <row r="4445" spans="1:7" x14ac:dyDescent="0.4">
      <c r="A4445">
        <v>44</v>
      </c>
      <c r="B4445" t="s">
        <v>1011</v>
      </c>
      <c r="C4445" s="10">
        <v>3.48</v>
      </c>
      <c r="D4445" s="10">
        <v>0.28000000000000003</v>
      </c>
      <c r="E4445" s="16">
        <v>8.75</v>
      </c>
      <c r="F4445">
        <v>1907958</v>
      </c>
      <c r="G4445" s="5">
        <v>43123</v>
      </c>
    </row>
    <row r="4446" spans="1:7" x14ac:dyDescent="0.4">
      <c r="A4446">
        <v>45</v>
      </c>
      <c r="B4446" t="s">
        <v>283</v>
      </c>
      <c r="C4446" s="10">
        <v>3.9</v>
      </c>
      <c r="D4446" s="10">
        <v>0.31</v>
      </c>
      <c r="E4446" s="16">
        <v>8.7200000000000006</v>
      </c>
      <c r="F4446">
        <v>22889</v>
      </c>
      <c r="G4446" s="5">
        <v>43123</v>
      </c>
    </row>
    <row r="4447" spans="1:7" x14ac:dyDescent="0.4">
      <c r="A4447">
        <v>46</v>
      </c>
      <c r="B4447" t="s">
        <v>1035</v>
      </c>
      <c r="C4447" s="10">
        <v>29.75</v>
      </c>
      <c r="D4447" s="10">
        <v>2.35</v>
      </c>
      <c r="E4447" s="16">
        <v>8.58</v>
      </c>
      <c r="F4447">
        <v>465152</v>
      </c>
      <c r="G4447" s="5">
        <v>43123</v>
      </c>
    </row>
    <row r="4448" spans="1:7" x14ac:dyDescent="0.4">
      <c r="A4448">
        <v>47</v>
      </c>
      <c r="B4448" t="s">
        <v>1948</v>
      </c>
      <c r="C4448" s="10">
        <v>95.35</v>
      </c>
      <c r="D4448" s="10">
        <v>7.48</v>
      </c>
      <c r="E4448" s="16">
        <v>8.51</v>
      </c>
      <c r="F4448">
        <v>444811</v>
      </c>
      <c r="G4448" s="5">
        <v>43123</v>
      </c>
    </row>
    <row r="4449" spans="1:7" x14ac:dyDescent="0.4">
      <c r="A4449">
        <v>48</v>
      </c>
      <c r="B4449" t="s">
        <v>1949</v>
      </c>
      <c r="C4449" s="10">
        <v>2.52</v>
      </c>
      <c r="D4449" s="10">
        <v>0.19</v>
      </c>
      <c r="E4449" s="16">
        <v>8.15</v>
      </c>
      <c r="F4449">
        <v>1156022</v>
      </c>
      <c r="G4449" s="5">
        <v>43123</v>
      </c>
    </row>
    <row r="4450" spans="1:7" x14ac:dyDescent="0.4">
      <c r="A4450">
        <v>49</v>
      </c>
      <c r="B4450" t="s">
        <v>1950</v>
      </c>
      <c r="C4450" s="10">
        <v>28.1</v>
      </c>
      <c r="D4450" s="10">
        <v>2.1</v>
      </c>
      <c r="E4450" s="16">
        <v>8.08</v>
      </c>
      <c r="F4450">
        <v>818994</v>
      </c>
      <c r="G4450" s="5">
        <v>43123</v>
      </c>
    </row>
    <row r="4451" spans="1:7" x14ac:dyDescent="0.4">
      <c r="A4451">
        <v>50</v>
      </c>
      <c r="B4451" t="s">
        <v>114</v>
      </c>
      <c r="C4451" s="10">
        <v>23.1</v>
      </c>
      <c r="D4451" s="10">
        <v>1.72</v>
      </c>
      <c r="E4451" s="16">
        <v>8.0399999999999991</v>
      </c>
      <c r="F4451">
        <v>71286</v>
      </c>
      <c r="G4451" s="5">
        <v>43123</v>
      </c>
    </row>
    <row r="4452" spans="1:7" x14ac:dyDescent="0.4">
      <c r="A4452">
        <v>51</v>
      </c>
      <c r="B4452" t="s">
        <v>757</v>
      </c>
      <c r="C4452" s="10">
        <v>10.34</v>
      </c>
      <c r="D4452" s="10">
        <v>0.75</v>
      </c>
      <c r="E4452" s="16">
        <v>7.82</v>
      </c>
      <c r="F4452">
        <v>3119524</v>
      </c>
      <c r="G4452" s="5">
        <v>43123</v>
      </c>
    </row>
    <row r="4453" spans="1:7" x14ac:dyDescent="0.4">
      <c r="A4453">
        <v>52</v>
      </c>
      <c r="B4453" t="s">
        <v>648</v>
      </c>
      <c r="C4453" s="10">
        <v>5.55</v>
      </c>
      <c r="D4453" s="10">
        <v>0.4</v>
      </c>
      <c r="E4453" s="16">
        <v>7.77</v>
      </c>
      <c r="F4453">
        <v>316176</v>
      </c>
      <c r="G4453" s="5">
        <v>43123</v>
      </c>
    </row>
    <row r="4454" spans="1:7" x14ac:dyDescent="0.4">
      <c r="A4454">
        <v>53</v>
      </c>
      <c r="B4454" t="s">
        <v>898</v>
      </c>
      <c r="C4454" s="10">
        <v>7.43</v>
      </c>
      <c r="D4454" s="10">
        <v>0.53</v>
      </c>
      <c r="E4454" s="16">
        <v>7.74</v>
      </c>
      <c r="F4454">
        <v>34557</v>
      </c>
      <c r="G4454" s="5">
        <v>43123</v>
      </c>
    </row>
    <row r="4455" spans="1:7" x14ac:dyDescent="0.4">
      <c r="A4455">
        <v>54</v>
      </c>
      <c r="B4455" t="s">
        <v>459</v>
      </c>
      <c r="C4455" s="10">
        <v>15.07</v>
      </c>
      <c r="D4455" s="10">
        <v>1.07</v>
      </c>
      <c r="E4455" s="16">
        <v>7.68</v>
      </c>
      <c r="F4455">
        <v>66407</v>
      </c>
      <c r="G4455" s="5">
        <v>43123</v>
      </c>
    </row>
    <row r="4456" spans="1:7" x14ac:dyDescent="0.4">
      <c r="A4456">
        <v>55</v>
      </c>
      <c r="B4456" t="s">
        <v>647</v>
      </c>
      <c r="C4456" s="10">
        <v>9.9499999999999993</v>
      </c>
      <c r="D4456" s="10">
        <v>0.7</v>
      </c>
      <c r="E4456" s="16">
        <v>7.57</v>
      </c>
      <c r="F4456">
        <v>1515280</v>
      </c>
      <c r="G4456" s="5">
        <v>43123</v>
      </c>
    </row>
    <row r="4457" spans="1:7" x14ac:dyDescent="0.4">
      <c r="A4457">
        <v>56</v>
      </c>
      <c r="B4457" t="s">
        <v>1951</v>
      </c>
      <c r="C4457" s="10">
        <v>52.15</v>
      </c>
      <c r="D4457" s="10">
        <v>3.66</v>
      </c>
      <c r="E4457" s="16">
        <v>7.55</v>
      </c>
      <c r="F4457">
        <v>3577359</v>
      </c>
      <c r="G4457" s="5">
        <v>43123</v>
      </c>
    </row>
    <row r="4458" spans="1:7" x14ac:dyDescent="0.4">
      <c r="A4458">
        <v>57</v>
      </c>
      <c r="B4458" t="s">
        <v>880</v>
      </c>
      <c r="C4458" s="10">
        <v>17.45</v>
      </c>
      <c r="D4458" s="10">
        <v>1.2</v>
      </c>
      <c r="E4458" s="16">
        <v>7.38</v>
      </c>
      <c r="F4458">
        <v>1985964</v>
      </c>
      <c r="G4458" s="5">
        <v>43123</v>
      </c>
    </row>
    <row r="4459" spans="1:7" x14ac:dyDescent="0.4">
      <c r="A4459">
        <v>58</v>
      </c>
      <c r="B4459" t="s">
        <v>708</v>
      </c>
      <c r="C4459" s="10">
        <v>10.34</v>
      </c>
      <c r="D4459" s="10">
        <v>0.71</v>
      </c>
      <c r="E4459" s="16">
        <v>7.37</v>
      </c>
      <c r="F4459">
        <v>137121</v>
      </c>
      <c r="G4459" s="5">
        <v>43123</v>
      </c>
    </row>
    <row r="4460" spans="1:7" x14ac:dyDescent="0.4">
      <c r="A4460">
        <v>59</v>
      </c>
      <c r="B4460" t="s">
        <v>1811</v>
      </c>
      <c r="C4460" s="10">
        <v>39.53</v>
      </c>
      <c r="D4460" s="10">
        <v>2.71</v>
      </c>
      <c r="E4460" s="16">
        <v>7.36</v>
      </c>
      <c r="F4460">
        <v>280671</v>
      </c>
      <c r="G4460" s="5">
        <v>43123</v>
      </c>
    </row>
    <row r="4461" spans="1:7" x14ac:dyDescent="0.4">
      <c r="A4461">
        <v>60</v>
      </c>
      <c r="B4461" t="s">
        <v>1952</v>
      </c>
      <c r="C4461" s="10">
        <v>6.52</v>
      </c>
      <c r="D4461" s="10">
        <v>0.44</v>
      </c>
      <c r="E4461" s="16">
        <v>7.28</v>
      </c>
      <c r="F4461">
        <v>78052</v>
      </c>
      <c r="G4461" s="5">
        <v>43123</v>
      </c>
    </row>
    <row r="4462" spans="1:7" x14ac:dyDescent="0.4">
      <c r="A4462">
        <v>61</v>
      </c>
      <c r="B4462" t="s">
        <v>1356</v>
      </c>
      <c r="C4462" s="10">
        <v>2.95</v>
      </c>
      <c r="D4462" s="10">
        <v>0.2</v>
      </c>
      <c r="E4462" s="16">
        <v>7.27</v>
      </c>
      <c r="F4462">
        <v>75537</v>
      </c>
      <c r="G4462" s="5">
        <v>43123</v>
      </c>
    </row>
    <row r="4463" spans="1:7" x14ac:dyDescent="0.4">
      <c r="A4463">
        <v>62</v>
      </c>
      <c r="B4463" t="s">
        <v>1809</v>
      </c>
      <c r="C4463" s="10">
        <v>40.56</v>
      </c>
      <c r="D4463" s="10">
        <v>2.74</v>
      </c>
      <c r="E4463" s="16">
        <v>7.24</v>
      </c>
      <c r="F4463">
        <v>237685</v>
      </c>
      <c r="G4463" s="5">
        <v>43123</v>
      </c>
    </row>
    <row r="4464" spans="1:7" x14ac:dyDescent="0.4">
      <c r="A4464">
        <v>63</v>
      </c>
      <c r="B4464" t="s">
        <v>1953</v>
      </c>
      <c r="C4464" s="10">
        <v>15.55</v>
      </c>
      <c r="D4464" s="10">
        <v>1.05</v>
      </c>
      <c r="E4464" s="16">
        <v>7.24</v>
      </c>
      <c r="F4464">
        <v>1818867</v>
      </c>
      <c r="G4464" s="5">
        <v>43123</v>
      </c>
    </row>
    <row r="4465" spans="1:7" x14ac:dyDescent="0.4">
      <c r="A4465">
        <v>64</v>
      </c>
      <c r="B4465" t="s">
        <v>1954</v>
      </c>
      <c r="C4465" s="10">
        <v>17.12</v>
      </c>
      <c r="D4465" s="10">
        <v>1.1499999999999999</v>
      </c>
      <c r="E4465" s="16">
        <v>7.2</v>
      </c>
      <c r="F4465">
        <v>5429017</v>
      </c>
      <c r="G4465" s="5">
        <v>43123</v>
      </c>
    </row>
    <row r="4466" spans="1:7" x14ac:dyDescent="0.4">
      <c r="A4466">
        <v>65</v>
      </c>
      <c r="B4466" t="s">
        <v>571</v>
      </c>
      <c r="C4466" s="10">
        <v>44.45</v>
      </c>
      <c r="D4466" s="10">
        <v>2.94</v>
      </c>
      <c r="E4466" s="16">
        <v>7.08</v>
      </c>
      <c r="F4466">
        <v>638261</v>
      </c>
      <c r="G4466" s="5">
        <v>43123</v>
      </c>
    </row>
    <row r="4467" spans="1:7" x14ac:dyDescent="0.4">
      <c r="A4467">
        <v>66</v>
      </c>
      <c r="B4467" t="s">
        <v>1955</v>
      </c>
      <c r="C4467" s="10">
        <v>7.49</v>
      </c>
      <c r="D4467" s="10">
        <v>0.5</v>
      </c>
      <c r="E4467" s="16">
        <v>7.08</v>
      </c>
      <c r="F4467">
        <v>1082047</v>
      </c>
      <c r="G4467" s="5">
        <v>43123</v>
      </c>
    </row>
    <row r="4468" spans="1:7" x14ac:dyDescent="0.4">
      <c r="A4468">
        <v>67</v>
      </c>
      <c r="B4468" t="s">
        <v>1251</v>
      </c>
      <c r="C4468" s="10">
        <v>2.4300000000000002</v>
      </c>
      <c r="D4468" s="10">
        <v>0.16</v>
      </c>
      <c r="E4468" s="16">
        <v>7.05</v>
      </c>
      <c r="F4468">
        <v>145199</v>
      </c>
      <c r="G4468" s="5">
        <v>43123</v>
      </c>
    </row>
    <row r="4469" spans="1:7" x14ac:dyDescent="0.4">
      <c r="A4469">
        <v>68</v>
      </c>
      <c r="B4469" t="s">
        <v>1956</v>
      </c>
      <c r="C4469" s="10">
        <v>180.53</v>
      </c>
      <c r="D4469" s="10">
        <v>11.86</v>
      </c>
      <c r="E4469" s="16">
        <v>7.03</v>
      </c>
      <c r="F4469">
        <v>584927</v>
      </c>
      <c r="G4469" s="5">
        <v>43123</v>
      </c>
    </row>
    <row r="4470" spans="1:7" x14ac:dyDescent="0.4">
      <c r="A4470">
        <v>69</v>
      </c>
      <c r="B4470" t="s">
        <v>205</v>
      </c>
      <c r="C4470" s="10">
        <v>4.59</v>
      </c>
      <c r="D4470" s="10">
        <v>0.3</v>
      </c>
      <c r="E4470" s="16">
        <v>6.99</v>
      </c>
      <c r="F4470">
        <v>65773</v>
      </c>
      <c r="G4470" s="5">
        <v>43123</v>
      </c>
    </row>
    <row r="4471" spans="1:7" x14ac:dyDescent="0.4">
      <c r="A4471">
        <v>70</v>
      </c>
      <c r="B4471" t="s">
        <v>1957</v>
      </c>
      <c r="C4471" s="10">
        <v>5.8</v>
      </c>
      <c r="D4471" s="10">
        <v>0.38</v>
      </c>
      <c r="E4471" s="16">
        <v>6.94</v>
      </c>
      <c r="F4471">
        <v>43496</v>
      </c>
      <c r="G4471" s="5">
        <v>43123</v>
      </c>
    </row>
    <row r="4472" spans="1:7" x14ac:dyDescent="0.4">
      <c r="A4472">
        <v>71</v>
      </c>
      <c r="B4472" t="s">
        <v>1958</v>
      </c>
      <c r="C4472" s="10">
        <v>72.930000000000007</v>
      </c>
      <c r="D4472" s="10">
        <v>4.71</v>
      </c>
      <c r="E4472" s="16">
        <v>6.9</v>
      </c>
      <c r="F4472">
        <v>2142014</v>
      </c>
      <c r="G4472" s="5">
        <v>43123</v>
      </c>
    </row>
    <row r="4473" spans="1:7" x14ac:dyDescent="0.4">
      <c r="A4473">
        <v>72</v>
      </c>
      <c r="B4473" t="s">
        <v>1767</v>
      </c>
      <c r="C4473" s="10">
        <v>32.76</v>
      </c>
      <c r="D4473" s="10">
        <v>2.11</v>
      </c>
      <c r="E4473" s="16">
        <v>6.88</v>
      </c>
      <c r="F4473">
        <v>245699</v>
      </c>
      <c r="G4473" s="5">
        <v>43123</v>
      </c>
    </row>
    <row r="4474" spans="1:7" x14ac:dyDescent="0.4">
      <c r="A4474">
        <v>73</v>
      </c>
      <c r="B4474" t="s">
        <v>1646</v>
      </c>
      <c r="C4474" s="10">
        <v>19.73</v>
      </c>
      <c r="D4474" s="10">
        <v>1.27</v>
      </c>
      <c r="E4474" s="16">
        <v>6.88</v>
      </c>
      <c r="F4474">
        <v>1665663</v>
      </c>
      <c r="G4474" s="5">
        <v>43123</v>
      </c>
    </row>
    <row r="4475" spans="1:7" x14ac:dyDescent="0.4">
      <c r="A4475">
        <v>74</v>
      </c>
      <c r="B4475" t="s">
        <v>1959</v>
      </c>
      <c r="C4475" s="10">
        <v>3.3</v>
      </c>
      <c r="D4475" s="10">
        <v>0.21</v>
      </c>
      <c r="E4475" s="16">
        <v>6.8</v>
      </c>
      <c r="F4475">
        <v>7254136</v>
      </c>
      <c r="G4475" s="5">
        <v>43123</v>
      </c>
    </row>
    <row r="4476" spans="1:7" x14ac:dyDescent="0.4">
      <c r="A4476">
        <v>75</v>
      </c>
      <c r="B4476" t="s">
        <v>989</v>
      </c>
      <c r="C4476" s="10">
        <v>25.8</v>
      </c>
      <c r="D4476" s="10">
        <v>1.64</v>
      </c>
      <c r="E4476" s="16">
        <v>6.79</v>
      </c>
      <c r="F4476">
        <v>125272</v>
      </c>
      <c r="G4476" s="5">
        <v>43123</v>
      </c>
    </row>
    <row r="4477" spans="1:7" x14ac:dyDescent="0.4">
      <c r="A4477">
        <v>76</v>
      </c>
      <c r="B4477" t="s">
        <v>1960</v>
      </c>
      <c r="C4477" s="10">
        <v>4.57</v>
      </c>
      <c r="D4477" s="10">
        <v>0.28999999999999998</v>
      </c>
      <c r="E4477" s="16">
        <v>6.78</v>
      </c>
      <c r="F4477">
        <v>61913</v>
      </c>
      <c r="G4477" s="5">
        <v>43123</v>
      </c>
    </row>
    <row r="4478" spans="1:7" x14ac:dyDescent="0.4">
      <c r="A4478">
        <v>77</v>
      </c>
      <c r="B4478" t="s">
        <v>1917</v>
      </c>
      <c r="C4478" s="10">
        <v>53.25</v>
      </c>
      <c r="D4478" s="10">
        <v>3.35</v>
      </c>
      <c r="E4478" s="16">
        <v>6.71</v>
      </c>
      <c r="F4478">
        <v>637415</v>
      </c>
      <c r="G4478" s="5">
        <v>43123</v>
      </c>
    </row>
    <row r="4479" spans="1:7" x14ac:dyDescent="0.4">
      <c r="A4479">
        <v>78</v>
      </c>
      <c r="B4479" t="s">
        <v>705</v>
      </c>
      <c r="C4479" s="10">
        <v>3.03</v>
      </c>
      <c r="D4479" s="10">
        <v>0.19</v>
      </c>
      <c r="E4479" s="16">
        <v>6.69</v>
      </c>
      <c r="F4479">
        <v>13048</v>
      </c>
      <c r="G4479" s="5">
        <v>43123</v>
      </c>
    </row>
    <row r="4480" spans="1:7" x14ac:dyDescent="0.4">
      <c r="A4480">
        <v>79</v>
      </c>
      <c r="B4480" t="s">
        <v>763</v>
      </c>
      <c r="C4480" s="10">
        <v>109.7</v>
      </c>
      <c r="D4480" s="10">
        <v>6.86</v>
      </c>
      <c r="E4480" s="16">
        <v>6.67</v>
      </c>
      <c r="F4480">
        <v>1117858</v>
      </c>
      <c r="G4480" s="5">
        <v>43123</v>
      </c>
    </row>
    <row r="4481" spans="1:7" x14ac:dyDescent="0.4">
      <c r="A4481">
        <v>80</v>
      </c>
      <c r="B4481" t="s">
        <v>1961</v>
      </c>
      <c r="C4481" s="10">
        <v>3.88</v>
      </c>
      <c r="D4481" s="10">
        <v>0.24</v>
      </c>
      <c r="E4481" s="16">
        <v>6.59</v>
      </c>
      <c r="F4481">
        <v>23205</v>
      </c>
      <c r="G4481" s="5">
        <v>43123</v>
      </c>
    </row>
    <row r="4482" spans="1:7" x14ac:dyDescent="0.4">
      <c r="A4482">
        <v>81</v>
      </c>
      <c r="B4482" t="s">
        <v>320</v>
      </c>
      <c r="C4482" s="10">
        <v>3.72</v>
      </c>
      <c r="D4482" s="10">
        <v>0.23</v>
      </c>
      <c r="E4482" s="16">
        <v>6.59</v>
      </c>
      <c r="F4482">
        <v>1840377</v>
      </c>
      <c r="G4482" s="5">
        <v>43123</v>
      </c>
    </row>
    <row r="4483" spans="1:7" x14ac:dyDescent="0.4">
      <c r="A4483">
        <v>82</v>
      </c>
      <c r="B4483" t="s">
        <v>1962</v>
      </c>
      <c r="C4483" s="10">
        <v>2.4300000000000002</v>
      </c>
      <c r="D4483" s="10">
        <v>0.15</v>
      </c>
      <c r="E4483" s="16">
        <v>6.58</v>
      </c>
      <c r="F4483">
        <v>165116</v>
      </c>
      <c r="G4483" s="5">
        <v>43123</v>
      </c>
    </row>
    <row r="4484" spans="1:7" x14ac:dyDescent="0.4">
      <c r="A4484">
        <v>83</v>
      </c>
      <c r="B4484" t="s">
        <v>314</v>
      </c>
      <c r="C4484" s="10">
        <v>6.7</v>
      </c>
      <c r="D4484" s="10">
        <v>0.41</v>
      </c>
      <c r="E4484" s="16">
        <v>6.52</v>
      </c>
      <c r="F4484">
        <v>190535</v>
      </c>
      <c r="G4484" s="5">
        <v>43123</v>
      </c>
    </row>
    <row r="4485" spans="1:7" x14ac:dyDescent="0.4">
      <c r="A4485">
        <v>84</v>
      </c>
      <c r="B4485" t="s">
        <v>203</v>
      </c>
      <c r="C4485" s="10">
        <v>3.46</v>
      </c>
      <c r="D4485" s="10">
        <v>0.21</v>
      </c>
      <c r="E4485" s="16">
        <v>6.46</v>
      </c>
      <c r="F4485">
        <v>741644</v>
      </c>
      <c r="G4485" s="5">
        <v>43123</v>
      </c>
    </row>
    <row r="4486" spans="1:7" x14ac:dyDescent="0.4">
      <c r="A4486">
        <v>85</v>
      </c>
      <c r="B4486" t="s">
        <v>1913</v>
      </c>
      <c r="C4486" s="10">
        <v>3.49</v>
      </c>
      <c r="D4486" s="10">
        <v>0.21</v>
      </c>
      <c r="E4486" s="16">
        <v>6.4</v>
      </c>
      <c r="F4486">
        <v>963080</v>
      </c>
      <c r="G4486" s="5">
        <v>43123</v>
      </c>
    </row>
    <row r="4487" spans="1:7" x14ac:dyDescent="0.4">
      <c r="A4487">
        <v>86</v>
      </c>
      <c r="B4487" t="s">
        <v>961</v>
      </c>
      <c r="C4487" s="10">
        <v>27.7</v>
      </c>
      <c r="D4487" s="10">
        <v>1.65</v>
      </c>
      <c r="E4487" s="16">
        <v>6.33</v>
      </c>
      <c r="F4487">
        <v>383159</v>
      </c>
      <c r="G4487" s="5">
        <v>43123</v>
      </c>
    </row>
    <row r="4488" spans="1:7" x14ac:dyDescent="0.4">
      <c r="A4488">
        <v>87</v>
      </c>
      <c r="B4488" t="s">
        <v>49</v>
      </c>
      <c r="C4488" s="10">
        <v>4.03</v>
      </c>
      <c r="D4488" s="10">
        <v>0.24</v>
      </c>
      <c r="E4488" s="16">
        <v>6.33</v>
      </c>
      <c r="F4488">
        <v>789754</v>
      </c>
      <c r="G4488" s="5">
        <v>43123</v>
      </c>
    </row>
    <row r="4489" spans="1:7" x14ac:dyDescent="0.4">
      <c r="A4489">
        <v>88</v>
      </c>
      <c r="B4489" t="s">
        <v>544</v>
      </c>
      <c r="C4489" s="10">
        <v>35.450000000000003</v>
      </c>
      <c r="D4489" s="10">
        <v>2.1</v>
      </c>
      <c r="E4489" s="16">
        <v>6.3</v>
      </c>
      <c r="F4489">
        <v>1419670</v>
      </c>
      <c r="G4489" s="5">
        <v>43123</v>
      </c>
    </row>
    <row r="4490" spans="1:7" x14ac:dyDescent="0.4">
      <c r="A4490">
        <v>89</v>
      </c>
      <c r="B4490" t="s">
        <v>1113</v>
      </c>
      <c r="C4490" s="10">
        <v>11</v>
      </c>
      <c r="D4490" s="10">
        <v>0.65</v>
      </c>
      <c r="E4490" s="16">
        <v>6.28</v>
      </c>
      <c r="F4490">
        <v>54207</v>
      </c>
      <c r="G4490" s="5">
        <v>43123</v>
      </c>
    </row>
    <row r="4491" spans="1:7" x14ac:dyDescent="0.4">
      <c r="A4491">
        <v>90</v>
      </c>
      <c r="B4491" t="s">
        <v>1963</v>
      </c>
      <c r="C4491" s="10">
        <v>35.229999999999997</v>
      </c>
      <c r="D4491" s="10">
        <v>2.08</v>
      </c>
      <c r="E4491" s="16">
        <v>6.27</v>
      </c>
      <c r="F4491">
        <v>3316962</v>
      </c>
      <c r="G4491" s="5">
        <v>43123</v>
      </c>
    </row>
    <row r="4492" spans="1:7" x14ac:dyDescent="0.4">
      <c r="A4492">
        <v>91</v>
      </c>
      <c r="B4492" t="s">
        <v>1964</v>
      </c>
      <c r="C4492" s="10">
        <v>2.5499999999999998</v>
      </c>
      <c r="D4492" s="10">
        <v>0.15</v>
      </c>
      <c r="E4492" s="16">
        <v>6.25</v>
      </c>
      <c r="F4492">
        <v>311348</v>
      </c>
      <c r="G4492" s="5">
        <v>43123</v>
      </c>
    </row>
    <row r="4493" spans="1:7" x14ac:dyDescent="0.4">
      <c r="A4493">
        <v>92</v>
      </c>
      <c r="B4493" t="s">
        <v>1965</v>
      </c>
      <c r="C4493" s="10">
        <v>29.97</v>
      </c>
      <c r="D4493" s="10">
        <v>1.74</v>
      </c>
      <c r="E4493" s="16">
        <v>6.16</v>
      </c>
      <c r="F4493">
        <v>278178</v>
      </c>
      <c r="G4493" s="5">
        <v>43123</v>
      </c>
    </row>
    <row r="4494" spans="1:7" x14ac:dyDescent="0.4">
      <c r="A4494">
        <v>93</v>
      </c>
      <c r="B4494" t="s">
        <v>1966</v>
      </c>
      <c r="C4494" s="10">
        <v>6.9</v>
      </c>
      <c r="D4494" s="10">
        <v>0.4</v>
      </c>
      <c r="E4494" s="16">
        <v>6.15</v>
      </c>
      <c r="F4494">
        <v>148295</v>
      </c>
      <c r="G4494" s="5">
        <v>43123</v>
      </c>
    </row>
    <row r="4495" spans="1:7" x14ac:dyDescent="0.4">
      <c r="A4495">
        <v>94</v>
      </c>
      <c r="B4495" t="s">
        <v>269</v>
      </c>
      <c r="C4495" s="10">
        <v>6.41</v>
      </c>
      <c r="D4495" s="10">
        <v>0.37</v>
      </c>
      <c r="E4495" s="16">
        <v>6.13</v>
      </c>
      <c r="F4495">
        <v>3885999</v>
      </c>
      <c r="G4495" s="5">
        <v>43123</v>
      </c>
    </row>
    <row r="4496" spans="1:7" x14ac:dyDescent="0.4">
      <c r="A4496">
        <v>95</v>
      </c>
      <c r="B4496" t="s">
        <v>1967</v>
      </c>
      <c r="C4496" s="10">
        <v>59.8</v>
      </c>
      <c r="D4496" s="10">
        <v>3.45</v>
      </c>
      <c r="E4496" s="16">
        <v>6.12</v>
      </c>
      <c r="F4496">
        <v>1421612</v>
      </c>
      <c r="G4496" s="5">
        <v>43123</v>
      </c>
    </row>
    <row r="4497" spans="1:7" x14ac:dyDescent="0.4">
      <c r="A4497">
        <v>96</v>
      </c>
      <c r="B4497" t="s">
        <v>1299</v>
      </c>
      <c r="C4497" s="10">
        <v>2.2599999999999998</v>
      </c>
      <c r="D4497" s="10">
        <v>0.13</v>
      </c>
      <c r="E4497" s="16">
        <v>6.1</v>
      </c>
      <c r="F4497">
        <v>359889</v>
      </c>
      <c r="G4497" s="5">
        <v>43123</v>
      </c>
    </row>
    <row r="4498" spans="1:7" x14ac:dyDescent="0.4">
      <c r="A4498">
        <v>97</v>
      </c>
      <c r="B4498" t="s">
        <v>507</v>
      </c>
      <c r="C4498" s="10">
        <v>35.5</v>
      </c>
      <c r="D4498" s="10">
        <v>2.0099999999999998</v>
      </c>
      <c r="E4498" s="16">
        <v>6</v>
      </c>
      <c r="F4498">
        <v>357729</v>
      </c>
      <c r="G4498" s="5">
        <v>43123</v>
      </c>
    </row>
    <row r="4499" spans="1:7" x14ac:dyDescent="0.4">
      <c r="A4499">
        <v>98</v>
      </c>
      <c r="B4499" t="s">
        <v>521</v>
      </c>
      <c r="C4499" s="10">
        <v>20.87</v>
      </c>
      <c r="D4499" s="10">
        <v>1.1599999999999999</v>
      </c>
      <c r="E4499" s="16">
        <v>5.89</v>
      </c>
      <c r="F4499">
        <v>470778</v>
      </c>
      <c r="G4499" s="5">
        <v>43123</v>
      </c>
    </row>
    <row r="4500" spans="1:7" x14ac:dyDescent="0.4">
      <c r="A4500">
        <v>99</v>
      </c>
      <c r="B4500" t="s">
        <v>44</v>
      </c>
      <c r="C4500" s="10">
        <v>19.23</v>
      </c>
      <c r="D4500" s="10">
        <v>1.06</v>
      </c>
      <c r="E4500" s="16">
        <v>5.83</v>
      </c>
      <c r="F4500">
        <v>193472</v>
      </c>
      <c r="G4500" s="5">
        <v>43123</v>
      </c>
    </row>
    <row r="4501" spans="1:7" x14ac:dyDescent="0.4">
      <c r="A4501">
        <v>100</v>
      </c>
      <c r="B4501" t="s">
        <v>1968</v>
      </c>
      <c r="C4501" s="10">
        <v>40.630000000000003</v>
      </c>
      <c r="D4501" s="10">
        <v>2.23</v>
      </c>
      <c r="E4501" s="16">
        <v>5.81</v>
      </c>
      <c r="F4501">
        <v>2050783</v>
      </c>
      <c r="G4501" s="5">
        <v>43123</v>
      </c>
    </row>
    <row r="4502" spans="1:7" x14ac:dyDescent="0.4">
      <c r="A4502">
        <v>1</v>
      </c>
      <c r="B4502" t="s">
        <v>1969</v>
      </c>
      <c r="C4502" s="10">
        <v>29.2</v>
      </c>
      <c r="D4502" s="10">
        <v>7.7</v>
      </c>
      <c r="E4502" s="16">
        <v>35.81</v>
      </c>
      <c r="F4502">
        <v>56608408</v>
      </c>
      <c r="G4502" s="5">
        <v>43124</v>
      </c>
    </row>
    <row r="4503" spans="1:7" x14ac:dyDescent="0.4">
      <c r="A4503">
        <v>2</v>
      </c>
      <c r="B4503" t="s">
        <v>1970</v>
      </c>
      <c r="C4503" s="10">
        <v>13.55</v>
      </c>
      <c r="D4503" s="10">
        <v>3.22</v>
      </c>
      <c r="E4503" s="16">
        <v>31.17</v>
      </c>
      <c r="F4503">
        <v>1010345</v>
      </c>
      <c r="G4503" s="5">
        <v>43124</v>
      </c>
    </row>
    <row r="4504" spans="1:7" x14ac:dyDescent="0.4">
      <c r="A4504">
        <v>3</v>
      </c>
      <c r="B4504" t="s">
        <v>70</v>
      </c>
      <c r="C4504" s="10">
        <v>3.4</v>
      </c>
      <c r="D4504" s="10">
        <v>0.8</v>
      </c>
      <c r="E4504" s="16">
        <v>30.77</v>
      </c>
      <c r="F4504">
        <v>409216</v>
      </c>
      <c r="G4504" s="5">
        <v>43124</v>
      </c>
    </row>
    <row r="4505" spans="1:7" x14ac:dyDescent="0.4">
      <c r="A4505">
        <v>4</v>
      </c>
      <c r="B4505" t="s">
        <v>1101</v>
      </c>
      <c r="C4505" s="10">
        <v>5.21</v>
      </c>
      <c r="D4505" s="10">
        <v>1.19</v>
      </c>
      <c r="E4505" s="16">
        <v>29.6</v>
      </c>
      <c r="F4505">
        <v>3391904</v>
      </c>
      <c r="G4505" s="5">
        <v>43124</v>
      </c>
    </row>
    <row r="4506" spans="1:7" x14ac:dyDescent="0.4">
      <c r="A4506">
        <v>5</v>
      </c>
      <c r="B4506" t="s">
        <v>1971</v>
      </c>
      <c r="C4506" s="10">
        <v>5.39</v>
      </c>
      <c r="D4506" s="10">
        <v>1.1499999999999999</v>
      </c>
      <c r="E4506" s="16">
        <v>27.12</v>
      </c>
      <c r="F4506">
        <v>2916367</v>
      </c>
      <c r="G4506" s="5">
        <v>43124</v>
      </c>
    </row>
    <row r="4507" spans="1:7" x14ac:dyDescent="0.4">
      <c r="A4507">
        <v>6</v>
      </c>
      <c r="B4507" t="s">
        <v>50</v>
      </c>
      <c r="C4507" s="10">
        <v>5.52</v>
      </c>
      <c r="D4507" s="10">
        <v>1</v>
      </c>
      <c r="E4507" s="16">
        <v>22.12</v>
      </c>
      <c r="F4507">
        <v>1887677</v>
      </c>
      <c r="G4507" s="5">
        <v>43124</v>
      </c>
    </row>
    <row r="4508" spans="1:7" x14ac:dyDescent="0.4">
      <c r="A4508">
        <v>7</v>
      </c>
      <c r="B4508" t="s">
        <v>1972</v>
      </c>
      <c r="C4508" s="10">
        <v>271.97000000000003</v>
      </c>
      <c r="D4508" s="10">
        <v>42.52</v>
      </c>
      <c r="E4508" s="16">
        <v>18.53</v>
      </c>
      <c r="F4508">
        <v>4093442</v>
      </c>
      <c r="G4508" s="5">
        <v>43124</v>
      </c>
    </row>
    <row r="4509" spans="1:7" x14ac:dyDescent="0.4">
      <c r="A4509">
        <v>8</v>
      </c>
      <c r="B4509" t="s">
        <v>922</v>
      </c>
      <c r="C4509" s="10">
        <v>59.35</v>
      </c>
      <c r="D4509" s="10">
        <v>9.2100000000000009</v>
      </c>
      <c r="E4509" s="16">
        <v>18.37</v>
      </c>
      <c r="F4509">
        <v>949905</v>
      </c>
      <c r="G4509" s="5">
        <v>43124</v>
      </c>
    </row>
    <row r="4510" spans="1:7" x14ac:dyDescent="0.4">
      <c r="A4510">
        <v>9</v>
      </c>
      <c r="B4510" t="s">
        <v>1973</v>
      </c>
      <c r="C4510" s="10">
        <v>16.079999999999998</v>
      </c>
      <c r="D4510" s="10">
        <v>2.36</v>
      </c>
      <c r="E4510" s="16">
        <v>17.2</v>
      </c>
      <c r="F4510">
        <v>7343778</v>
      </c>
      <c r="G4510" s="5">
        <v>43124</v>
      </c>
    </row>
    <row r="4511" spans="1:7" x14ac:dyDescent="0.4">
      <c r="A4511">
        <v>10</v>
      </c>
      <c r="B4511" t="s">
        <v>687</v>
      </c>
      <c r="C4511" s="10">
        <v>14.14</v>
      </c>
      <c r="D4511" s="10">
        <v>2</v>
      </c>
      <c r="E4511" s="16">
        <v>16.47</v>
      </c>
      <c r="F4511">
        <v>1293922</v>
      </c>
      <c r="G4511" s="5">
        <v>43124</v>
      </c>
    </row>
    <row r="4512" spans="1:7" x14ac:dyDescent="0.4">
      <c r="A4512">
        <v>11</v>
      </c>
      <c r="B4512" t="s">
        <v>261</v>
      </c>
      <c r="C4512" s="10">
        <v>5.01</v>
      </c>
      <c r="D4512" s="10">
        <v>0.68</v>
      </c>
      <c r="E4512" s="16">
        <v>15.7</v>
      </c>
      <c r="F4512">
        <v>19480807</v>
      </c>
      <c r="G4512" s="5">
        <v>43124</v>
      </c>
    </row>
    <row r="4513" spans="1:7" x14ac:dyDescent="0.4">
      <c r="A4513">
        <v>12</v>
      </c>
      <c r="B4513" t="s">
        <v>1974</v>
      </c>
      <c r="C4513" s="10">
        <v>23.25</v>
      </c>
      <c r="D4513" s="10">
        <v>3.15</v>
      </c>
      <c r="E4513" s="16">
        <v>15.67</v>
      </c>
      <c r="F4513">
        <v>1366625</v>
      </c>
      <c r="G4513" s="5">
        <v>43124</v>
      </c>
    </row>
    <row r="4514" spans="1:7" x14ac:dyDescent="0.4">
      <c r="A4514">
        <v>13</v>
      </c>
      <c r="B4514" t="s">
        <v>944</v>
      </c>
      <c r="C4514" s="10">
        <v>23.23</v>
      </c>
      <c r="D4514" s="10">
        <v>2.98</v>
      </c>
      <c r="E4514" s="16">
        <v>14.72</v>
      </c>
      <c r="F4514">
        <v>790300</v>
      </c>
      <c r="G4514" s="5">
        <v>43124</v>
      </c>
    </row>
    <row r="4515" spans="1:7" x14ac:dyDescent="0.4">
      <c r="A4515">
        <v>14</v>
      </c>
      <c r="B4515" t="s">
        <v>743</v>
      </c>
      <c r="C4515" s="10">
        <v>18.170000000000002</v>
      </c>
      <c r="D4515" s="10">
        <v>2.33</v>
      </c>
      <c r="E4515" s="16">
        <v>14.71</v>
      </c>
      <c r="F4515">
        <v>5848063</v>
      </c>
      <c r="G4515" s="5">
        <v>43124</v>
      </c>
    </row>
    <row r="4516" spans="1:7" x14ac:dyDescent="0.4">
      <c r="A4516">
        <v>15</v>
      </c>
      <c r="B4516" t="s">
        <v>1697</v>
      </c>
      <c r="C4516" s="10">
        <v>8.81</v>
      </c>
      <c r="D4516" s="10">
        <v>1.1200000000000001</v>
      </c>
      <c r="E4516" s="16">
        <v>14.56</v>
      </c>
      <c r="F4516">
        <v>703385</v>
      </c>
      <c r="G4516" s="5">
        <v>43124</v>
      </c>
    </row>
    <row r="4517" spans="1:7" x14ac:dyDescent="0.4">
      <c r="A4517">
        <v>16</v>
      </c>
      <c r="B4517" t="s">
        <v>1975</v>
      </c>
      <c r="C4517" s="10">
        <v>8.98</v>
      </c>
      <c r="D4517" s="10">
        <v>1.1200000000000001</v>
      </c>
      <c r="E4517" s="16">
        <v>14.25</v>
      </c>
      <c r="F4517">
        <v>29158785</v>
      </c>
      <c r="G4517" s="5">
        <v>43124</v>
      </c>
    </row>
    <row r="4518" spans="1:7" x14ac:dyDescent="0.4">
      <c r="A4518">
        <v>17</v>
      </c>
      <c r="B4518" t="s">
        <v>1976</v>
      </c>
      <c r="C4518" s="10">
        <v>21.72</v>
      </c>
      <c r="D4518" s="10">
        <v>2.7</v>
      </c>
      <c r="E4518" s="16">
        <v>14.2</v>
      </c>
      <c r="F4518">
        <v>13294049</v>
      </c>
      <c r="G4518" s="5">
        <v>43124</v>
      </c>
    </row>
    <row r="4519" spans="1:7" x14ac:dyDescent="0.4">
      <c r="A4519">
        <v>18</v>
      </c>
      <c r="B4519" t="s">
        <v>933</v>
      </c>
      <c r="C4519" s="10">
        <v>46.29</v>
      </c>
      <c r="D4519" s="10">
        <v>5.58</v>
      </c>
      <c r="E4519" s="16">
        <v>13.71</v>
      </c>
      <c r="F4519">
        <v>47024</v>
      </c>
      <c r="G4519" s="5">
        <v>43124</v>
      </c>
    </row>
    <row r="4520" spans="1:7" x14ac:dyDescent="0.4">
      <c r="A4520">
        <v>19</v>
      </c>
      <c r="B4520" t="s">
        <v>1860</v>
      </c>
      <c r="C4520" s="10">
        <v>102.44</v>
      </c>
      <c r="D4520" s="10">
        <v>12.08</v>
      </c>
      <c r="E4520" s="16">
        <v>13.37</v>
      </c>
      <c r="F4520">
        <v>3981</v>
      </c>
      <c r="G4520" s="5">
        <v>43124</v>
      </c>
    </row>
    <row r="4521" spans="1:7" x14ac:dyDescent="0.4">
      <c r="A4521">
        <v>20</v>
      </c>
      <c r="B4521" t="s">
        <v>1550</v>
      </c>
      <c r="C4521" s="10">
        <v>3.18</v>
      </c>
      <c r="D4521" s="10">
        <v>0.37</v>
      </c>
      <c r="E4521" s="16">
        <v>13.17</v>
      </c>
      <c r="F4521">
        <v>2012303</v>
      </c>
      <c r="G4521" s="5">
        <v>43124</v>
      </c>
    </row>
    <row r="4522" spans="1:7" x14ac:dyDescent="0.4">
      <c r="A4522">
        <v>21</v>
      </c>
      <c r="B4522" t="s">
        <v>35</v>
      </c>
      <c r="C4522" s="10">
        <v>5.7</v>
      </c>
      <c r="D4522" s="10">
        <v>0.63</v>
      </c>
      <c r="E4522" s="16">
        <v>12.43</v>
      </c>
      <c r="F4522">
        <v>2908706</v>
      </c>
      <c r="G4522" s="5">
        <v>43124</v>
      </c>
    </row>
    <row r="4523" spans="1:7" x14ac:dyDescent="0.4">
      <c r="A4523">
        <v>22</v>
      </c>
      <c r="B4523" t="s">
        <v>1977</v>
      </c>
      <c r="C4523" s="10">
        <v>2.57</v>
      </c>
      <c r="D4523" s="10">
        <v>0.28000000000000003</v>
      </c>
      <c r="E4523" s="16">
        <v>12.23</v>
      </c>
      <c r="F4523">
        <v>1016983</v>
      </c>
      <c r="G4523" s="5">
        <v>43124</v>
      </c>
    </row>
    <row r="4524" spans="1:7" x14ac:dyDescent="0.4">
      <c r="A4524">
        <v>23</v>
      </c>
      <c r="B4524" t="s">
        <v>1620</v>
      </c>
      <c r="C4524" s="10">
        <v>6.23</v>
      </c>
      <c r="D4524" s="10">
        <v>0.65</v>
      </c>
      <c r="E4524" s="16">
        <v>11.65</v>
      </c>
      <c r="F4524">
        <v>1000858</v>
      </c>
      <c r="G4524" s="5">
        <v>43124</v>
      </c>
    </row>
    <row r="4525" spans="1:7" x14ac:dyDescent="0.4">
      <c r="A4525">
        <v>24</v>
      </c>
      <c r="B4525" t="s">
        <v>1978</v>
      </c>
      <c r="C4525" s="10">
        <v>15.54</v>
      </c>
      <c r="D4525" s="10">
        <v>1.57</v>
      </c>
      <c r="E4525" s="16">
        <v>11.24</v>
      </c>
      <c r="F4525">
        <v>69112</v>
      </c>
      <c r="G4525" s="5">
        <v>43124</v>
      </c>
    </row>
    <row r="4526" spans="1:7" x14ac:dyDescent="0.4">
      <c r="A4526">
        <v>25</v>
      </c>
      <c r="B4526" t="s">
        <v>1645</v>
      </c>
      <c r="C4526" s="10">
        <v>20</v>
      </c>
      <c r="D4526" s="10">
        <v>1.95</v>
      </c>
      <c r="E4526" s="16">
        <v>10.8</v>
      </c>
      <c r="F4526">
        <v>3786210</v>
      </c>
      <c r="G4526" s="5">
        <v>43124</v>
      </c>
    </row>
    <row r="4527" spans="1:7" x14ac:dyDescent="0.4">
      <c r="A4527">
        <v>26</v>
      </c>
      <c r="B4527" t="s">
        <v>1511</v>
      </c>
      <c r="C4527" s="10">
        <v>5.27</v>
      </c>
      <c r="D4527" s="10">
        <v>0.51</v>
      </c>
      <c r="E4527" s="16">
        <v>10.71</v>
      </c>
      <c r="F4527">
        <v>1073155</v>
      </c>
      <c r="G4527" s="5">
        <v>43124</v>
      </c>
    </row>
    <row r="4528" spans="1:7" x14ac:dyDescent="0.4">
      <c r="A4528">
        <v>27</v>
      </c>
      <c r="B4528" t="s">
        <v>56</v>
      </c>
      <c r="C4528" s="10">
        <v>4.83</v>
      </c>
      <c r="D4528" s="10">
        <v>0.46</v>
      </c>
      <c r="E4528" s="16">
        <v>10.53</v>
      </c>
      <c r="F4528">
        <v>288865</v>
      </c>
      <c r="G4528" s="5">
        <v>43124</v>
      </c>
    </row>
    <row r="4529" spans="1:7" x14ac:dyDescent="0.4">
      <c r="A4529">
        <v>28</v>
      </c>
      <c r="B4529" t="s">
        <v>345</v>
      </c>
      <c r="C4529" s="10">
        <v>4.41</v>
      </c>
      <c r="D4529" s="10">
        <v>0.41</v>
      </c>
      <c r="E4529" s="16">
        <v>10.25</v>
      </c>
      <c r="F4529">
        <v>4546351</v>
      </c>
      <c r="G4529" s="5">
        <v>43124</v>
      </c>
    </row>
    <row r="4530" spans="1:7" x14ac:dyDescent="0.4">
      <c r="A4530">
        <v>29</v>
      </c>
      <c r="B4530" t="s">
        <v>1924</v>
      </c>
      <c r="C4530" s="10">
        <v>4.2</v>
      </c>
      <c r="D4530" s="10">
        <v>0.39</v>
      </c>
      <c r="E4530" s="16">
        <v>10.24</v>
      </c>
      <c r="F4530">
        <v>141364</v>
      </c>
      <c r="G4530" s="5">
        <v>43124</v>
      </c>
    </row>
    <row r="4531" spans="1:7" x14ac:dyDescent="0.4">
      <c r="A4531">
        <v>30</v>
      </c>
      <c r="B4531" t="s">
        <v>1136</v>
      </c>
      <c r="C4531" s="10">
        <v>24.02</v>
      </c>
      <c r="D4531" s="10">
        <v>2.23</v>
      </c>
      <c r="E4531" s="16">
        <v>10.23</v>
      </c>
      <c r="F4531">
        <v>479653</v>
      </c>
      <c r="G4531" s="5">
        <v>43124</v>
      </c>
    </row>
    <row r="4532" spans="1:7" x14ac:dyDescent="0.4">
      <c r="A4532">
        <v>31</v>
      </c>
      <c r="B4532" t="s">
        <v>155</v>
      </c>
      <c r="C4532" s="10">
        <v>11.43</v>
      </c>
      <c r="D4532" s="10">
        <v>1.03</v>
      </c>
      <c r="E4532" s="16">
        <v>9.9</v>
      </c>
      <c r="F4532">
        <v>36628</v>
      </c>
      <c r="G4532" s="5">
        <v>43124</v>
      </c>
    </row>
    <row r="4533" spans="1:7" x14ac:dyDescent="0.4">
      <c r="A4533">
        <v>32</v>
      </c>
      <c r="B4533" t="s">
        <v>912</v>
      </c>
      <c r="C4533" s="10">
        <v>12.1</v>
      </c>
      <c r="D4533" s="10">
        <v>1.07</v>
      </c>
      <c r="E4533" s="16">
        <v>9.6999999999999993</v>
      </c>
      <c r="F4533">
        <v>104288</v>
      </c>
      <c r="G4533" s="5">
        <v>43124</v>
      </c>
    </row>
    <row r="4534" spans="1:7" x14ac:dyDescent="0.4">
      <c r="A4534">
        <v>33</v>
      </c>
      <c r="B4534" t="s">
        <v>1140</v>
      </c>
      <c r="C4534" s="10">
        <v>4.49</v>
      </c>
      <c r="D4534" s="10">
        <v>0.38</v>
      </c>
      <c r="E4534" s="16">
        <v>9.25</v>
      </c>
      <c r="F4534">
        <v>1819557</v>
      </c>
      <c r="G4534" s="5">
        <v>43124</v>
      </c>
    </row>
    <row r="4535" spans="1:7" x14ac:dyDescent="0.4">
      <c r="A4535">
        <v>34</v>
      </c>
      <c r="B4535" t="s">
        <v>384</v>
      </c>
      <c r="C4535" s="10">
        <v>11.69</v>
      </c>
      <c r="D4535" s="10">
        <v>0.96</v>
      </c>
      <c r="E4535" s="16">
        <v>8.9499999999999993</v>
      </c>
      <c r="F4535">
        <v>1265247</v>
      </c>
      <c r="G4535" s="5">
        <v>43124</v>
      </c>
    </row>
    <row r="4536" spans="1:7" x14ac:dyDescent="0.4">
      <c r="A4536">
        <v>35</v>
      </c>
      <c r="B4536" t="s">
        <v>1276</v>
      </c>
      <c r="C4536" s="10">
        <v>3.08</v>
      </c>
      <c r="D4536" s="10">
        <v>0.25</v>
      </c>
      <c r="E4536" s="16">
        <v>8.84</v>
      </c>
      <c r="F4536">
        <v>14665</v>
      </c>
      <c r="G4536" s="5">
        <v>43124</v>
      </c>
    </row>
    <row r="4537" spans="1:7" x14ac:dyDescent="0.4">
      <c r="A4537">
        <v>36</v>
      </c>
      <c r="B4537" t="s">
        <v>1979</v>
      </c>
      <c r="C4537" s="10">
        <v>13.09</v>
      </c>
      <c r="D4537" s="10">
        <v>1.04</v>
      </c>
      <c r="E4537" s="16">
        <v>8.6300000000000008</v>
      </c>
      <c r="F4537">
        <v>62980705</v>
      </c>
      <c r="G4537" s="5">
        <v>43124</v>
      </c>
    </row>
    <row r="4538" spans="1:7" x14ac:dyDescent="0.4">
      <c r="A4538">
        <v>37</v>
      </c>
      <c r="B4538" t="s">
        <v>68</v>
      </c>
      <c r="C4538" s="10">
        <v>23.5</v>
      </c>
      <c r="D4538" s="10">
        <v>1.86</v>
      </c>
      <c r="E4538" s="16">
        <v>8.6</v>
      </c>
      <c r="F4538">
        <v>503977</v>
      </c>
      <c r="G4538" s="5">
        <v>43124</v>
      </c>
    </row>
    <row r="4539" spans="1:7" x14ac:dyDescent="0.4">
      <c r="A4539">
        <v>38</v>
      </c>
      <c r="B4539" t="s">
        <v>647</v>
      </c>
      <c r="C4539" s="10">
        <v>10.8</v>
      </c>
      <c r="D4539" s="10">
        <v>0.85</v>
      </c>
      <c r="E4539" s="16">
        <v>8.5399999999999991</v>
      </c>
      <c r="F4539">
        <v>3992460</v>
      </c>
      <c r="G4539" s="5">
        <v>43124</v>
      </c>
    </row>
    <row r="4540" spans="1:7" x14ac:dyDescent="0.4">
      <c r="A4540">
        <v>39</v>
      </c>
      <c r="B4540" t="s">
        <v>837</v>
      </c>
      <c r="C4540" s="10">
        <v>11.89</v>
      </c>
      <c r="D4540" s="10">
        <v>0.92</v>
      </c>
      <c r="E4540" s="16">
        <v>8.39</v>
      </c>
      <c r="F4540">
        <v>2568</v>
      </c>
      <c r="G4540" s="5">
        <v>43124</v>
      </c>
    </row>
    <row r="4541" spans="1:7" x14ac:dyDescent="0.4">
      <c r="A4541">
        <v>40</v>
      </c>
      <c r="B4541" t="s">
        <v>1480</v>
      </c>
      <c r="C4541" s="10">
        <v>7.64</v>
      </c>
      <c r="D4541" s="10">
        <v>0.56999999999999995</v>
      </c>
      <c r="E4541" s="16">
        <v>8.06</v>
      </c>
      <c r="F4541">
        <v>4514307</v>
      </c>
      <c r="G4541" s="5">
        <v>43124</v>
      </c>
    </row>
    <row r="4542" spans="1:7" x14ac:dyDescent="0.4">
      <c r="A4542">
        <v>41</v>
      </c>
      <c r="B4542" t="s">
        <v>1980</v>
      </c>
      <c r="C4542" s="10">
        <v>16.100000000000001</v>
      </c>
      <c r="D4542" s="10">
        <v>1.2</v>
      </c>
      <c r="E4542" s="16">
        <v>8.0500000000000007</v>
      </c>
      <c r="F4542">
        <v>15085280</v>
      </c>
      <c r="G4542" s="5">
        <v>43124</v>
      </c>
    </row>
    <row r="4543" spans="1:7" x14ac:dyDescent="0.4">
      <c r="A4543">
        <v>42</v>
      </c>
      <c r="B4543" t="s">
        <v>1981</v>
      </c>
      <c r="C4543" s="10">
        <v>12.25</v>
      </c>
      <c r="D4543" s="10">
        <v>0.91</v>
      </c>
      <c r="E4543" s="16">
        <v>8.02</v>
      </c>
      <c r="F4543">
        <v>25222419</v>
      </c>
      <c r="G4543" s="5">
        <v>43124</v>
      </c>
    </row>
    <row r="4544" spans="1:7" x14ac:dyDescent="0.4">
      <c r="A4544">
        <v>43</v>
      </c>
      <c r="B4544" t="s">
        <v>395</v>
      </c>
      <c r="C4544" s="10">
        <v>3.04</v>
      </c>
      <c r="D4544" s="10">
        <v>0.22</v>
      </c>
      <c r="E4544" s="16">
        <v>7.96</v>
      </c>
      <c r="F4544">
        <v>1297763</v>
      </c>
      <c r="G4544" s="5">
        <v>43124</v>
      </c>
    </row>
    <row r="4545" spans="1:7" x14ac:dyDescent="0.4">
      <c r="A4545">
        <v>44</v>
      </c>
      <c r="B4545" t="s">
        <v>1982</v>
      </c>
      <c r="C4545" s="10">
        <v>14.51</v>
      </c>
      <c r="D4545" s="10">
        <v>1.07</v>
      </c>
      <c r="E4545" s="16">
        <v>7.96</v>
      </c>
      <c r="F4545">
        <v>8514237</v>
      </c>
      <c r="G4545" s="5">
        <v>43124</v>
      </c>
    </row>
    <row r="4546" spans="1:7" x14ac:dyDescent="0.4">
      <c r="A4546">
        <v>45</v>
      </c>
      <c r="B4546" t="s">
        <v>39</v>
      </c>
      <c r="C4546" s="10">
        <v>2.4500000000000002</v>
      </c>
      <c r="D4546" s="10">
        <v>0.18</v>
      </c>
      <c r="E4546" s="16">
        <v>7.93</v>
      </c>
      <c r="F4546">
        <v>3590600</v>
      </c>
      <c r="G4546" s="5">
        <v>43124</v>
      </c>
    </row>
    <row r="4547" spans="1:7" x14ac:dyDescent="0.4">
      <c r="A4547">
        <v>46</v>
      </c>
      <c r="B4547" t="s">
        <v>1983</v>
      </c>
      <c r="C4547" s="10">
        <v>38.229999999999997</v>
      </c>
      <c r="D4547" s="10">
        <v>2.8</v>
      </c>
      <c r="E4547" s="16">
        <v>7.9</v>
      </c>
      <c r="F4547">
        <v>339142</v>
      </c>
      <c r="G4547" s="5">
        <v>43124</v>
      </c>
    </row>
    <row r="4548" spans="1:7" x14ac:dyDescent="0.4">
      <c r="A4548">
        <v>47</v>
      </c>
      <c r="B4548" t="s">
        <v>1570</v>
      </c>
      <c r="C4548" s="10">
        <v>15.25</v>
      </c>
      <c r="D4548" s="10">
        <v>1.1000000000000001</v>
      </c>
      <c r="E4548" s="16">
        <v>7.77</v>
      </c>
      <c r="F4548">
        <v>2497260</v>
      </c>
      <c r="G4548" s="5">
        <v>43124</v>
      </c>
    </row>
    <row r="4549" spans="1:7" x14ac:dyDescent="0.4">
      <c r="A4549">
        <v>48</v>
      </c>
      <c r="B4549" t="s">
        <v>1369</v>
      </c>
      <c r="C4549" s="10">
        <v>26.7</v>
      </c>
      <c r="D4549" s="10">
        <v>1.92</v>
      </c>
      <c r="E4549" s="16">
        <v>7.77</v>
      </c>
      <c r="F4549">
        <v>321440</v>
      </c>
      <c r="G4549" s="5">
        <v>43124</v>
      </c>
    </row>
    <row r="4550" spans="1:7" x14ac:dyDescent="0.4">
      <c r="A4550">
        <v>49</v>
      </c>
      <c r="B4550" t="s">
        <v>1984</v>
      </c>
      <c r="C4550" s="10">
        <v>4.79</v>
      </c>
      <c r="D4550" s="10">
        <v>0.34</v>
      </c>
      <c r="E4550" s="16">
        <v>7.76</v>
      </c>
      <c r="F4550">
        <v>91364</v>
      </c>
      <c r="G4550" s="5">
        <v>43124</v>
      </c>
    </row>
    <row r="4551" spans="1:7" x14ac:dyDescent="0.4">
      <c r="A4551">
        <v>50</v>
      </c>
      <c r="B4551" t="s">
        <v>1882</v>
      </c>
      <c r="C4551" s="10">
        <v>2.5099999999999998</v>
      </c>
      <c r="D4551" s="10">
        <v>0.18</v>
      </c>
      <c r="E4551" s="16">
        <v>7.73</v>
      </c>
      <c r="F4551">
        <v>5321977</v>
      </c>
      <c r="G4551" s="5">
        <v>43124</v>
      </c>
    </row>
    <row r="4552" spans="1:7" x14ac:dyDescent="0.4">
      <c r="A4552">
        <v>51</v>
      </c>
      <c r="B4552" t="s">
        <v>1281</v>
      </c>
      <c r="C4552" s="10">
        <v>5.6</v>
      </c>
      <c r="D4552" s="10">
        <v>0.4</v>
      </c>
      <c r="E4552" s="16">
        <v>7.69</v>
      </c>
      <c r="F4552">
        <v>2183525</v>
      </c>
      <c r="G4552" s="5">
        <v>43124</v>
      </c>
    </row>
    <row r="4553" spans="1:7" x14ac:dyDescent="0.4">
      <c r="A4553">
        <v>52</v>
      </c>
      <c r="B4553" t="s">
        <v>1985</v>
      </c>
      <c r="C4553" s="10">
        <v>136.76</v>
      </c>
      <c r="D4553" s="10">
        <v>9.75</v>
      </c>
      <c r="E4553" s="16">
        <v>7.68</v>
      </c>
      <c r="F4553">
        <v>3083</v>
      </c>
      <c r="G4553" s="5">
        <v>43124</v>
      </c>
    </row>
    <row r="4554" spans="1:7" x14ac:dyDescent="0.4">
      <c r="A4554">
        <v>53</v>
      </c>
      <c r="B4554" t="s">
        <v>620</v>
      </c>
      <c r="C4554" s="10">
        <v>3.37</v>
      </c>
      <c r="D4554" s="10">
        <v>0.24</v>
      </c>
      <c r="E4554" s="16">
        <v>7.67</v>
      </c>
      <c r="F4554">
        <v>6856932</v>
      </c>
      <c r="G4554" s="5">
        <v>43124</v>
      </c>
    </row>
    <row r="4555" spans="1:7" x14ac:dyDescent="0.4">
      <c r="A4555">
        <v>54</v>
      </c>
      <c r="B4555" t="s">
        <v>1470</v>
      </c>
      <c r="C4555" s="10">
        <v>2.69</v>
      </c>
      <c r="D4555" s="10">
        <v>0.19</v>
      </c>
      <c r="E4555" s="16">
        <v>7.6</v>
      </c>
      <c r="F4555">
        <v>3662650</v>
      </c>
      <c r="G4555" s="5">
        <v>43124</v>
      </c>
    </row>
    <row r="4556" spans="1:7" x14ac:dyDescent="0.4">
      <c r="A4556">
        <v>55</v>
      </c>
      <c r="B4556" t="s">
        <v>67</v>
      </c>
      <c r="C4556" s="10">
        <v>33.94</v>
      </c>
      <c r="D4556" s="10">
        <v>2.39</v>
      </c>
      <c r="E4556" s="16">
        <v>7.56</v>
      </c>
      <c r="F4556">
        <v>38710</v>
      </c>
      <c r="G4556" s="5">
        <v>43124</v>
      </c>
    </row>
    <row r="4557" spans="1:7" x14ac:dyDescent="0.4">
      <c r="A4557">
        <v>56</v>
      </c>
      <c r="B4557" t="s">
        <v>1098</v>
      </c>
      <c r="C4557" s="10">
        <v>3.43</v>
      </c>
      <c r="D4557" s="10">
        <v>0.24</v>
      </c>
      <c r="E4557" s="16">
        <v>7.52</v>
      </c>
      <c r="F4557">
        <v>3676562</v>
      </c>
      <c r="G4557" s="5">
        <v>43124</v>
      </c>
    </row>
    <row r="4558" spans="1:7" x14ac:dyDescent="0.4">
      <c r="A4558">
        <v>57</v>
      </c>
      <c r="B4558" t="s">
        <v>1986</v>
      </c>
      <c r="C4558" s="10">
        <v>22.74</v>
      </c>
      <c r="D4558" s="10">
        <v>1.59</v>
      </c>
      <c r="E4558" s="16">
        <v>7.52</v>
      </c>
      <c r="F4558">
        <v>634820</v>
      </c>
      <c r="G4558" s="5">
        <v>43124</v>
      </c>
    </row>
    <row r="4559" spans="1:7" x14ac:dyDescent="0.4">
      <c r="A4559">
        <v>58</v>
      </c>
      <c r="B4559" t="s">
        <v>1987</v>
      </c>
      <c r="C4559" s="10">
        <v>26.04</v>
      </c>
      <c r="D4559" s="10">
        <v>1.78</v>
      </c>
      <c r="E4559" s="16">
        <v>7.34</v>
      </c>
      <c r="F4559">
        <v>419310</v>
      </c>
      <c r="G4559" s="5">
        <v>43124</v>
      </c>
    </row>
    <row r="4560" spans="1:7" x14ac:dyDescent="0.4">
      <c r="A4560">
        <v>59</v>
      </c>
      <c r="B4560" t="s">
        <v>1988</v>
      </c>
      <c r="C4560" s="10">
        <v>4.75</v>
      </c>
      <c r="D4560" s="10">
        <v>0.32</v>
      </c>
      <c r="E4560" s="16">
        <v>7.22</v>
      </c>
      <c r="F4560">
        <v>69485</v>
      </c>
      <c r="G4560" s="5">
        <v>43124</v>
      </c>
    </row>
    <row r="4561" spans="1:7" x14ac:dyDescent="0.4">
      <c r="A4561">
        <v>60</v>
      </c>
      <c r="B4561" t="s">
        <v>1989</v>
      </c>
      <c r="C4561" s="10">
        <v>24.5</v>
      </c>
      <c r="D4561" s="10">
        <v>1.65</v>
      </c>
      <c r="E4561" s="16">
        <v>7.22</v>
      </c>
      <c r="F4561">
        <v>1108572</v>
      </c>
      <c r="G4561" s="5">
        <v>43124</v>
      </c>
    </row>
    <row r="4562" spans="1:7" x14ac:dyDescent="0.4">
      <c r="A4562">
        <v>61</v>
      </c>
      <c r="B4562" t="s">
        <v>813</v>
      </c>
      <c r="C4562" s="10">
        <v>2.2400000000000002</v>
      </c>
      <c r="D4562" s="10">
        <v>0.15</v>
      </c>
      <c r="E4562" s="16">
        <v>7.18</v>
      </c>
      <c r="F4562">
        <v>13521</v>
      </c>
      <c r="G4562" s="5">
        <v>43124</v>
      </c>
    </row>
    <row r="4563" spans="1:7" x14ac:dyDescent="0.4">
      <c r="A4563">
        <v>62</v>
      </c>
      <c r="B4563" t="s">
        <v>91</v>
      </c>
      <c r="C4563" s="10">
        <v>7.5</v>
      </c>
      <c r="D4563" s="10">
        <v>0.5</v>
      </c>
      <c r="E4563" s="16">
        <v>7.14</v>
      </c>
      <c r="F4563">
        <v>1104974</v>
      </c>
      <c r="G4563" s="5">
        <v>43124</v>
      </c>
    </row>
    <row r="4564" spans="1:7" x14ac:dyDescent="0.4">
      <c r="A4564">
        <v>63</v>
      </c>
      <c r="B4564" t="s">
        <v>1990</v>
      </c>
      <c r="C4564" s="10">
        <v>16.59</v>
      </c>
      <c r="D4564" s="10">
        <v>1.1000000000000001</v>
      </c>
      <c r="E4564" s="16">
        <v>7.1</v>
      </c>
      <c r="F4564">
        <v>2557546</v>
      </c>
      <c r="G4564" s="5">
        <v>43124</v>
      </c>
    </row>
    <row r="4565" spans="1:7" x14ac:dyDescent="0.4">
      <c r="A4565">
        <v>64</v>
      </c>
      <c r="B4565" t="s">
        <v>236</v>
      </c>
      <c r="C4565" s="10">
        <v>9.7100000000000009</v>
      </c>
      <c r="D4565" s="10">
        <v>0.64</v>
      </c>
      <c r="E4565" s="16">
        <v>7.06</v>
      </c>
      <c r="F4565">
        <v>626916</v>
      </c>
      <c r="G4565" s="5">
        <v>43124</v>
      </c>
    </row>
    <row r="4566" spans="1:7" x14ac:dyDescent="0.4">
      <c r="A4566">
        <v>65</v>
      </c>
      <c r="B4566" t="s">
        <v>549</v>
      </c>
      <c r="C4566" s="10">
        <v>12.05</v>
      </c>
      <c r="D4566" s="10">
        <v>0.79</v>
      </c>
      <c r="E4566" s="16">
        <v>7.02</v>
      </c>
      <c r="F4566">
        <v>2290</v>
      </c>
      <c r="G4566" s="5">
        <v>43124</v>
      </c>
    </row>
    <row r="4567" spans="1:7" x14ac:dyDescent="0.4">
      <c r="A4567">
        <v>66</v>
      </c>
      <c r="B4567" t="s">
        <v>1032</v>
      </c>
      <c r="C4567" s="10">
        <v>13.96</v>
      </c>
      <c r="D4567" s="10">
        <v>0.91</v>
      </c>
      <c r="E4567" s="16">
        <v>6.97</v>
      </c>
      <c r="F4567">
        <v>8315441</v>
      </c>
      <c r="G4567" s="5">
        <v>43124</v>
      </c>
    </row>
    <row r="4568" spans="1:7" x14ac:dyDescent="0.4">
      <c r="A4568">
        <v>67</v>
      </c>
      <c r="B4568" t="s">
        <v>1991</v>
      </c>
      <c r="C4568" s="10">
        <v>11.07</v>
      </c>
      <c r="D4568" s="10">
        <v>0.72</v>
      </c>
      <c r="E4568" s="16">
        <v>6.96</v>
      </c>
      <c r="F4568">
        <v>3078278</v>
      </c>
      <c r="G4568" s="5">
        <v>43124</v>
      </c>
    </row>
    <row r="4569" spans="1:7" x14ac:dyDescent="0.4">
      <c r="A4569">
        <v>68</v>
      </c>
      <c r="B4569" t="s">
        <v>1049</v>
      </c>
      <c r="C4569" s="10">
        <v>9.6</v>
      </c>
      <c r="D4569" s="10">
        <v>0.62</v>
      </c>
      <c r="E4569" s="16">
        <v>6.9</v>
      </c>
      <c r="F4569">
        <v>75338</v>
      </c>
      <c r="G4569" s="5">
        <v>43124</v>
      </c>
    </row>
    <row r="4570" spans="1:7" x14ac:dyDescent="0.4">
      <c r="A4570">
        <v>69</v>
      </c>
      <c r="B4570" t="s">
        <v>807</v>
      </c>
      <c r="C4570" s="10">
        <v>15.47</v>
      </c>
      <c r="D4570" s="10">
        <v>0.99</v>
      </c>
      <c r="E4570" s="16">
        <v>6.84</v>
      </c>
      <c r="F4570">
        <v>614302</v>
      </c>
      <c r="G4570" s="5">
        <v>43124</v>
      </c>
    </row>
    <row r="4571" spans="1:7" x14ac:dyDescent="0.4">
      <c r="A4571">
        <v>70</v>
      </c>
      <c r="B4571" t="s">
        <v>824</v>
      </c>
      <c r="C4571" s="10">
        <v>4.5999999999999996</v>
      </c>
      <c r="D4571" s="10">
        <v>0.28999999999999998</v>
      </c>
      <c r="E4571" s="16">
        <v>6.73</v>
      </c>
      <c r="F4571">
        <v>32242</v>
      </c>
      <c r="G4571" s="5">
        <v>43124</v>
      </c>
    </row>
    <row r="4572" spans="1:7" x14ac:dyDescent="0.4">
      <c r="A4572">
        <v>71</v>
      </c>
      <c r="B4572" t="s">
        <v>1992</v>
      </c>
      <c r="C4572" s="10">
        <v>31</v>
      </c>
      <c r="D4572" s="10">
        <v>1.95</v>
      </c>
      <c r="E4572" s="16">
        <v>6.71</v>
      </c>
      <c r="F4572">
        <v>1460561</v>
      </c>
      <c r="G4572" s="5">
        <v>43124</v>
      </c>
    </row>
    <row r="4573" spans="1:7" x14ac:dyDescent="0.4">
      <c r="A4573">
        <v>72</v>
      </c>
      <c r="B4573" t="s">
        <v>207</v>
      </c>
      <c r="C4573" s="10">
        <v>12.67</v>
      </c>
      <c r="D4573" s="10">
        <v>0.79</v>
      </c>
      <c r="E4573" s="16">
        <v>6.65</v>
      </c>
      <c r="F4573">
        <v>1454391</v>
      </c>
      <c r="G4573" s="5">
        <v>43124</v>
      </c>
    </row>
    <row r="4574" spans="1:7" x14ac:dyDescent="0.4">
      <c r="A4574">
        <v>73</v>
      </c>
      <c r="B4574" t="s">
        <v>349</v>
      </c>
      <c r="C4574" s="10">
        <v>28.52</v>
      </c>
      <c r="D4574" s="10">
        <v>1.77</v>
      </c>
      <c r="E4574" s="16">
        <v>6.62</v>
      </c>
      <c r="F4574">
        <v>1044482</v>
      </c>
      <c r="G4574" s="5">
        <v>43124</v>
      </c>
    </row>
    <row r="4575" spans="1:7" x14ac:dyDescent="0.4">
      <c r="A4575">
        <v>74</v>
      </c>
      <c r="B4575" t="s">
        <v>87</v>
      </c>
      <c r="C4575" s="10">
        <v>41.34</v>
      </c>
      <c r="D4575" s="10">
        <v>2.56</v>
      </c>
      <c r="E4575" s="16">
        <v>6.6</v>
      </c>
      <c r="F4575">
        <v>554590</v>
      </c>
      <c r="G4575" s="5">
        <v>43124</v>
      </c>
    </row>
    <row r="4576" spans="1:7" x14ac:dyDescent="0.4">
      <c r="A4576">
        <v>75</v>
      </c>
      <c r="B4576" t="s">
        <v>1993</v>
      </c>
      <c r="C4576" s="10">
        <v>28.89</v>
      </c>
      <c r="D4576" s="10">
        <v>1.77</v>
      </c>
      <c r="E4576" s="16">
        <v>6.53</v>
      </c>
      <c r="F4576">
        <v>5629</v>
      </c>
      <c r="G4576" s="5">
        <v>43124</v>
      </c>
    </row>
    <row r="4577" spans="1:7" x14ac:dyDescent="0.4">
      <c r="A4577">
        <v>76</v>
      </c>
      <c r="B4577" t="s">
        <v>601</v>
      </c>
      <c r="C4577" s="10">
        <v>36.979999999999997</v>
      </c>
      <c r="D4577" s="10">
        <v>2.2599999999999998</v>
      </c>
      <c r="E4577" s="16">
        <v>6.51</v>
      </c>
      <c r="F4577">
        <v>9445052</v>
      </c>
      <c r="G4577" s="5">
        <v>43124</v>
      </c>
    </row>
    <row r="4578" spans="1:7" x14ac:dyDescent="0.4">
      <c r="A4578">
        <v>77</v>
      </c>
      <c r="B4578" t="s">
        <v>259</v>
      </c>
      <c r="C4578" s="10">
        <v>5.75</v>
      </c>
      <c r="D4578" s="10">
        <v>0.35</v>
      </c>
      <c r="E4578" s="16">
        <v>6.48</v>
      </c>
      <c r="F4578">
        <v>1078913</v>
      </c>
      <c r="G4578" s="5">
        <v>43124</v>
      </c>
    </row>
    <row r="4579" spans="1:7" x14ac:dyDescent="0.4">
      <c r="A4579">
        <v>78</v>
      </c>
      <c r="B4579" t="s">
        <v>199</v>
      </c>
      <c r="C4579" s="10">
        <v>3.65</v>
      </c>
      <c r="D4579" s="10">
        <v>0.22</v>
      </c>
      <c r="E4579" s="16">
        <v>6.41</v>
      </c>
      <c r="F4579">
        <v>1076700</v>
      </c>
      <c r="G4579" s="5">
        <v>43124</v>
      </c>
    </row>
    <row r="4580" spans="1:7" x14ac:dyDescent="0.4">
      <c r="A4580">
        <v>79</v>
      </c>
      <c r="B4580" t="s">
        <v>1994</v>
      </c>
      <c r="C4580" s="10">
        <v>4.99</v>
      </c>
      <c r="D4580" s="10">
        <v>0.3</v>
      </c>
      <c r="E4580" s="16">
        <v>6.4</v>
      </c>
      <c r="F4580">
        <v>3875499</v>
      </c>
      <c r="G4580" s="5">
        <v>43124</v>
      </c>
    </row>
    <row r="4581" spans="1:7" x14ac:dyDescent="0.4">
      <c r="A4581">
        <v>80</v>
      </c>
      <c r="B4581" t="s">
        <v>1995</v>
      </c>
      <c r="C4581" s="10">
        <v>16.510000000000002</v>
      </c>
      <c r="D4581" s="10">
        <v>0.97</v>
      </c>
      <c r="E4581" s="16">
        <v>6.25</v>
      </c>
      <c r="F4581">
        <v>22555</v>
      </c>
      <c r="G4581" s="5">
        <v>43124</v>
      </c>
    </row>
    <row r="4582" spans="1:7" x14ac:dyDescent="0.4">
      <c r="A4582">
        <v>81</v>
      </c>
      <c r="B4582" t="s">
        <v>1996</v>
      </c>
      <c r="C4582" s="10">
        <v>4.28</v>
      </c>
      <c r="D4582" s="10">
        <v>0.25</v>
      </c>
      <c r="E4582" s="16">
        <v>6.2</v>
      </c>
      <c r="F4582">
        <v>43186</v>
      </c>
      <c r="G4582" s="5">
        <v>43124</v>
      </c>
    </row>
    <row r="4583" spans="1:7" x14ac:dyDescent="0.4">
      <c r="A4583">
        <v>82</v>
      </c>
      <c r="B4583" t="s">
        <v>1997</v>
      </c>
      <c r="C4583" s="10">
        <v>24.03</v>
      </c>
      <c r="D4583" s="10">
        <v>1.4</v>
      </c>
      <c r="E4583" s="16">
        <v>6.19</v>
      </c>
      <c r="F4583">
        <v>171183</v>
      </c>
      <c r="G4583" s="5">
        <v>43124</v>
      </c>
    </row>
    <row r="4584" spans="1:7" x14ac:dyDescent="0.4">
      <c r="A4584">
        <v>83</v>
      </c>
      <c r="B4584" t="s">
        <v>1998</v>
      </c>
      <c r="C4584" s="10">
        <v>58.26</v>
      </c>
      <c r="D4584" s="10">
        <v>3.39</v>
      </c>
      <c r="E4584" s="16">
        <v>6.18</v>
      </c>
      <c r="F4584">
        <v>2213</v>
      </c>
      <c r="G4584" s="5">
        <v>43124</v>
      </c>
    </row>
    <row r="4585" spans="1:7" x14ac:dyDescent="0.4">
      <c r="A4585">
        <v>84</v>
      </c>
      <c r="B4585" t="s">
        <v>1999</v>
      </c>
      <c r="C4585" s="10">
        <v>46.35</v>
      </c>
      <c r="D4585" s="10">
        <v>2.69</v>
      </c>
      <c r="E4585" s="16">
        <v>6.16</v>
      </c>
      <c r="F4585">
        <v>44263417</v>
      </c>
      <c r="G4585" s="5">
        <v>43124</v>
      </c>
    </row>
    <row r="4586" spans="1:7" x14ac:dyDescent="0.4">
      <c r="A4586">
        <v>85</v>
      </c>
      <c r="B4586" t="s">
        <v>1648</v>
      </c>
      <c r="C4586" s="10">
        <v>4.5199999999999996</v>
      </c>
      <c r="D4586" s="10">
        <v>0.26</v>
      </c>
      <c r="E4586" s="16">
        <v>6.1</v>
      </c>
      <c r="F4586">
        <v>16042710</v>
      </c>
      <c r="G4586" s="5">
        <v>43124</v>
      </c>
    </row>
    <row r="4587" spans="1:7" x14ac:dyDescent="0.4">
      <c r="A4587">
        <v>86</v>
      </c>
      <c r="B4587" t="s">
        <v>1030</v>
      </c>
      <c r="C4587" s="10">
        <v>5.94</v>
      </c>
      <c r="D4587" s="10">
        <v>0.34</v>
      </c>
      <c r="E4587" s="16">
        <v>6.07</v>
      </c>
      <c r="F4587">
        <v>393008</v>
      </c>
      <c r="G4587" s="5">
        <v>43124</v>
      </c>
    </row>
    <row r="4588" spans="1:7" x14ac:dyDescent="0.4">
      <c r="A4588">
        <v>87</v>
      </c>
      <c r="B4588" t="s">
        <v>681</v>
      </c>
      <c r="C4588" s="10">
        <v>9.44</v>
      </c>
      <c r="D4588" s="10">
        <v>0.54</v>
      </c>
      <c r="E4588" s="16">
        <v>6.07</v>
      </c>
      <c r="F4588">
        <v>190567</v>
      </c>
      <c r="G4588" s="5">
        <v>43124</v>
      </c>
    </row>
    <row r="4589" spans="1:7" x14ac:dyDescent="0.4">
      <c r="A4589">
        <v>88</v>
      </c>
      <c r="B4589" t="s">
        <v>1230</v>
      </c>
      <c r="C4589" s="10">
        <v>32.31</v>
      </c>
      <c r="D4589" s="10">
        <v>1.84</v>
      </c>
      <c r="E4589" s="16">
        <v>6.04</v>
      </c>
      <c r="F4589">
        <v>5673599</v>
      </c>
      <c r="G4589" s="5">
        <v>43124</v>
      </c>
    </row>
    <row r="4590" spans="1:7" x14ac:dyDescent="0.4">
      <c r="A4590">
        <v>89</v>
      </c>
      <c r="B4590" t="s">
        <v>291</v>
      </c>
      <c r="C4590" s="10">
        <v>19.39</v>
      </c>
      <c r="D4590" s="10">
        <v>1.1000000000000001</v>
      </c>
      <c r="E4590" s="16">
        <v>6.01</v>
      </c>
      <c r="F4590">
        <v>337582</v>
      </c>
      <c r="G4590" s="5">
        <v>43124</v>
      </c>
    </row>
    <row r="4591" spans="1:7" x14ac:dyDescent="0.4">
      <c r="A4591">
        <v>90</v>
      </c>
      <c r="B4591" t="s">
        <v>2000</v>
      </c>
      <c r="C4591" s="10">
        <v>36.22</v>
      </c>
      <c r="D4591" s="10">
        <v>2.0499999999999998</v>
      </c>
      <c r="E4591" s="16">
        <v>6</v>
      </c>
      <c r="F4591">
        <v>317806</v>
      </c>
      <c r="G4591" s="5">
        <v>43124</v>
      </c>
    </row>
    <row r="4592" spans="1:7" x14ac:dyDescent="0.4">
      <c r="A4592">
        <v>91</v>
      </c>
      <c r="B4592" t="s">
        <v>2001</v>
      </c>
      <c r="C4592" s="10">
        <v>22.73</v>
      </c>
      <c r="D4592" s="10">
        <v>1.28</v>
      </c>
      <c r="E4592" s="16">
        <v>5.97</v>
      </c>
      <c r="F4592">
        <v>411557</v>
      </c>
      <c r="G4592" s="5">
        <v>43124</v>
      </c>
    </row>
    <row r="4593" spans="1:7" x14ac:dyDescent="0.4">
      <c r="A4593">
        <v>92</v>
      </c>
      <c r="B4593" t="s">
        <v>348</v>
      </c>
      <c r="C4593" s="10">
        <v>24.22</v>
      </c>
      <c r="D4593" s="10">
        <v>1.36</v>
      </c>
      <c r="E4593" s="16">
        <v>5.95</v>
      </c>
      <c r="F4593">
        <v>491660</v>
      </c>
      <c r="G4593" s="5">
        <v>43124</v>
      </c>
    </row>
    <row r="4594" spans="1:7" x14ac:dyDescent="0.4">
      <c r="A4594">
        <v>93</v>
      </c>
      <c r="B4594" t="s">
        <v>2002</v>
      </c>
      <c r="C4594" s="10">
        <v>10.7</v>
      </c>
      <c r="D4594" s="10">
        <v>0.6</v>
      </c>
      <c r="E4594" s="16">
        <v>5.94</v>
      </c>
      <c r="F4594">
        <v>442783</v>
      </c>
      <c r="G4594" s="5">
        <v>43124</v>
      </c>
    </row>
    <row r="4595" spans="1:7" x14ac:dyDescent="0.4">
      <c r="A4595">
        <v>94</v>
      </c>
      <c r="B4595" t="s">
        <v>214</v>
      </c>
      <c r="C4595" s="10">
        <v>7.32</v>
      </c>
      <c r="D4595" s="10">
        <v>0.41</v>
      </c>
      <c r="E4595" s="16">
        <v>5.93</v>
      </c>
      <c r="F4595">
        <v>3019445</v>
      </c>
      <c r="G4595" s="5">
        <v>43124</v>
      </c>
    </row>
    <row r="4596" spans="1:7" x14ac:dyDescent="0.4">
      <c r="A4596">
        <v>95</v>
      </c>
      <c r="B4596" t="s">
        <v>535</v>
      </c>
      <c r="C4596" s="10">
        <v>32.36</v>
      </c>
      <c r="D4596" s="10">
        <v>1.81</v>
      </c>
      <c r="E4596" s="16">
        <v>5.92</v>
      </c>
      <c r="F4596">
        <v>3192229</v>
      </c>
      <c r="G4596" s="5">
        <v>43124</v>
      </c>
    </row>
    <row r="4597" spans="1:7" x14ac:dyDescent="0.4">
      <c r="A4597">
        <v>96</v>
      </c>
      <c r="B4597" t="s">
        <v>2003</v>
      </c>
      <c r="C4597" s="10">
        <v>42.18</v>
      </c>
      <c r="D4597" s="10">
        <v>2.36</v>
      </c>
      <c r="E4597" s="16">
        <v>5.92</v>
      </c>
      <c r="F4597">
        <v>11787</v>
      </c>
      <c r="G4597" s="5">
        <v>43124</v>
      </c>
    </row>
    <row r="4598" spans="1:7" x14ac:dyDescent="0.4">
      <c r="A4598">
        <v>97</v>
      </c>
      <c r="B4598" t="s">
        <v>616</v>
      </c>
      <c r="C4598" s="10">
        <v>10.220000000000001</v>
      </c>
      <c r="D4598" s="10">
        <v>0.56999999999999995</v>
      </c>
      <c r="E4598" s="16">
        <v>5.91</v>
      </c>
      <c r="F4598">
        <v>25878</v>
      </c>
      <c r="G4598" s="5">
        <v>43124</v>
      </c>
    </row>
    <row r="4599" spans="1:7" x14ac:dyDescent="0.4">
      <c r="A4599">
        <v>98</v>
      </c>
      <c r="B4599" t="s">
        <v>582</v>
      </c>
      <c r="C4599" s="10">
        <v>19.96</v>
      </c>
      <c r="D4599" s="10">
        <v>1.1000000000000001</v>
      </c>
      <c r="E4599" s="16">
        <v>5.83</v>
      </c>
      <c r="F4599">
        <v>15458975</v>
      </c>
      <c r="G4599" s="5">
        <v>43124</v>
      </c>
    </row>
    <row r="4600" spans="1:7" x14ac:dyDescent="0.4">
      <c r="A4600">
        <v>99</v>
      </c>
      <c r="B4600" t="s">
        <v>1509</v>
      </c>
      <c r="C4600" s="10">
        <v>11.44</v>
      </c>
      <c r="D4600" s="10">
        <v>0.63</v>
      </c>
      <c r="E4600" s="16">
        <v>5.83</v>
      </c>
      <c r="F4600">
        <v>1885473</v>
      </c>
      <c r="G4600" s="5">
        <v>43124</v>
      </c>
    </row>
    <row r="4601" spans="1:7" x14ac:dyDescent="0.4">
      <c r="A4601">
        <v>100</v>
      </c>
      <c r="B4601" t="s">
        <v>2004</v>
      </c>
      <c r="C4601" s="10">
        <v>20.05</v>
      </c>
      <c r="D4601" s="10">
        <v>1.1000000000000001</v>
      </c>
      <c r="E4601" s="16">
        <v>5.8</v>
      </c>
      <c r="F4601">
        <v>3576828</v>
      </c>
      <c r="G4601" s="5">
        <v>43124</v>
      </c>
    </row>
    <row r="4602" spans="1:7" x14ac:dyDescent="0.4">
      <c r="A4602">
        <v>1</v>
      </c>
      <c r="B4602" t="s">
        <v>625</v>
      </c>
      <c r="C4602" s="10">
        <v>28.71</v>
      </c>
      <c r="D4602" s="10">
        <v>11.71</v>
      </c>
      <c r="E4602" s="16">
        <v>68.88</v>
      </c>
      <c r="F4602">
        <v>5238906</v>
      </c>
      <c r="G4602" s="5">
        <v>43125</v>
      </c>
    </row>
    <row r="4603" spans="1:7" x14ac:dyDescent="0.4">
      <c r="A4603">
        <v>2</v>
      </c>
      <c r="B4603" t="s">
        <v>2005</v>
      </c>
      <c r="C4603" s="10">
        <v>3.41</v>
      </c>
      <c r="D4603" s="10">
        <v>1.26</v>
      </c>
      <c r="E4603" s="16">
        <v>58.6</v>
      </c>
      <c r="F4603">
        <v>36900749</v>
      </c>
      <c r="G4603" s="5">
        <v>43125</v>
      </c>
    </row>
    <row r="4604" spans="1:7" x14ac:dyDescent="0.4">
      <c r="A4604">
        <v>3</v>
      </c>
      <c r="B4604" t="s">
        <v>2006</v>
      </c>
      <c r="C4604" s="10">
        <v>26.6</v>
      </c>
      <c r="D4604" s="10">
        <v>8.84</v>
      </c>
      <c r="E4604" s="16">
        <v>49.77</v>
      </c>
      <c r="F4604">
        <v>866320</v>
      </c>
      <c r="G4604" s="5">
        <v>43125</v>
      </c>
    </row>
    <row r="4605" spans="1:7" x14ac:dyDescent="0.4">
      <c r="A4605">
        <v>4</v>
      </c>
      <c r="B4605" t="s">
        <v>1470</v>
      </c>
      <c r="C4605" s="10">
        <v>3.8</v>
      </c>
      <c r="D4605" s="10">
        <v>1.1100000000000001</v>
      </c>
      <c r="E4605" s="16">
        <v>41.26</v>
      </c>
      <c r="F4605">
        <v>38509014</v>
      </c>
      <c r="G4605" s="5">
        <v>43125</v>
      </c>
    </row>
    <row r="4606" spans="1:7" x14ac:dyDescent="0.4">
      <c r="A4606">
        <v>5</v>
      </c>
      <c r="B4606" t="s">
        <v>242</v>
      </c>
      <c r="C4606" s="10">
        <v>2.87</v>
      </c>
      <c r="D4606" s="10">
        <v>0.78</v>
      </c>
      <c r="E4606" s="16">
        <v>37.32</v>
      </c>
      <c r="F4606">
        <v>2882668</v>
      </c>
      <c r="G4606" s="5">
        <v>43125</v>
      </c>
    </row>
    <row r="4607" spans="1:7" x14ac:dyDescent="0.4">
      <c r="A4607">
        <v>6</v>
      </c>
      <c r="B4607" t="s">
        <v>1920</v>
      </c>
      <c r="C4607" s="10">
        <v>14.65</v>
      </c>
      <c r="D4607" s="10">
        <v>3.15</v>
      </c>
      <c r="E4607" s="16">
        <v>27.39</v>
      </c>
      <c r="F4607">
        <v>7522932</v>
      </c>
      <c r="G4607" s="5">
        <v>43125</v>
      </c>
    </row>
    <row r="4608" spans="1:7" x14ac:dyDescent="0.4">
      <c r="A4608">
        <v>7</v>
      </c>
      <c r="B4608" t="s">
        <v>1101</v>
      </c>
      <c r="C4608" s="10">
        <v>6.57</v>
      </c>
      <c r="D4608" s="10">
        <v>1.36</v>
      </c>
      <c r="E4608" s="16">
        <v>26.1</v>
      </c>
      <c r="F4608">
        <v>1138982</v>
      </c>
      <c r="G4608" s="5">
        <v>43125</v>
      </c>
    </row>
    <row r="4609" spans="1:7" x14ac:dyDescent="0.4">
      <c r="A4609">
        <v>8</v>
      </c>
      <c r="B4609" t="s">
        <v>1349</v>
      </c>
      <c r="C4609" s="10">
        <v>8.24</v>
      </c>
      <c r="D4609" s="10">
        <v>1.45</v>
      </c>
      <c r="E4609" s="16">
        <v>21.35</v>
      </c>
      <c r="F4609">
        <v>321629</v>
      </c>
      <c r="G4609" s="5">
        <v>43125</v>
      </c>
    </row>
    <row r="4610" spans="1:7" x14ac:dyDescent="0.4">
      <c r="A4610">
        <v>9</v>
      </c>
      <c r="B4610" t="s">
        <v>1052</v>
      </c>
      <c r="C4610" s="10">
        <v>3.23</v>
      </c>
      <c r="D4610" s="10">
        <v>0.53</v>
      </c>
      <c r="E4610" s="16">
        <v>19.63</v>
      </c>
      <c r="F4610">
        <v>4682372</v>
      </c>
      <c r="G4610" s="5">
        <v>43125</v>
      </c>
    </row>
    <row r="4611" spans="1:7" x14ac:dyDescent="0.4">
      <c r="A4611">
        <v>10</v>
      </c>
      <c r="B4611" t="s">
        <v>538</v>
      </c>
      <c r="C4611" s="10">
        <v>33.56</v>
      </c>
      <c r="D4611" s="10">
        <v>5.05</v>
      </c>
      <c r="E4611" s="16">
        <v>17.71</v>
      </c>
      <c r="F4611">
        <v>19046419</v>
      </c>
      <c r="G4611" s="5">
        <v>43125</v>
      </c>
    </row>
    <row r="4612" spans="1:7" x14ac:dyDescent="0.4">
      <c r="A4612">
        <v>11</v>
      </c>
      <c r="B4612" t="s">
        <v>41</v>
      </c>
      <c r="C4612" s="10">
        <v>3.8</v>
      </c>
      <c r="D4612" s="10">
        <v>0.51</v>
      </c>
      <c r="E4612" s="16">
        <v>15.5</v>
      </c>
      <c r="F4612">
        <v>2330443</v>
      </c>
      <c r="G4612" s="5">
        <v>43125</v>
      </c>
    </row>
    <row r="4613" spans="1:7" x14ac:dyDescent="0.4">
      <c r="A4613">
        <v>12</v>
      </c>
      <c r="B4613" t="s">
        <v>1397</v>
      </c>
      <c r="C4613" s="10">
        <v>11.25</v>
      </c>
      <c r="D4613" s="10">
        <v>1.5</v>
      </c>
      <c r="E4613" s="16">
        <v>15.38</v>
      </c>
      <c r="F4613">
        <v>58289</v>
      </c>
      <c r="G4613" s="5">
        <v>43125</v>
      </c>
    </row>
    <row r="4614" spans="1:7" x14ac:dyDescent="0.4">
      <c r="A4614">
        <v>13</v>
      </c>
      <c r="B4614" t="s">
        <v>348</v>
      </c>
      <c r="C4614" s="10">
        <v>27.78</v>
      </c>
      <c r="D4614" s="10">
        <v>3.56</v>
      </c>
      <c r="E4614" s="16">
        <v>14.7</v>
      </c>
      <c r="F4614">
        <v>367628</v>
      </c>
      <c r="G4614" s="5">
        <v>43125</v>
      </c>
    </row>
    <row r="4615" spans="1:7" x14ac:dyDescent="0.4">
      <c r="A4615">
        <v>14</v>
      </c>
      <c r="B4615" t="s">
        <v>1041</v>
      </c>
      <c r="C4615" s="10">
        <v>4.09</v>
      </c>
      <c r="D4615" s="10">
        <v>0.52</v>
      </c>
      <c r="E4615" s="16">
        <v>14.57</v>
      </c>
      <c r="F4615">
        <v>593888</v>
      </c>
      <c r="G4615" s="5">
        <v>43125</v>
      </c>
    </row>
    <row r="4616" spans="1:7" x14ac:dyDescent="0.4">
      <c r="A4616">
        <v>15</v>
      </c>
      <c r="B4616" t="s">
        <v>274</v>
      </c>
      <c r="C4616" s="10">
        <v>2.4500000000000002</v>
      </c>
      <c r="D4616" s="10">
        <v>0.28999999999999998</v>
      </c>
      <c r="E4616" s="16">
        <v>13.43</v>
      </c>
      <c r="F4616">
        <v>665888</v>
      </c>
      <c r="G4616" s="5">
        <v>43125</v>
      </c>
    </row>
    <row r="4617" spans="1:7" x14ac:dyDescent="0.4">
      <c r="A4617">
        <v>16</v>
      </c>
      <c r="B4617" t="s">
        <v>1750</v>
      </c>
      <c r="C4617" s="10">
        <v>11.8</v>
      </c>
      <c r="D4617" s="10">
        <v>1.35</v>
      </c>
      <c r="E4617" s="16">
        <v>12.92</v>
      </c>
      <c r="F4617">
        <v>309066</v>
      </c>
      <c r="G4617" s="5">
        <v>43125</v>
      </c>
    </row>
    <row r="4618" spans="1:7" x14ac:dyDescent="0.4">
      <c r="A4618">
        <v>17</v>
      </c>
      <c r="B4618" t="s">
        <v>1077</v>
      </c>
      <c r="C4618" s="10">
        <v>13.78</v>
      </c>
      <c r="D4618" s="10">
        <v>1.57</v>
      </c>
      <c r="E4618" s="16">
        <v>12.86</v>
      </c>
      <c r="F4618">
        <v>1511222</v>
      </c>
      <c r="G4618" s="5">
        <v>43125</v>
      </c>
    </row>
    <row r="4619" spans="1:7" x14ac:dyDescent="0.4">
      <c r="A4619">
        <v>18</v>
      </c>
      <c r="B4619" t="s">
        <v>91</v>
      </c>
      <c r="C4619" s="10">
        <v>8.4600000000000009</v>
      </c>
      <c r="D4619" s="10">
        <v>0.96</v>
      </c>
      <c r="E4619" s="16">
        <v>12.8</v>
      </c>
      <c r="F4619">
        <v>2251319</v>
      </c>
      <c r="G4619" s="5">
        <v>43125</v>
      </c>
    </row>
    <row r="4620" spans="1:7" x14ac:dyDescent="0.4">
      <c r="A4620">
        <v>19</v>
      </c>
      <c r="B4620" t="s">
        <v>2007</v>
      </c>
      <c r="C4620" s="10">
        <v>127.01</v>
      </c>
      <c r="D4620" s="10">
        <v>13.96</v>
      </c>
      <c r="E4620" s="16">
        <v>12.35</v>
      </c>
      <c r="F4620">
        <v>4371224</v>
      </c>
      <c r="G4620" s="5">
        <v>43125</v>
      </c>
    </row>
    <row r="4621" spans="1:7" x14ac:dyDescent="0.4">
      <c r="A4621">
        <v>20</v>
      </c>
      <c r="B4621" t="s">
        <v>259</v>
      </c>
      <c r="C4621" s="10">
        <v>6.45</v>
      </c>
      <c r="D4621" s="10">
        <v>0.7</v>
      </c>
      <c r="E4621" s="16">
        <v>12.17</v>
      </c>
      <c r="F4621">
        <v>3555604</v>
      </c>
      <c r="G4621" s="5">
        <v>43125</v>
      </c>
    </row>
    <row r="4622" spans="1:7" x14ac:dyDescent="0.4">
      <c r="A4622">
        <v>21</v>
      </c>
      <c r="B4622" t="s">
        <v>1894</v>
      </c>
      <c r="C4622" s="10">
        <v>37.07</v>
      </c>
      <c r="D4622" s="10">
        <v>4</v>
      </c>
      <c r="E4622" s="16">
        <v>12.1</v>
      </c>
      <c r="F4622">
        <v>737134</v>
      </c>
      <c r="G4622" s="5">
        <v>43125</v>
      </c>
    </row>
    <row r="4623" spans="1:7" x14ac:dyDescent="0.4">
      <c r="A4623">
        <v>22</v>
      </c>
      <c r="B4623" t="s">
        <v>2008</v>
      </c>
      <c r="C4623" s="10">
        <v>8.5500000000000007</v>
      </c>
      <c r="D4623" s="10">
        <v>0.89</v>
      </c>
      <c r="E4623" s="16">
        <v>11.62</v>
      </c>
      <c r="F4623">
        <v>3103859</v>
      </c>
      <c r="G4623" s="5">
        <v>43125</v>
      </c>
    </row>
    <row r="4624" spans="1:7" x14ac:dyDescent="0.4">
      <c r="A4624">
        <v>23</v>
      </c>
      <c r="B4624" t="s">
        <v>2009</v>
      </c>
      <c r="C4624" s="10">
        <v>8.33</v>
      </c>
      <c r="D4624" s="10">
        <v>0.86</v>
      </c>
      <c r="E4624" s="16">
        <v>11.51</v>
      </c>
      <c r="F4624">
        <v>99619</v>
      </c>
      <c r="G4624" s="5">
        <v>43125</v>
      </c>
    </row>
    <row r="4625" spans="1:7" x14ac:dyDescent="0.4">
      <c r="A4625">
        <v>24</v>
      </c>
      <c r="B4625" t="s">
        <v>935</v>
      </c>
      <c r="C4625" s="10">
        <v>3.2</v>
      </c>
      <c r="D4625" s="10">
        <v>0.33</v>
      </c>
      <c r="E4625" s="16">
        <v>11.5</v>
      </c>
      <c r="F4625">
        <v>911265</v>
      </c>
      <c r="G4625" s="5">
        <v>43125</v>
      </c>
    </row>
    <row r="4626" spans="1:7" x14ac:dyDescent="0.4">
      <c r="A4626">
        <v>25</v>
      </c>
      <c r="B4626" t="s">
        <v>413</v>
      </c>
      <c r="C4626" s="10">
        <v>5.23</v>
      </c>
      <c r="D4626" s="10">
        <v>0.53</v>
      </c>
      <c r="E4626" s="16">
        <v>11.28</v>
      </c>
      <c r="F4626">
        <v>736051</v>
      </c>
      <c r="G4626" s="5">
        <v>43125</v>
      </c>
    </row>
    <row r="4627" spans="1:7" x14ac:dyDescent="0.4">
      <c r="A4627">
        <v>26</v>
      </c>
      <c r="B4627" t="s">
        <v>1067</v>
      </c>
      <c r="C4627" s="10">
        <v>24.28</v>
      </c>
      <c r="D4627" s="10">
        <v>2.4</v>
      </c>
      <c r="E4627" s="16">
        <v>10.97</v>
      </c>
      <c r="F4627">
        <v>262061</v>
      </c>
      <c r="G4627" s="5">
        <v>43125</v>
      </c>
    </row>
    <row r="4628" spans="1:7" x14ac:dyDescent="0.4">
      <c r="A4628">
        <v>27</v>
      </c>
      <c r="B4628" t="s">
        <v>1136</v>
      </c>
      <c r="C4628" s="10">
        <v>26.65</v>
      </c>
      <c r="D4628" s="10">
        <v>2.63</v>
      </c>
      <c r="E4628" s="16">
        <v>10.95</v>
      </c>
      <c r="F4628">
        <v>762692</v>
      </c>
      <c r="G4628" s="5">
        <v>43125</v>
      </c>
    </row>
    <row r="4629" spans="1:7" x14ac:dyDescent="0.4">
      <c r="A4629">
        <v>28</v>
      </c>
      <c r="B4629" t="s">
        <v>1916</v>
      </c>
      <c r="C4629" s="10">
        <v>45.3</v>
      </c>
      <c r="D4629" s="10">
        <v>4.3499999999999996</v>
      </c>
      <c r="E4629" s="16">
        <v>10.62</v>
      </c>
      <c r="F4629">
        <v>305135</v>
      </c>
      <c r="G4629" s="5">
        <v>43125</v>
      </c>
    </row>
    <row r="4630" spans="1:7" x14ac:dyDescent="0.4">
      <c r="A4630">
        <v>29</v>
      </c>
      <c r="B4630" t="s">
        <v>50</v>
      </c>
      <c r="C4630" s="10">
        <v>6.1</v>
      </c>
      <c r="D4630" s="10">
        <v>0.57999999999999996</v>
      </c>
      <c r="E4630" s="16">
        <v>10.51</v>
      </c>
      <c r="F4630">
        <v>6363231</v>
      </c>
      <c r="G4630" s="5">
        <v>43125</v>
      </c>
    </row>
    <row r="4631" spans="1:7" x14ac:dyDescent="0.4">
      <c r="A4631">
        <v>30</v>
      </c>
      <c r="B4631" t="s">
        <v>2010</v>
      </c>
      <c r="C4631" s="10">
        <v>26.95</v>
      </c>
      <c r="D4631" s="10">
        <v>2.5499999999999998</v>
      </c>
      <c r="E4631" s="16">
        <v>10.45</v>
      </c>
      <c r="F4631">
        <v>557954</v>
      </c>
      <c r="G4631" s="5">
        <v>43125</v>
      </c>
    </row>
    <row r="4632" spans="1:7" x14ac:dyDescent="0.4">
      <c r="A4632">
        <v>31</v>
      </c>
      <c r="B4632" t="s">
        <v>600</v>
      </c>
      <c r="C4632" s="10">
        <v>17</v>
      </c>
      <c r="D4632" s="10">
        <v>1.6</v>
      </c>
      <c r="E4632" s="16">
        <v>10.39</v>
      </c>
      <c r="F4632">
        <v>1318642</v>
      </c>
      <c r="G4632" s="5">
        <v>43125</v>
      </c>
    </row>
    <row r="4633" spans="1:7" x14ac:dyDescent="0.4">
      <c r="A4633">
        <v>32</v>
      </c>
      <c r="B4633" t="s">
        <v>2011</v>
      </c>
      <c r="C4633" s="10">
        <v>2.3199999999999998</v>
      </c>
      <c r="D4633" s="10">
        <v>0.22</v>
      </c>
      <c r="E4633" s="16">
        <v>10.36</v>
      </c>
      <c r="F4633">
        <v>556625</v>
      </c>
      <c r="G4633" s="5">
        <v>43125</v>
      </c>
    </row>
    <row r="4634" spans="1:7" x14ac:dyDescent="0.4">
      <c r="A4634">
        <v>33</v>
      </c>
      <c r="B4634" t="s">
        <v>1383</v>
      </c>
      <c r="C4634" s="10">
        <v>5.03</v>
      </c>
      <c r="D4634" s="10">
        <v>0.46</v>
      </c>
      <c r="E4634" s="16">
        <v>10.07</v>
      </c>
      <c r="F4634">
        <v>1456690</v>
      </c>
      <c r="G4634" s="5">
        <v>43125</v>
      </c>
    </row>
    <row r="4635" spans="1:7" x14ac:dyDescent="0.4">
      <c r="A4635">
        <v>34</v>
      </c>
      <c r="B4635" t="s">
        <v>775</v>
      </c>
      <c r="C4635" s="10">
        <v>55.47</v>
      </c>
      <c r="D4635" s="10">
        <v>5.07</v>
      </c>
      <c r="E4635" s="16">
        <v>10.06</v>
      </c>
      <c r="F4635">
        <v>194739</v>
      </c>
      <c r="G4635" s="5">
        <v>43125</v>
      </c>
    </row>
    <row r="4636" spans="1:7" x14ac:dyDescent="0.4">
      <c r="A4636">
        <v>35</v>
      </c>
      <c r="B4636" t="s">
        <v>829</v>
      </c>
      <c r="C4636" s="10">
        <v>48.05</v>
      </c>
      <c r="D4636" s="10">
        <v>4.3899999999999997</v>
      </c>
      <c r="E4636" s="16">
        <v>10.050000000000001</v>
      </c>
      <c r="F4636">
        <v>3203307</v>
      </c>
      <c r="G4636" s="5">
        <v>43125</v>
      </c>
    </row>
    <row r="4637" spans="1:7" x14ac:dyDescent="0.4">
      <c r="A4637">
        <v>36</v>
      </c>
      <c r="B4637" t="s">
        <v>2012</v>
      </c>
      <c r="C4637" s="10">
        <v>25.03</v>
      </c>
      <c r="D4637" s="10">
        <v>2.27</v>
      </c>
      <c r="E4637" s="16">
        <v>9.9700000000000006</v>
      </c>
      <c r="F4637">
        <v>1210074</v>
      </c>
      <c r="G4637" s="5">
        <v>43125</v>
      </c>
    </row>
    <row r="4638" spans="1:7" x14ac:dyDescent="0.4">
      <c r="A4638">
        <v>37</v>
      </c>
      <c r="B4638" t="s">
        <v>1140</v>
      </c>
      <c r="C4638" s="10">
        <v>4.93</v>
      </c>
      <c r="D4638" s="10">
        <v>0.44</v>
      </c>
      <c r="E4638" s="16">
        <v>9.8000000000000007</v>
      </c>
      <c r="F4638">
        <v>1986155</v>
      </c>
      <c r="G4638" s="5">
        <v>43125</v>
      </c>
    </row>
    <row r="4639" spans="1:7" x14ac:dyDescent="0.4">
      <c r="A4639">
        <v>38</v>
      </c>
      <c r="B4639" t="s">
        <v>1130</v>
      </c>
      <c r="C4639" s="10">
        <v>10.9</v>
      </c>
      <c r="D4639" s="10">
        <v>0.97</v>
      </c>
      <c r="E4639" s="16">
        <v>9.75</v>
      </c>
      <c r="F4639">
        <v>2680</v>
      </c>
      <c r="G4639" s="5">
        <v>43125</v>
      </c>
    </row>
    <row r="4640" spans="1:7" x14ac:dyDescent="0.4">
      <c r="A4640">
        <v>39</v>
      </c>
      <c r="B4640" t="s">
        <v>1917</v>
      </c>
      <c r="C4640" s="10">
        <v>57.9</v>
      </c>
      <c r="D4640" s="10">
        <v>5.0999999999999996</v>
      </c>
      <c r="E4640" s="16">
        <v>9.66</v>
      </c>
      <c r="F4640">
        <v>774481</v>
      </c>
      <c r="G4640" s="5">
        <v>43125</v>
      </c>
    </row>
    <row r="4641" spans="1:7" x14ac:dyDescent="0.4">
      <c r="A4641">
        <v>40</v>
      </c>
      <c r="B4641" t="s">
        <v>2013</v>
      </c>
      <c r="C4641" s="10">
        <v>15.24</v>
      </c>
      <c r="D4641" s="10">
        <v>1.34</v>
      </c>
      <c r="E4641" s="16">
        <v>9.64</v>
      </c>
      <c r="F4641">
        <v>317550</v>
      </c>
      <c r="G4641" s="5">
        <v>43125</v>
      </c>
    </row>
    <row r="4642" spans="1:7" x14ac:dyDescent="0.4">
      <c r="A4642">
        <v>41</v>
      </c>
      <c r="B4642" t="s">
        <v>2014</v>
      </c>
      <c r="C4642" s="10">
        <v>16.2</v>
      </c>
      <c r="D4642" s="10">
        <v>1.4</v>
      </c>
      <c r="E4642" s="16">
        <v>9.4600000000000009</v>
      </c>
      <c r="F4642">
        <v>823441</v>
      </c>
      <c r="G4642" s="5">
        <v>43125</v>
      </c>
    </row>
    <row r="4643" spans="1:7" x14ac:dyDescent="0.4">
      <c r="A4643">
        <v>42</v>
      </c>
      <c r="B4643" t="s">
        <v>1062</v>
      </c>
      <c r="C4643" s="10">
        <v>4.7</v>
      </c>
      <c r="D4643" s="10">
        <v>0.4</v>
      </c>
      <c r="E4643" s="16">
        <v>9.3000000000000007</v>
      </c>
      <c r="F4643">
        <v>125720</v>
      </c>
      <c r="G4643" s="5">
        <v>43125</v>
      </c>
    </row>
    <row r="4644" spans="1:7" x14ac:dyDescent="0.4">
      <c r="A4644">
        <v>43</v>
      </c>
      <c r="B4644" t="s">
        <v>1696</v>
      </c>
      <c r="C4644" s="10">
        <v>17.149999999999999</v>
      </c>
      <c r="D4644" s="10">
        <v>1.45</v>
      </c>
      <c r="E4644" s="16">
        <v>9.24</v>
      </c>
      <c r="F4644">
        <v>1517321</v>
      </c>
      <c r="G4644" s="5">
        <v>43125</v>
      </c>
    </row>
    <row r="4645" spans="1:7" x14ac:dyDescent="0.4">
      <c r="A4645">
        <v>44</v>
      </c>
      <c r="B4645" t="s">
        <v>115</v>
      </c>
      <c r="C4645" s="10">
        <v>4.3899999999999997</v>
      </c>
      <c r="D4645" s="10">
        <v>0.37</v>
      </c>
      <c r="E4645" s="16">
        <v>9.1999999999999993</v>
      </c>
      <c r="F4645">
        <v>176537</v>
      </c>
      <c r="G4645" s="5">
        <v>43125</v>
      </c>
    </row>
    <row r="4646" spans="1:7" x14ac:dyDescent="0.4">
      <c r="A4646">
        <v>45</v>
      </c>
      <c r="B4646" t="s">
        <v>2015</v>
      </c>
      <c r="C4646" s="10">
        <v>70.19</v>
      </c>
      <c r="D4646" s="10">
        <v>5.78</v>
      </c>
      <c r="E4646" s="16">
        <v>8.9700000000000006</v>
      </c>
      <c r="F4646">
        <v>1462653</v>
      </c>
      <c r="G4646" s="5">
        <v>43125</v>
      </c>
    </row>
    <row r="4647" spans="1:7" x14ac:dyDescent="0.4">
      <c r="A4647">
        <v>46</v>
      </c>
      <c r="B4647" t="s">
        <v>1361</v>
      </c>
      <c r="C4647" s="10">
        <v>14.65</v>
      </c>
      <c r="D4647" s="10">
        <v>1.2</v>
      </c>
      <c r="E4647" s="16">
        <v>8.92</v>
      </c>
      <c r="F4647">
        <v>4190</v>
      </c>
      <c r="G4647" s="5">
        <v>43125</v>
      </c>
    </row>
    <row r="4648" spans="1:7" x14ac:dyDescent="0.4">
      <c r="A4648">
        <v>47</v>
      </c>
      <c r="B4648" t="s">
        <v>916</v>
      </c>
      <c r="C4648" s="10">
        <v>3.47</v>
      </c>
      <c r="D4648" s="10">
        <v>0.28000000000000003</v>
      </c>
      <c r="E4648" s="16">
        <v>8.7799999999999994</v>
      </c>
      <c r="F4648">
        <v>296695</v>
      </c>
      <c r="G4648" s="5">
        <v>43125</v>
      </c>
    </row>
    <row r="4649" spans="1:7" x14ac:dyDescent="0.4">
      <c r="A4649">
        <v>48</v>
      </c>
      <c r="B4649" t="s">
        <v>529</v>
      </c>
      <c r="C4649" s="10">
        <v>38.53</v>
      </c>
      <c r="D4649" s="10">
        <v>3.07</v>
      </c>
      <c r="E4649" s="16">
        <v>8.66</v>
      </c>
      <c r="F4649">
        <v>1975152</v>
      </c>
      <c r="G4649" s="5">
        <v>43125</v>
      </c>
    </row>
    <row r="4650" spans="1:7" x14ac:dyDescent="0.4">
      <c r="A4650">
        <v>49</v>
      </c>
      <c r="B4650" t="s">
        <v>1238</v>
      </c>
      <c r="C4650" s="10">
        <v>24.99</v>
      </c>
      <c r="D4650" s="10">
        <v>1.99</v>
      </c>
      <c r="E4650" s="16">
        <v>8.65</v>
      </c>
      <c r="F4650">
        <v>32366</v>
      </c>
      <c r="G4650" s="5">
        <v>43125</v>
      </c>
    </row>
    <row r="4651" spans="1:7" x14ac:dyDescent="0.4">
      <c r="A4651">
        <v>50</v>
      </c>
      <c r="B4651" t="s">
        <v>19</v>
      </c>
      <c r="C4651" s="10">
        <v>5.7</v>
      </c>
      <c r="D4651" s="10">
        <v>0.44</v>
      </c>
      <c r="E4651" s="16">
        <v>8.3699999999999992</v>
      </c>
      <c r="F4651">
        <v>11149</v>
      </c>
      <c r="G4651" s="5">
        <v>43125</v>
      </c>
    </row>
    <row r="4652" spans="1:7" x14ac:dyDescent="0.4">
      <c r="A4652">
        <v>51</v>
      </c>
      <c r="B4652" t="s">
        <v>550</v>
      </c>
      <c r="C4652" s="10">
        <v>124.09</v>
      </c>
      <c r="D4652" s="10">
        <v>9.4700000000000006</v>
      </c>
      <c r="E4652" s="16">
        <v>8.26</v>
      </c>
      <c r="F4652">
        <v>308129</v>
      </c>
      <c r="G4652" s="5">
        <v>43125</v>
      </c>
    </row>
    <row r="4653" spans="1:7" x14ac:dyDescent="0.4">
      <c r="A4653">
        <v>52</v>
      </c>
      <c r="B4653" t="s">
        <v>283</v>
      </c>
      <c r="C4653" s="10">
        <v>4.01</v>
      </c>
      <c r="D4653" s="10">
        <v>0.3</v>
      </c>
      <c r="E4653" s="16">
        <v>8.09</v>
      </c>
      <c r="F4653">
        <v>20108</v>
      </c>
      <c r="G4653" s="5">
        <v>43125</v>
      </c>
    </row>
    <row r="4654" spans="1:7" x14ac:dyDescent="0.4">
      <c r="A4654">
        <v>53</v>
      </c>
      <c r="B4654" t="s">
        <v>1463</v>
      </c>
      <c r="C4654" s="10">
        <v>40.450000000000003</v>
      </c>
      <c r="D4654" s="10">
        <v>2.99</v>
      </c>
      <c r="E4654" s="16">
        <v>7.98</v>
      </c>
      <c r="F4654">
        <v>914445</v>
      </c>
      <c r="G4654" s="5">
        <v>43125</v>
      </c>
    </row>
    <row r="4655" spans="1:7" x14ac:dyDescent="0.4">
      <c r="A4655">
        <v>54</v>
      </c>
      <c r="B4655" t="s">
        <v>1354</v>
      </c>
      <c r="C4655" s="10">
        <v>3.02</v>
      </c>
      <c r="D4655" s="10">
        <v>0.22</v>
      </c>
      <c r="E4655" s="16">
        <v>7.84</v>
      </c>
      <c r="F4655">
        <v>199952</v>
      </c>
      <c r="G4655" s="5">
        <v>43125</v>
      </c>
    </row>
    <row r="4656" spans="1:7" x14ac:dyDescent="0.4">
      <c r="A4656">
        <v>55</v>
      </c>
      <c r="B4656" t="s">
        <v>65</v>
      </c>
      <c r="C4656" s="10">
        <v>2.35</v>
      </c>
      <c r="D4656" s="10">
        <v>0.17</v>
      </c>
      <c r="E4656" s="16">
        <v>7.8</v>
      </c>
      <c r="F4656">
        <v>374339</v>
      </c>
      <c r="G4656" s="5">
        <v>43125</v>
      </c>
    </row>
    <row r="4657" spans="1:7" x14ac:dyDescent="0.4">
      <c r="A4657">
        <v>56</v>
      </c>
      <c r="B4657" t="s">
        <v>1537</v>
      </c>
      <c r="C4657" s="10">
        <v>30</v>
      </c>
      <c r="D4657" s="10">
        <v>2.17</v>
      </c>
      <c r="E4657" s="16">
        <v>7.8</v>
      </c>
      <c r="F4657">
        <v>1617120</v>
      </c>
      <c r="G4657" s="5">
        <v>43125</v>
      </c>
    </row>
    <row r="4658" spans="1:7" x14ac:dyDescent="0.4">
      <c r="A4658">
        <v>57</v>
      </c>
      <c r="B4658" t="s">
        <v>2016</v>
      </c>
      <c r="C4658" s="10">
        <v>2.38</v>
      </c>
      <c r="D4658" s="10">
        <v>0.17</v>
      </c>
      <c r="E4658" s="16">
        <v>7.69</v>
      </c>
      <c r="F4658">
        <v>3659608</v>
      </c>
      <c r="G4658" s="5">
        <v>43125</v>
      </c>
    </row>
    <row r="4659" spans="1:7" x14ac:dyDescent="0.4">
      <c r="A4659">
        <v>58</v>
      </c>
      <c r="B4659" t="s">
        <v>1104</v>
      </c>
      <c r="C4659" s="10">
        <v>9</v>
      </c>
      <c r="D4659" s="10">
        <v>0.63</v>
      </c>
      <c r="E4659" s="16">
        <v>7.53</v>
      </c>
      <c r="F4659">
        <v>56673</v>
      </c>
      <c r="G4659" s="5">
        <v>43125</v>
      </c>
    </row>
    <row r="4660" spans="1:7" x14ac:dyDescent="0.4">
      <c r="A4660">
        <v>59</v>
      </c>
      <c r="B4660" t="s">
        <v>186</v>
      </c>
      <c r="C4660" s="10">
        <v>9.34</v>
      </c>
      <c r="D4660" s="10">
        <v>0.65</v>
      </c>
      <c r="E4660" s="16">
        <v>7.48</v>
      </c>
      <c r="F4660">
        <v>343066</v>
      </c>
      <c r="G4660" s="5">
        <v>43125</v>
      </c>
    </row>
    <row r="4661" spans="1:7" x14ac:dyDescent="0.4">
      <c r="A4661">
        <v>60</v>
      </c>
      <c r="B4661" t="s">
        <v>220</v>
      </c>
      <c r="C4661" s="10">
        <v>3.76</v>
      </c>
      <c r="D4661" s="10">
        <v>0.26</v>
      </c>
      <c r="E4661" s="16">
        <v>7.43</v>
      </c>
      <c r="F4661">
        <v>289118</v>
      </c>
      <c r="G4661" s="5">
        <v>43125</v>
      </c>
    </row>
    <row r="4662" spans="1:7" x14ac:dyDescent="0.4">
      <c r="A4662">
        <v>61</v>
      </c>
      <c r="B4662" t="s">
        <v>1817</v>
      </c>
      <c r="C4662" s="10">
        <v>2.4700000000000002</v>
      </c>
      <c r="D4662" s="10">
        <v>0.17</v>
      </c>
      <c r="E4662" s="16">
        <v>7.39</v>
      </c>
      <c r="F4662">
        <v>2378</v>
      </c>
      <c r="G4662" s="5">
        <v>43125</v>
      </c>
    </row>
    <row r="4663" spans="1:7" x14ac:dyDescent="0.4">
      <c r="A4663">
        <v>62</v>
      </c>
      <c r="B4663" t="s">
        <v>1018</v>
      </c>
      <c r="C4663" s="10">
        <v>11</v>
      </c>
      <c r="D4663" s="10">
        <v>0.75</v>
      </c>
      <c r="E4663" s="16">
        <v>7.32</v>
      </c>
      <c r="F4663">
        <v>1645462</v>
      </c>
      <c r="G4663" s="5">
        <v>43125</v>
      </c>
    </row>
    <row r="4664" spans="1:7" x14ac:dyDescent="0.4">
      <c r="A4664">
        <v>63</v>
      </c>
      <c r="B4664" t="s">
        <v>1275</v>
      </c>
      <c r="C4664" s="10">
        <v>2.37</v>
      </c>
      <c r="D4664" s="10">
        <v>0.16</v>
      </c>
      <c r="E4664" s="16">
        <v>7.24</v>
      </c>
      <c r="F4664">
        <v>9922661</v>
      </c>
      <c r="G4664" s="5">
        <v>43125</v>
      </c>
    </row>
    <row r="4665" spans="1:7" x14ac:dyDescent="0.4">
      <c r="A4665">
        <v>64</v>
      </c>
      <c r="B4665" t="s">
        <v>2017</v>
      </c>
      <c r="C4665" s="10">
        <v>63.45</v>
      </c>
      <c r="D4665" s="10">
        <v>4.28</v>
      </c>
      <c r="E4665" s="16">
        <v>7.23</v>
      </c>
      <c r="F4665">
        <v>478321</v>
      </c>
      <c r="G4665" s="5">
        <v>43125</v>
      </c>
    </row>
    <row r="4666" spans="1:7" x14ac:dyDescent="0.4">
      <c r="A4666">
        <v>65</v>
      </c>
      <c r="B4666" t="s">
        <v>489</v>
      </c>
      <c r="C4666" s="10">
        <v>22.42</v>
      </c>
      <c r="D4666" s="10">
        <v>1.48</v>
      </c>
      <c r="E4666" s="16">
        <v>7.07</v>
      </c>
      <c r="F4666">
        <v>704015</v>
      </c>
      <c r="G4666" s="5">
        <v>43125</v>
      </c>
    </row>
    <row r="4667" spans="1:7" x14ac:dyDescent="0.4">
      <c r="A4667">
        <v>66</v>
      </c>
      <c r="B4667" t="s">
        <v>2018</v>
      </c>
      <c r="C4667" s="10">
        <v>53.3</v>
      </c>
      <c r="D4667" s="10">
        <v>3.5</v>
      </c>
      <c r="E4667" s="16">
        <v>7.03</v>
      </c>
      <c r="F4667">
        <v>41579</v>
      </c>
      <c r="G4667" s="5">
        <v>43125</v>
      </c>
    </row>
    <row r="4668" spans="1:7" x14ac:dyDescent="0.4">
      <c r="A4668">
        <v>67</v>
      </c>
      <c r="B4668" t="s">
        <v>824</v>
      </c>
      <c r="C4668" s="10">
        <v>4.92</v>
      </c>
      <c r="D4668" s="10">
        <v>0.32</v>
      </c>
      <c r="E4668" s="16">
        <v>6.96</v>
      </c>
      <c r="F4668">
        <v>76633</v>
      </c>
      <c r="G4668" s="5">
        <v>43125</v>
      </c>
    </row>
    <row r="4669" spans="1:7" x14ac:dyDescent="0.4">
      <c r="A4669">
        <v>68</v>
      </c>
      <c r="B4669" t="s">
        <v>1372</v>
      </c>
      <c r="C4669" s="10">
        <v>21.51</v>
      </c>
      <c r="D4669" s="10">
        <v>1.37</v>
      </c>
      <c r="E4669" s="16">
        <v>6.8</v>
      </c>
      <c r="F4669">
        <v>2199028</v>
      </c>
      <c r="G4669" s="5">
        <v>43125</v>
      </c>
    </row>
    <row r="4670" spans="1:7" x14ac:dyDescent="0.4">
      <c r="A4670">
        <v>69</v>
      </c>
      <c r="B4670" t="s">
        <v>1049</v>
      </c>
      <c r="C4670" s="10">
        <v>10.25</v>
      </c>
      <c r="D4670" s="10">
        <v>0.65</v>
      </c>
      <c r="E4670" s="16">
        <v>6.77</v>
      </c>
      <c r="F4670">
        <v>124443</v>
      </c>
      <c r="G4670" s="5">
        <v>43125</v>
      </c>
    </row>
    <row r="4671" spans="1:7" x14ac:dyDescent="0.4">
      <c r="A4671">
        <v>70</v>
      </c>
      <c r="B4671" t="s">
        <v>1326</v>
      </c>
      <c r="C4671" s="10">
        <v>10.19</v>
      </c>
      <c r="D4671" s="10">
        <v>0.64</v>
      </c>
      <c r="E4671" s="16">
        <v>6.7</v>
      </c>
      <c r="F4671">
        <v>311757</v>
      </c>
      <c r="G4671" s="5">
        <v>43125</v>
      </c>
    </row>
    <row r="4672" spans="1:7" x14ac:dyDescent="0.4">
      <c r="A4672">
        <v>71</v>
      </c>
      <c r="B4672" t="s">
        <v>26</v>
      </c>
      <c r="C4672" s="10">
        <v>4.47</v>
      </c>
      <c r="D4672" s="10">
        <v>0.28000000000000003</v>
      </c>
      <c r="E4672" s="16">
        <v>6.68</v>
      </c>
      <c r="F4672">
        <v>261598</v>
      </c>
      <c r="G4672" s="5">
        <v>43125</v>
      </c>
    </row>
    <row r="4673" spans="1:7" x14ac:dyDescent="0.4">
      <c r="A4673">
        <v>72</v>
      </c>
      <c r="B4673" t="s">
        <v>681</v>
      </c>
      <c r="C4673" s="10">
        <v>10.07</v>
      </c>
      <c r="D4673" s="10">
        <v>0.63</v>
      </c>
      <c r="E4673" s="16">
        <v>6.67</v>
      </c>
      <c r="F4673">
        <v>133710</v>
      </c>
      <c r="G4673" s="5">
        <v>43125</v>
      </c>
    </row>
    <row r="4674" spans="1:7" x14ac:dyDescent="0.4">
      <c r="A4674">
        <v>73</v>
      </c>
      <c r="B4674" t="s">
        <v>451</v>
      </c>
      <c r="C4674" s="10">
        <v>10.220000000000001</v>
      </c>
      <c r="D4674" s="10">
        <v>0.63</v>
      </c>
      <c r="E4674" s="16">
        <v>6.57</v>
      </c>
      <c r="F4674">
        <v>174393</v>
      </c>
      <c r="G4674" s="5">
        <v>43125</v>
      </c>
    </row>
    <row r="4675" spans="1:7" x14ac:dyDescent="0.4">
      <c r="A4675">
        <v>74</v>
      </c>
      <c r="B4675" t="s">
        <v>1628</v>
      </c>
      <c r="C4675" s="10">
        <v>3.59</v>
      </c>
      <c r="D4675" s="10">
        <v>0.22</v>
      </c>
      <c r="E4675" s="16">
        <v>6.53</v>
      </c>
      <c r="F4675">
        <v>851247</v>
      </c>
      <c r="G4675" s="5">
        <v>43125</v>
      </c>
    </row>
    <row r="4676" spans="1:7" x14ac:dyDescent="0.4">
      <c r="A4676">
        <v>75</v>
      </c>
      <c r="B4676" t="s">
        <v>2019</v>
      </c>
      <c r="C4676" s="10">
        <v>11.63</v>
      </c>
      <c r="D4676" s="10">
        <v>0.7</v>
      </c>
      <c r="E4676" s="16">
        <v>6.4</v>
      </c>
      <c r="F4676">
        <v>11786</v>
      </c>
      <c r="G4676" s="5">
        <v>43125</v>
      </c>
    </row>
    <row r="4677" spans="1:7" x14ac:dyDescent="0.4">
      <c r="A4677">
        <v>76</v>
      </c>
      <c r="B4677" t="s">
        <v>1282</v>
      </c>
      <c r="C4677" s="10">
        <v>4.92</v>
      </c>
      <c r="D4677" s="10">
        <v>0.28999999999999998</v>
      </c>
      <c r="E4677" s="16">
        <v>6.26</v>
      </c>
      <c r="F4677">
        <v>286269</v>
      </c>
      <c r="G4677" s="5">
        <v>43125</v>
      </c>
    </row>
    <row r="4678" spans="1:7" x14ac:dyDescent="0.4">
      <c r="A4678">
        <v>77</v>
      </c>
      <c r="B4678" t="s">
        <v>2020</v>
      </c>
      <c r="C4678" s="10">
        <v>5.0999999999999996</v>
      </c>
      <c r="D4678" s="10">
        <v>0.3</v>
      </c>
      <c r="E4678" s="16">
        <v>6.25</v>
      </c>
      <c r="F4678">
        <v>152227</v>
      </c>
      <c r="G4678" s="5">
        <v>43125</v>
      </c>
    </row>
    <row r="4679" spans="1:7" x14ac:dyDescent="0.4">
      <c r="A4679">
        <v>78</v>
      </c>
      <c r="B4679" t="s">
        <v>169</v>
      </c>
      <c r="C4679" s="10">
        <v>10.58</v>
      </c>
      <c r="D4679" s="10">
        <v>0.62</v>
      </c>
      <c r="E4679" s="16">
        <v>6.22</v>
      </c>
      <c r="F4679">
        <v>593874</v>
      </c>
      <c r="G4679" s="5">
        <v>43125</v>
      </c>
    </row>
    <row r="4680" spans="1:7" x14ac:dyDescent="0.4">
      <c r="A4680">
        <v>79</v>
      </c>
      <c r="B4680" t="s">
        <v>583</v>
      </c>
      <c r="C4680" s="10">
        <v>4.72</v>
      </c>
      <c r="D4680" s="10">
        <v>0.27</v>
      </c>
      <c r="E4680" s="16">
        <v>6.18</v>
      </c>
      <c r="F4680">
        <v>652061</v>
      </c>
      <c r="G4680" s="5">
        <v>43125</v>
      </c>
    </row>
    <row r="4681" spans="1:7" x14ac:dyDescent="0.4">
      <c r="A4681">
        <v>80</v>
      </c>
      <c r="B4681" t="s">
        <v>1964</v>
      </c>
      <c r="C4681" s="10">
        <v>2.6</v>
      </c>
      <c r="D4681" s="10">
        <v>0.15</v>
      </c>
      <c r="E4681" s="16">
        <v>6.12</v>
      </c>
      <c r="F4681">
        <v>130818</v>
      </c>
      <c r="G4681" s="5">
        <v>43125</v>
      </c>
    </row>
    <row r="4682" spans="1:7" x14ac:dyDescent="0.4">
      <c r="A4682">
        <v>81</v>
      </c>
      <c r="B4682" t="s">
        <v>2021</v>
      </c>
      <c r="C4682" s="10">
        <v>9.15</v>
      </c>
      <c r="D4682" s="10">
        <v>0.53</v>
      </c>
      <c r="E4682" s="16">
        <v>6.09</v>
      </c>
      <c r="F4682">
        <v>222913</v>
      </c>
      <c r="G4682" s="5">
        <v>43125</v>
      </c>
    </row>
    <row r="4683" spans="1:7" x14ac:dyDescent="0.4">
      <c r="A4683">
        <v>82</v>
      </c>
      <c r="B4683" t="s">
        <v>567</v>
      </c>
      <c r="C4683" s="10">
        <v>2.46</v>
      </c>
      <c r="D4683" s="10">
        <v>0.14000000000000001</v>
      </c>
      <c r="E4683" s="16">
        <v>6.04</v>
      </c>
      <c r="F4683">
        <v>22682</v>
      </c>
      <c r="G4683" s="5">
        <v>43125</v>
      </c>
    </row>
    <row r="4684" spans="1:7" x14ac:dyDescent="0.4">
      <c r="A4684">
        <v>83</v>
      </c>
      <c r="B4684" t="s">
        <v>445</v>
      </c>
      <c r="C4684" s="10">
        <v>10.220000000000001</v>
      </c>
      <c r="D4684" s="10">
        <v>0.57999999999999996</v>
      </c>
      <c r="E4684" s="16">
        <v>6.02</v>
      </c>
      <c r="F4684">
        <v>1992940</v>
      </c>
      <c r="G4684" s="5">
        <v>43125</v>
      </c>
    </row>
    <row r="4685" spans="1:7" x14ac:dyDescent="0.4">
      <c r="A4685">
        <v>84</v>
      </c>
      <c r="B4685" t="s">
        <v>1430</v>
      </c>
      <c r="C4685" s="10">
        <v>3.57</v>
      </c>
      <c r="D4685" s="10">
        <v>0.2</v>
      </c>
      <c r="E4685" s="16">
        <v>5.93</v>
      </c>
      <c r="F4685">
        <v>336607</v>
      </c>
      <c r="G4685" s="5">
        <v>43125</v>
      </c>
    </row>
    <row r="4686" spans="1:7" x14ac:dyDescent="0.4">
      <c r="A4686">
        <v>85</v>
      </c>
      <c r="B4686" t="s">
        <v>1186</v>
      </c>
      <c r="C4686" s="10">
        <v>24.3</v>
      </c>
      <c r="D4686" s="10">
        <v>1.35</v>
      </c>
      <c r="E4686" s="16">
        <v>5.88</v>
      </c>
      <c r="F4686">
        <v>389844</v>
      </c>
      <c r="G4686" s="5">
        <v>43125</v>
      </c>
    </row>
    <row r="4687" spans="1:7" x14ac:dyDescent="0.4">
      <c r="A4687">
        <v>86</v>
      </c>
      <c r="B4687" t="s">
        <v>1350</v>
      </c>
      <c r="C4687" s="10">
        <v>2.5299999999999998</v>
      </c>
      <c r="D4687" s="10">
        <v>0.14000000000000001</v>
      </c>
      <c r="E4687" s="16">
        <v>5.86</v>
      </c>
      <c r="F4687">
        <v>117327</v>
      </c>
      <c r="G4687" s="5">
        <v>43125</v>
      </c>
    </row>
    <row r="4688" spans="1:7" x14ac:dyDescent="0.4">
      <c r="A4688">
        <v>87</v>
      </c>
      <c r="B4688" t="s">
        <v>2022</v>
      </c>
      <c r="C4688" s="10">
        <v>20.9</v>
      </c>
      <c r="D4688" s="10">
        <v>1.1499999999999999</v>
      </c>
      <c r="E4688" s="16">
        <v>5.82</v>
      </c>
      <c r="F4688">
        <v>1113330</v>
      </c>
      <c r="G4688" s="5">
        <v>43125</v>
      </c>
    </row>
    <row r="4689" spans="1:7" x14ac:dyDescent="0.4">
      <c r="A4689">
        <v>88</v>
      </c>
      <c r="B4689" t="s">
        <v>686</v>
      </c>
      <c r="C4689" s="10">
        <v>20.75</v>
      </c>
      <c r="D4689" s="10">
        <v>1.1399999999999999</v>
      </c>
      <c r="E4689" s="16">
        <v>5.81</v>
      </c>
      <c r="F4689">
        <v>11797174</v>
      </c>
      <c r="G4689" s="5">
        <v>43125</v>
      </c>
    </row>
    <row r="4690" spans="1:7" x14ac:dyDescent="0.4">
      <c r="A4690">
        <v>89</v>
      </c>
      <c r="B4690" t="s">
        <v>910</v>
      </c>
      <c r="C4690" s="10">
        <v>7.18</v>
      </c>
      <c r="D4690" s="10">
        <v>0.39</v>
      </c>
      <c r="E4690" s="16">
        <v>5.74</v>
      </c>
      <c r="F4690">
        <v>146146</v>
      </c>
      <c r="G4690" s="5">
        <v>43125</v>
      </c>
    </row>
    <row r="4691" spans="1:7" x14ac:dyDescent="0.4">
      <c r="A4691">
        <v>90</v>
      </c>
      <c r="B4691" t="s">
        <v>1579</v>
      </c>
      <c r="C4691" s="10">
        <v>42.35</v>
      </c>
      <c r="D4691" s="10">
        <v>2.2999999999999998</v>
      </c>
      <c r="E4691" s="16">
        <v>5.74</v>
      </c>
      <c r="F4691">
        <v>36644</v>
      </c>
      <c r="G4691" s="5">
        <v>43125</v>
      </c>
    </row>
    <row r="4692" spans="1:7" x14ac:dyDescent="0.4">
      <c r="A4692">
        <v>91</v>
      </c>
      <c r="B4692" t="s">
        <v>2023</v>
      </c>
      <c r="C4692" s="10">
        <v>22.2</v>
      </c>
      <c r="D4692" s="10">
        <v>1.2</v>
      </c>
      <c r="E4692" s="16">
        <v>5.71</v>
      </c>
      <c r="F4692">
        <v>65803</v>
      </c>
      <c r="G4692" s="5">
        <v>43125</v>
      </c>
    </row>
    <row r="4693" spans="1:7" x14ac:dyDescent="0.4">
      <c r="A4693">
        <v>92</v>
      </c>
      <c r="B4693" t="s">
        <v>279</v>
      </c>
      <c r="C4693" s="10">
        <v>8.17</v>
      </c>
      <c r="D4693" s="10">
        <v>0.44</v>
      </c>
      <c r="E4693" s="16">
        <v>5.69</v>
      </c>
      <c r="F4693">
        <v>116389</v>
      </c>
      <c r="G4693" s="5">
        <v>43125</v>
      </c>
    </row>
    <row r="4694" spans="1:7" x14ac:dyDescent="0.4">
      <c r="A4694">
        <v>93</v>
      </c>
      <c r="B4694" t="s">
        <v>2024</v>
      </c>
      <c r="C4694" s="10">
        <v>15.53</v>
      </c>
      <c r="D4694" s="10">
        <v>0.83</v>
      </c>
      <c r="E4694" s="16">
        <v>5.65</v>
      </c>
      <c r="F4694">
        <v>12428</v>
      </c>
      <c r="G4694" s="5">
        <v>43125</v>
      </c>
    </row>
    <row r="4695" spans="1:7" x14ac:dyDescent="0.4">
      <c r="A4695">
        <v>94</v>
      </c>
      <c r="B4695" t="s">
        <v>2025</v>
      </c>
      <c r="C4695" s="10">
        <v>64.569999999999993</v>
      </c>
      <c r="D4695" s="10">
        <v>3.44</v>
      </c>
      <c r="E4695" s="16">
        <v>5.63</v>
      </c>
      <c r="F4695">
        <v>6062291</v>
      </c>
      <c r="G4695" s="5">
        <v>43125</v>
      </c>
    </row>
    <row r="4696" spans="1:7" x14ac:dyDescent="0.4">
      <c r="A4696">
        <v>95</v>
      </c>
      <c r="B4696" t="s">
        <v>2026</v>
      </c>
      <c r="C4696" s="10">
        <v>105</v>
      </c>
      <c r="D4696" s="10">
        <v>5.56</v>
      </c>
      <c r="E4696" s="16">
        <v>5.59</v>
      </c>
      <c r="F4696">
        <v>21887</v>
      </c>
      <c r="G4696" s="5">
        <v>43125</v>
      </c>
    </row>
    <row r="4697" spans="1:7" x14ac:dyDescent="0.4">
      <c r="A4697">
        <v>96</v>
      </c>
      <c r="B4697" t="s">
        <v>2027</v>
      </c>
      <c r="C4697" s="10">
        <v>6.25</v>
      </c>
      <c r="D4697" s="10">
        <v>0.33</v>
      </c>
      <c r="E4697" s="16">
        <v>5.57</v>
      </c>
      <c r="F4697">
        <v>1694049</v>
      </c>
      <c r="G4697" s="5">
        <v>43125</v>
      </c>
    </row>
    <row r="4698" spans="1:7" x14ac:dyDescent="0.4">
      <c r="A4698">
        <v>97</v>
      </c>
      <c r="B4698" t="s">
        <v>1617</v>
      </c>
      <c r="C4698" s="10">
        <v>92.4</v>
      </c>
      <c r="D4698" s="10">
        <v>4.87</v>
      </c>
      <c r="E4698" s="16">
        <v>5.56</v>
      </c>
      <c r="F4698">
        <v>3402665</v>
      </c>
      <c r="G4698" s="5">
        <v>43125</v>
      </c>
    </row>
    <row r="4699" spans="1:7" x14ac:dyDescent="0.4">
      <c r="A4699">
        <v>98</v>
      </c>
      <c r="B4699" t="s">
        <v>256</v>
      </c>
      <c r="C4699" s="10">
        <v>46.65</v>
      </c>
      <c r="D4699" s="10">
        <v>2.4500000000000002</v>
      </c>
      <c r="E4699" s="16">
        <v>5.54</v>
      </c>
      <c r="F4699">
        <v>579241</v>
      </c>
      <c r="G4699" s="5">
        <v>43125</v>
      </c>
    </row>
    <row r="4700" spans="1:7" x14ac:dyDescent="0.4">
      <c r="A4700">
        <v>99</v>
      </c>
      <c r="B4700" t="s">
        <v>1014</v>
      </c>
      <c r="C4700" s="10">
        <v>5.34</v>
      </c>
      <c r="D4700" s="10">
        <v>0.28000000000000003</v>
      </c>
      <c r="E4700" s="16">
        <v>5.53</v>
      </c>
      <c r="F4700">
        <v>463285</v>
      </c>
      <c r="G4700" s="5">
        <v>43125</v>
      </c>
    </row>
    <row r="4701" spans="1:7" x14ac:dyDescent="0.4">
      <c r="A4701">
        <v>100</v>
      </c>
      <c r="B4701" t="s">
        <v>331</v>
      </c>
      <c r="C4701" s="10">
        <v>17.02</v>
      </c>
      <c r="D4701" s="10">
        <v>0.89</v>
      </c>
      <c r="E4701" s="16">
        <v>5.52</v>
      </c>
      <c r="F4701">
        <v>256668</v>
      </c>
      <c r="G4701" s="5">
        <v>43125</v>
      </c>
    </row>
    <row r="4702" spans="1:7" x14ac:dyDescent="0.4">
      <c r="A4702">
        <v>1</v>
      </c>
      <c r="B4702" t="s">
        <v>1146</v>
      </c>
      <c r="C4702" s="10">
        <v>29.74</v>
      </c>
      <c r="D4702" s="10">
        <v>12.74</v>
      </c>
      <c r="E4702" s="16">
        <v>74.94</v>
      </c>
      <c r="F4702">
        <v>4347502</v>
      </c>
      <c r="G4702" s="5">
        <v>43126</v>
      </c>
    </row>
    <row r="4703" spans="1:7" x14ac:dyDescent="0.4">
      <c r="A4703">
        <v>2</v>
      </c>
      <c r="B4703" t="s">
        <v>706</v>
      </c>
      <c r="C4703" s="10">
        <v>22.62</v>
      </c>
      <c r="D4703" s="10">
        <v>6.62</v>
      </c>
      <c r="E4703" s="16">
        <v>41.38</v>
      </c>
      <c r="F4703">
        <v>3272954</v>
      </c>
      <c r="G4703" s="5">
        <v>43126</v>
      </c>
    </row>
    <row r="4704" spans="1:7" x14ac:dyDescent="0.4">
      <c r="A4704">
        <v>3</v>
      </c>
      <c r="B4704" t="s">
        <v>274</v>
      </c>
      <c r="C4704" s="10">
        <v>3.32</v>
      </c>
      <c r="D4704" s="10">
        <v>0.87</v>
      </c>
      <c r="E4704" s="16">
        <v>35.51</v>
      </c>
      <c r="F4704">
        <v>17005449</v>
      </c>
      <c r="G4704" s="5">
        <v>43126</v>
      </c>
    </row>
    <row r="4705" spans="1:7" x14ac:dyDescent="0.4">
      <c r="A4705">
        <v>4</v>
      </c>
      <c r="B4705" t="s">
        <v>1948</v>
      </c>
      <c r="C4705" s="10">
        <v>117.31</v>
      </c>
      <c r="D4705" s="10">
        <v>19.63</v>
      </c>
      <c r="E4705" s="16">
        <v>20.100000000000001</v>
      </c>
      <c r="F4705">
        <v>546990</v>
      </c>
      <c r="G4705" s="5">
        <v>43126</v>
      </c>
    </row>
    <row r="4706" spans="1:7" x14ac:dyDescent="0.4">
      <c r="A4706">
        <v>5</v>
      </c>
      <c r="B4706" t="s">
        <v>25</v>
      </c>
      <c r="C4706" s="10">
        <v>6.36</v>
      </c>
      <c r="D4706" s="10">
        <v>0.95</v>
      </c>
      <c r="E4706" s="16">
        <v>17.559999999999999</v>
      </c>
      <c r="F4706">
        <v>180272</v>
      </c>
      <c r="G4706" s="5">
        <v>43126</v>
      </c>
    </row>
    <row r="4707" spans="1:7" x14ac:dyDescent="0.4">
      <c r="A4707">
        <v>6</v>
      </c>
      <c r="B4707" t="s">
        <v>2028</v>
      </c>
      <c r="C4707" s="10">
        <v>75.709999999999994</v>
      </c>
      <c r="D4707" s="10">
        <v>11.27</v>
      </c>
      <c r="E4707" s="16">
        <v>17.489999999999998</v>
      </c>
      <c r="F4707">
        <v>966733</v>
      </c>
      <c r="G4707" s="5">
        <v>43126</v>
      </c>
    </row>
    <row r="4708" spans="1:7" x14ac:dyDescent="0.4">
      <c r="A4708">
        <v>7</v>
      </c>
      <c r="B4708" t="s">
        <v>2029</v>
      </c>
      <c r="C4708" s="10">
        <v>18.5</v>
      </c>
      <c r="D4708" s="10">
        <v>2.5</v>
      </c>
      <c r="E4708" s="16">
        <v>15.63</v>
      </c>
      <c r="F4708">
        <v>5308158</v>
      </c>
      <c r="G4708" s="5">
        <v>43126</v>
      </c>
    </row>
    <row r="4709" spans="1:7" x14ac:dyDescent="0.4">
      <c r="A4709">
        <v>8</v>
      </c>
      <c r="B4709" t="s">
        <v>638</v>
      </c>
      <c r="C4709" s="10">
        <v>3.05</v>
      </c>
      <c r="D4709" s="10">
        <v>0.39</v>
      </c>
      <c r="E4709" s="16">
        <v>14.67</v>
      </c>
      <c r="F4709">
        <v>11113</v>
      </c>
      <c r="G4709" s="5">
        <v>43126</v>
      </c>
    </row>
    <row r="4710" spans="1:7" x14ac:dyDescent="0.4">
      <c r="A4710">
        <v>9</v>
      </c>
      <c r="B4710" t="s">
        <v>167</v>
      </c>
      <c r="C4710" s="10">
        <v>8.77</v>
      </c>
      <c r="D4710" s="10">
        <v>1.0900000000000001</v>
      </c>
      <c r="E4710" s="16">
        <v>14.19</v>
      </c>
      <c r="F4710">
        <v>200873</v>
      </c>
      <c r="G4710" s="5">
        <v>43126</v>
      </c>
    </row>
    <row r="4711" spans="1:7" x14ac:dyDescent="0.4">
      <c r="A4711">
        <v>10</v>
      </c>
      <c r="B4711" t="s">
        <v>2030</v>
      </c>
      <c r="C4711" s="10">
        <v>2.67</v>
      </c>
      <c r="D4711" s="10">
        <v>0.33</v>
      </c>
      <c r="E4711" s="16">
        <v>14.1</v>
      </c>
      <c r="F4711">
        <v>1002404</v>
      </c>
      <c r="G4711" s="5">
        <v>43126</v>
      </c>
    </row>
    <row r="4712" spans="1:7" x14ac:dyDescent="0.4">
      <c r="A4712">
        <v>11</v>
      </c>
      <c r="B4712" t="s">
        <v>2031</v>
      </c>
      <c r="C4712" s="10">
        <v>123.21</v>
      </c>
      <c r="D4712" s="10">
        <v>14.91</v>
      </c>
      <c r="E4712" s="16">
        <v>13.77</v>
      </c>
      <c r="F4712">
        <v>18756715</v>
      </c>
      <c r="G4712" s="5">
        <v>43126</v>
      </c>
    </row>
    <row r="4713" spans="1:7" x14ac:dyDescent="0.4">
      <c r="A4713">
        <v>12</v>
      </c>
      <c r="B4713" t="s">
        <v>296</v>
      </c>
      <c r="C4713" s="10">
        <v>4.83</v>
      </c>
      <c r="D4713" s="10">
        <v>0.56999999999999995</v>
      </c>
      <c r="E4713" s="16">
        <v>13.38</v>
      </c>
      <c r="F4713">
        <v>164062</v>
      </c>
      <c r="G4713" s="5">
        <v>43126</v>
      </c>
    </row>
    <row r="4714" spans="1:7" x14ac:dyDescent="0.4">
      <c r="A4714">
        <v>13</v>
      </c>
      <c r="B4714" t="s">
        <v>1733</v>
      </c>
      <c r="C4714" s="10">
        <v>2.6</v>
      </c>
      <c r="D4714" s="10">
        <v>0.3</v>
      </c>
      <c r="E4714" s="16">
        <v>13.04</v>
      </c>
      <c r="F4714">
        <v>284969</v>
      </c>
      <c r="G4714" s="5">
        <v>43126</v>
      </c>
    </row>
    <row r="4715" spans="1:7" x14ac:dyDescent="0.4">
      <c r="A4715">
        <v>14</v>
      </c>
      <c r="B4715" t="s">
        <v>1275</v>
      </c>
      <c r="C4715" s="10">
        <v>2.67</v>
      </c>
      <c r="D4715" s="10">
        <v>0.3</v>
      </c>
      <c r="E4715" s="16">
        <v>12.66</v>
      </c>
      <c r="F4715">
        <v>10326219</v>
      </c>
      <c r="G4715" s="5">
        <v>43126</v>
      </c>
    </row>
    <row r="4716" spans="1:7" x14ac:dyDescent="0.4">
      <c r="A4716">
        <v>15</v>
      </c>
      <c r="B4716" t="s">
        <v>413</v>
      </c>
      <c r="C4716" s="10">
        <v>5.89</v>
      </c>
      <c r="D4716" s="10">
        <v>0.66</v>
      </c>
      <c r="E4716" s="16">
        <v>12.62</v>
      </c>
      <c r="F4716">
        <v>1443023</v>
      </c>
      <c r="G4716" s="5">
        <v>43126</v>
      </c>
    </row>
    <row r="4717" spans="1:7" x14ac:dyDescent="0.4">
      <c r="A4717">
        <v>16</v>
      </c>
      <c r="B4717" t="s">
        <v>2032</v>
      </c>
      <c r="C4717" s="10">
        <v>16.88</v>
      </c>
      <c r="D4717" s="10">
        <v>1.88</v>
      </c>
      <c r="E4717" s="16">
        <v>12.53</v>
      </c>
      <c r="F4717">
        <v>2357903</v>
      </c>
      <c r="G4717" s="5">
        <v>43126</v>
      </c>
    </row>
    <row r="4718" spans="1:7" x14ac:dyDescent="0.4">
      <c r="A4718">
        <v>17</v>
      </c>
      <c r="B4718" t="s">
        <v>2033</v>
      </c>
      <c r="C4718" s="10">
        <v>2.5299999999999998</v>
      </c>
      <c r="D4718" s="10">
        <v>0.28000000000000003</v>
      </c>
      <c r="E4718" s="16">
        <v>12.44</v>
      </c>
      <c r="F4718">
        <v>944230</v>
      </c>
      <c r="G4718" s="5">
        <v>43126</v>
      </c>
    </row>
    <row r="4719" spans="1:7" x14ac:dyDescent="0.4">
      <c r="A4719">
        <v>18</v>
      </c>
      <c r="B4719" t="s">
        <v>1018</v>
      </c>
      <c r="C4719" s="10">
        <v>12.35</v>
      </c>
      <c r="D4719" s="10">
        <v>1.35</v>
      </c>
      <c r="E4719" s="16">
        <v>12.27</v>
      </c>
      <c r="F4719">
        <v>2916289</v>
      </c>
      <c r="G4719" s="5">
        <v>43126</v>
      </c>
    </row>
    <row r="4720" spans="1:7" x14ac:dyDescent="0.4">
      <c r="A4720">
        <v>19</v>
      </c>
      <c r="B4720" t="s">
        <v>76</v>
      </c>
      <c r="C4720" s="10">
        <v>3.88</v>
      </c>
      <c r="D4720" s="10">
        <v>0.42</v>
      </c>
      <c r="E4720" s="16">
        <v>12.14</v>
      </c>
      <c r="F4720">
        <v>63526</v>
      </c>
      <c r="G4720" s="5">
        <v>43126</v>
      </c>
    </row>
    <row r="4721" spans="1:7" x14ac:dyDescent="0.4">
      <c r="A4721">
        <v>20</v>
      </c>
      <c r="B4721" t="s">
        <v>1383</v>
      </c>
      <c r="C4721" s="10">
        <v>5.63</v>
      </c>
      <c r="D4721" s="10">
        <v>0.6</v>
      </c>
      <c r="E4721" s="16">
        <v>11.93</v>
      </c>
      <c r="F4721">
        <v>2537945</v>
      </c>
      <c r="G4721" s="5">
        <v>43126</v>
      </c>
    </row>
    <row r="4722" spans="1:7" x14ac:dyDescent="0.4">
      <c r="A4722">
        <v>21</v>
      </c>
      <c r="B4722" t="s">
        <v>17</v>
      </c>
      <c r="C4722" s="10">
        <v>15.5</v>
      </c>
      <c r="D4722" s="10">
        <v>1.59</v>
      </c>
      <c r="E4722" s="16">
        <v>11.43</v>
      </c>
      <c r="F4722">
        <v>644614</v>
      </c>
      <c r="G4722" s="5">
        <v>43126</v>
      </c>
    </row>
    <row r="4723" spans="1:7" x14ac:dyDescent="0.4">
      <c r="A4723">
        <v>22</v>
      </c>
      <c r="B4723" t="s">
        <v>1914</v>
      </c>
      <c r="C4723" s="10">
        <v>6.2</v>
      </c>
      <c r="D4723" s="10">
        <v>0.63</v>
      </c>
      <c r="E4723" s="16">
        <v>11.31</v>
      </c>
      <c r="F4723">
        <v>775693</v>
      </c>
      <c r="G4723" s="5">
        <v>43126</v>
      </c>
    </row>
    <row r="4724" spans="1:7" x14ac:dyDescent="0.4">
      <c r="A4724">
        <v>23</v>
      </c>
      <c r="B4724" t="s">
        <v>1270</v>
      </c>
      <c r="C4724" s="10">
        <v>3.72</v>
      </c>
      <c r="D4724" s="10">
        <v>0.37</v>
      </c>
      <c r="E4724" s="16">
        <v>11.04</v>
      </c>
      <c r="F4724">
        <v>1472295</v>
      </c>
      <c r="G4724" s="5">
        <v>43126</v>
      </c>
    </row>
    <row r="4725" spans="1:7" x14ac:dyDescent="0.4">
      <c r="A4725">
        <v>24</v>
      </c>
      <c r="B4725" t="s">
        <v>205</v>
      </c>
      <c r="C4725" s="10">
        <v>4.99</v>
      </c>
      <c r="D4725" s="10">
        <v>0.49</v>
      </c>
      <c r="E4725" s="16">
        <v>10.91</v>
      </c>
      <c r="F4725">
        <v>111216</v>
      </c>
      <c r="G4725" s="5">
        <v>43126</v>
      </c>
    </row>
    <row r="4726" spans="1:7" x14ac:dyDescent="0.4">
      <c r="A4726">
        <v>25</v>
      </c>
      <c r="B4726" t="s">
        <v>1068</v>
      </c>
      <c r="C4726" s="10">
        <v>3.35</v>
      </c>
      <c r="D4726" s="10">
        <v>0.33</v>
      </c>
      <c r="E4726" s="16">
        <v>10.74</v>
      </c>
      <c r="F4726">
        <v>103237</v>
      </c>
      <c r="G4726" s="5">
        <v>43126</v>
      </c>
    </row>
    <row r="4727" spans="1:7" x14ac:dyDescent="0.4">
      <c r="A4727">
        <v>26</v>
      </c>
      <c r="B4727" t="s">
        <v>930</v>
      </c>
      <c r="C4727" s="10">
        <v>16.64</v>
      </c>
      <c r="D4727" s="10">
        <v>1.6</v>
      </c>
      <c r="E4727" s="16">
        <v>10.64</v>
      </c>
      <c r="F4727">
        <v>579508</v>
      </c>
      <c r="G4727" s="5">
        <v>43126</v>
      </c>
    </row>
    <row r="4728" spans="1:7" x14ac:dyDescent="0.4">
      <c r="A4728">
        <v>27</v>
      </c>
      <c r="B4728" t="s">
        <v>2034</v>
      </c>
      <c r="C4728" s="10">
        <v>50.08</v>
      </c>
      <c r="D4728" s="10">
        <v>4.78</v>
      </c>
      <c r="E4728" s="16">
        <v>10.55</v>
      </c>
      <c r="F4728">
        <v>80651172</v>
      </c>
      <c r="G4728" s="5">
        <v>43126</v>
      </c>
    </row>
    <row r="4729" spans="1:7" x14ac:dyDescent="0.4">
      <c r="A4729">
        <v>28</v>
      </c>
      <c r="B4729" t="s">
        <v>2035</v>
      </c>
      <c r="C4729" s="10">
        <v>3.88</v>
      </c>
      <c r="D4729" s="10">
        <v>0.37</v>
      </c>
      <c r="E4729" s="16">
        <v>10.54</v>
      </c>
      <c r="F4729">
        <v>119292</v>
      </c>
      <c r="G4729" s="5">
        <v>43126</v>
      </c>
    </row>
    <row r="4730" spans="1:7" x14ac:dyDescent="0.4">
      <c r="A4730">
        <v>29</v>
      </c>
      <c r="B4730" t="s">
        <v>415</v>
      </c>
      <c r="C4730" s="10">
        <v>13.1</v>
      </c>
      <c r="D4730" s="10">
        <v>1.22</v>
      </c>
      <c r="E4730" s="16">
        <v>10.27</v>
      </c>
      <c r="F4730">
        <v>35156</v>
      </c>
      <c r="G4730" s="5">
        <v>43126</v>
      </c>
    </row>
    <row r="4731" spans="1:7" x14ac:dyDescent="0.4">
      <c r="A4731">
        <v>30</v>
      </c>
      <c r="B4731" t="s">
        <v>2036</v>
      </c>
      <c r="C4731" s="10">
        <v>17.75</v>
      </c>
      <c r="D4731" s="10">
        <v>1.65</v>
      </c>
      <c r="E4731" s="16">
        <v>10.25</v>
      </c>
      <c r="F4731">
        <v>4163738</v>
      </c>
      <c r="G4731" s="5">
        <v>43126</v>
      </c>
    </row>
    <row r="4732" spans="1:7" x14ac:dyDescent="0.4">
      <c r="A4732">
        <v>31</v>
      </c>
      <c r="B4732" t="s">
        <v>404</v>
      </c>
      <c r="C4732" s="10">
        <v>5.44</v>
      </c>
      <c r="D4732" s="10">
        <v>0.49</v>
      </c>
      <c r="E4732" s="16">
        <v>9.9</v>
      </c>
      <c r="F4732">
        <v>3302280</v>
      </c>
      <c r="G4732" s="5">
        <v>43126</v>
      </c>
    </row>
    <row r="4733" spans="1:7" x14ac:dyDescent="0.4">
      <c r="A4733">
        <v>32</v>
      </c>
      <c r="B4733" t="s">
        <v>766</v>
      </c>
      <c r="C4733" s="10">
        <v>17.21</v>
      </c>
      <c r="D4733" s="10">
        <v>1.5</v>
      </c>
      <c r="E4733" s="16">
        <v>9.5500000000000007</v>
      </c>
      <c r="F4733">
        <v>5472216</v>
      </c>
      <c r="G4733" s="5">
        <v>43126</v>
      </c>
    </row>
    <row r="4734" spans="1:7" x14ac:dyDescent="0.4">
      <c r="A4734">
        <v>33</v>
      </c>
      <c r="B4734" t="s">
        <v>241</v>
      </c>
      <c r="C4734" s="10">
        <v>24.27</v>
      </c>
      <c r="D4734" s="10">
        <v>2.11</v>
      </c>
      <c r="E4734" s="16">
        <v>9.52</v>
      </c>
      <c r="F4734">
        <v>49203406</v>
      </c>
      <c r="G4734" s="5">
        <v>43126</v>
      </c>
    </row>
    <row r="4735" spans="1:7" x14ac:dyDescent="0.4">
      <c r="A4735">
        <v>34</v>
      </c>
      <c r="B4735" t="s">
        <v>742</v>
      </c>
      <c r="C4735" s="10">
        <v>181.13</v>
      </c>
      <c r="D4735" s="10">
        <v>15.69</v>
      </c>
      <c r="E4735" s="16">
        <v>9.48</v>
      </c>
      <c r="F4735">
        <v>846980</v>
      </c>
      <c r="G4735" s="5">
        <v>43126</v>
      </c>
    </row>
    <row r="4736" spans="1:7" x14ac:dyDescent="0.4">
      <c r="A4736">
        <v>35</v>
      </c>
      <c r="B4736" t="s">
        <v>2037</v>
      </c>
      <c r="C4736" s="10">
        <v>25.01</v>
      </c>
      <c r="D4736" s="10">
        <v>2.14</v>
      </c>
      <c r="E4736" s="16">
        <v>9.36</v>
      </c>
      <c r="F4736">
        <v>4035174</v>
      </c>
      <c r="G4736" s="5">
        <v>43126</v>
      </c>
    </row>
    <row r="4737" spans="1:7" x14ac:dyDescent="0.4">
      <c r="A4737">
        <v>36</v>
      </c>
      <c r="B4737" t="s">
        <v>141</v>
      </c>
      <c r="C4737" s="10">
        <v>2.35</v>
      </c>
      <c r="D4737" s="10">
        <v>0.2</v>
      </c>
      <c r="E4737" s="16">
        <v>9.3000000000000007</v>
      </c>
      <c r="F4737">
        <v>76686</v>
      </c>
      <c r="G4737" s="5">
        <v>43126</v>
      </c>
    </row>
    <row r="4738" spans="1:7" x14ac:dyDescent="0.4">
      <c r="A4738">
        <v>37</v>
      </c>
      <c r="B4738" t="s">
        <v>2038</v>
      </c>
      <c r="C4738" s="10">
        <v>150</v>
      </c>
      <c r="D4738" s="10">
        <v>12.37</v>
      </c>
      <c r="E4738" s="16">
        <v>8.99</v>
      </c>
      <c r="F4738">
        <v>27019124</v>
      </c>
      <c r="G4738" s="5">
        <v>43126</v>
      </c>
    </row>
    <row r="4739" spans="1:7" x14ac:dyDescent="0.4">
      <c r="A4739">
        <v>38</v>
      </c>
      <c r="B4739" t="s">
        <v>824</v>
      </c>
      <c r="C4739" s="10">
        <v>5.36</v>
      </c>
      <c r="D4739" s="10">
        <v>0.44</v>
      </c>
      <c r="E4739" s="16">
        <v>8.94</v>
      </c>
      <c r="F4739">
        <v>175099</v>
      </c>
      <c r="G4739" s="5">
        <v>43126</v>
      </c>
    </row>
    <row r="4740" spans="1:7" x14ac:dyDescent="0.4">
      <c r="A4740">
        <v>39</v>
      </c>
      <c r="B4740" t="s">
        <v>1628</v>
      </c>
      <c r="C4740" s="10">
        <v>3.9</v>
      </c>
      <c r="D4740" s="10">
        <v>0.31</v>
      </c>
      <c r="E4740" s="16">
        <v>8.64</v>
      </c>
      <c r="F4740">
        <v>942161</v>
      </c>
      <c r="G4740" s="5">
        <v>43126</v>
      </c>
    </row>
    <row r="4741" spans="1:7" x14ac:dyDescent="0.4">
      <c r="A4741">
        <v>40</v>
      </c>
      <c r="B4741" t="s">
        <v>1075</v>
      </c>
      <c r="C4741" s="10">
        <v>20.8</v>
      </c>
      <c r="D4741" s="10">
        <v>1.65</v>
      </c>
      <c r="E4741" s="16">
        <v>8.6199999999999992</v>
      </c>
      <c r="F4741">
        <v>56573</v>
      </c>
      <c r="G4741" s="5">
        <v>43126</v>
      </c>
    </row>
    <row r="4742" spans="1:7" x14ac:dyDescent="0.4">
      <c r="A4742">
        <v>41</v>
      </c>
      <c r="B4742" t="s">
        <v>2039</v>
      </c>
      <c r="C4742" s="10">
        <v>67.77</v>
      </c>
      <c r="D4742" s="10">
        <v>5.34</v>
      </c>
      <c r="E4742" s="16">
        <v>8.5500000000000007</v>
      </c>
      <c r="F4742">
        <v>128684</v>
      </c>
      <c r="G4742" s="5">
        <v>43126</v>
      </c>
    </row>
    <row r="4743" spans="1:7" x14ac:dyDescent="0.4">
      <c r="A4743">
        <v>42</v>
      </c>
      <c r="B4743" t="s">
        <v>259</v>
      </c>
      <c r="C4743" s="10">
        <v>7</v>
      </c>
      <c r="D4743" s="10">
        <v>0.55000000000000004</v>
      </c>
      <c r="E4743" s="16">
        <v>8.5299999999999994</v>
      </c>
      <c r="F4743">
        <v>4464906</v>
      </c>
      <c r="G4743" s="5">
        <v>43126</v>
      </c>
    </row>
    <row r="4744" spans="1:7" x14ac:dyDescent="0.4">
      <c r="A4744">
        <v>43</v>
      </c>
      <c r="B4744" t="s">
        <v>1943</v>
      </c>
      <c r="C4744" s="10">
        <v>2.2999999999999998</v>
      </c>
      <c r="D4744" s="10">
        <v>0.18</v>
      </c>
      <c r="E4744" s="16">
        <v>8.49</v>
      </c>
      <c r="F4744">
        <v>327220</v>
      </c>
      <c r="G4744" s="5">
        <v>43126</v>
      </c>
    </row>
    <row r="4745" spans="1:7" x14ac:dyDescent="0.4">
      <c r="A4745">
        <v>44</v>
      </c>
      <c r="B4745" t="s">
        <v>980</v>
      </c>
      <c r="C4745" s="10">
        <v>24.71</v>
      </c>
      <c r="D4745" s="10">
        <v>1.93</v>
      </c>
      <c r="E4745" s="16">
        <v>8.4700000000000006</v>
      </c>
      <c r="F4745">
        <v>1216373</v>
      </c>
      <c r="G4745" s="5">
        <v>43126</v>
      </c>
    </row>
    <row r="4746" spans="1:7" x14ac:dyDescent="0.4">
      <c r="A4746">
        <v>45</v>
      </c>
      <c r="B4746" t="s">
        <v>405</v>
      </c>
      <c r="C4746" s="10">
        <v>36.82</v>
      </c>
      <c r="D4746" s="10">
        <v>2.82</v>
      </c>
      <c r="E4746" s="16">
        <v>8.2899999999999991</v>
      </c>
      <c r="F4746">
        <v>135568</v>
      </c>
      <c r="G4746" s="5">
        <v>43126</v>
      </c>
    </row>
    <row r="4747" spans="1:7" x14ac:dyDescent="0.4">
      <c r="A4747">
        <v>46</v>
      </c>
      <c r="B4747" t="s">
        <v>748</v>
      </c>
      <c r="C4747" s="10">
        <v>57.81</v>
      </c>
      <c r="D4747" s="10">
        <v>4.41</v>
      </c>
      <c r="E4747" s="16">
        <v>8.26</v>
      </c>
      <c r="F4747">
        <v>131002</v>
      </c>
      <c r="G4747" s="5">
        <v>43126</v>
      </c>
    </row>
    <row r="4748" spans="1:7" x14ac:dyDescent="0.4">
      <c r="A4748">
        <v>47</v>
      </c>
      <c r="B4748" t="s">
        <v>236</v>
      </c>
      <c r="C4748" s="10">
        <v>10.49</v>
      </c>
      <c r="D4748" s="10">
        <v>0.79</v>
      </c>
      <c r="E4748" s="16">
        <v>8.14</v>
      </c>
      <c r="F4748">
        <v>726286</v>
      </c>
      <c r="G4748" s="5">
        <v>43126</v>
      </c>
    </row>
    <row r="4749" spans="1:7" x14ac:dyDescent="0.4">
      <c r="A4749">
        <v>48</v>
      </c>
      <c r="B4749" t="s">
        <v>2040</v>
      </c>
      <c r="C4749" s="10">
        <v>31.87</v>
      </c>
      <c r="D4749" s="10">
        <v>2.4</v>
      </c>
      <c r="E4749" s="16">
        <v>8.14</v>
      </c>
      <c r="F4749">
        <v>155367</v>
      </c>
      <c r="G4749" s="5">
        <v>43126</v>
      </c>
    </row>
    <row r="4750" spans="1:7" x14ac:dyDescent="0.4">
      <c r="A4750">
        <v>49</v>
      </c>
      <c r="B4750" t="s">
        <v>1273</v>
      </c>
      <c r="C4750" s="10">
        <v>2.94</v>
      </c>
      <c r="D4750" s="10">
        <v>0.22</v>
      </c>
      <c r="E4750" s="16">
        <v>8.09</v>
      </c>
      <c r="F4750">
        <v>7827</v>
      </c>
      <c r="G4750" s="5">
        <v>43126</v>
      </c>
    </row>
    <row r="4751" spans="1:7" x14ac:dyDescent="0.4">
      <c r="A4751">
        <v>50</v>
      </c>
      <c r="B4751" t="s">
        <v>753</v>
      </c>
      <c r="C4751" s="10">
        <v>144.97999999999999</v>
      </c>
      <c r="D4751" s="10">
        <v>10.68</v>
      </c>
      <c r="E4751" s="16">
        <v>7.95</v>
      </c>
      <c r="F4751">
        <v>27777</v>
      </c>
      <c r="G4751" s="5">
        <v>43126</v>
      </c>
    </row>
    <row r="4752" spans="1:7" x14ac:dyDescent="0.4">
      <c r="A4752">
        <v>51</v>
      </c>
      <c r="B4752" t="s">
        <v>893</v>
      </c>
      <c r="C4752" s="10">
        <v>5.65</v>
      </c>
      <c r="D4752" s="10">
        <v>0.41</v>
      </c>
      <c r="E4752" s="16">
        <v>7.82</v>
      </c>
      <c r="F4752">
        <v>20373</v>
      </c>
      <c r="G4752" s="5">
        <v>43126</v>
      </c>
    </row>
    <row r="4753" spans="1:7" x14ac:dyDescent="0.4">
      <c r="A4753">
        <v>52</v>
      </c>
      <c r="B4753" t="s">
        <v>1041</v>
      </c>
      <c r="C4753" s="10">
        <v>4.41</v>
      </c>
      <c r="D4753" s="10">
        <v>0.32</v>
      </c>
      <c r="E4753" s="16">
        <v>7.82</v>
      </c>
      <c r="F4753">
        <v>469710</v>
      </c>
      <c r="G4753" s="5">
        <v>43126</v>
      </c>
    </row>
    <row r="4754" spans="1:7" x14ac:dyDescent="0.4">
      <c r="A4754">
        <v>53</v>
      </c>
      <c r="B4754" t="s">
        <v>544</v>
      </c>
      <c r="C4754" s="10">
        <v>37.25</v>
      </c>
      <c r="D4754" s="10">
        <v>2.7</v>
      </c>
      <c r="E4754" s="16">
        <v>7.81</v>
      </c>
      <c r="F4754">
        <v>1744089</v>
      </c>
      <c r="G4754" s="5">
        <v>43126</v>
      </c>
    </row>
    <row r="4755" spans="1:7" x14ac:dyDescent="0.4">
      <c r="A4755">
        <v>54</v>
      </c>
      <c r="B4755" t="s">
        <v>1251</v>
      </c>
      <c r="C4755" s="10">
        <v>2.4900000000000002</v>
      </c>
      <c r="D4755" s="10">
        <v>0.18</v>
      </c>
      <c r="E4755" s="16">
        <v>7.79</v>
      </c>
      <c r="F4755">
        <v>39116</v>
      </c>
      <c r="G4755" s="5">
        <v>43126</v>
      </c>
    </row>
    <row r="4756" spans="1:7" x14ac:dyDescent="0.4">
      <c r="A4756">
        <v>55</v>
      </c>
      <c r="B4756" t="s">
        <v>2041</v>
      </c>
      <c r="C4756" s="10">
        <v>9.4700000000000006</v>
      </c>
      <c r="D4756" s="10">
        <v>0.68</v>
      </c>
      <c r="E4756" s="16">
        <v>7.74</v>
      </c>
      <c r="F4756">
        <v>1121731</v>
      </c>
      <c r="G4756" s="5">
        <v>43126</v>
      </c>
    </row>
    <row r="4757" spans="1:7" x14ac:dyDescent="0.4">
      <c r="A4757">
        <v>56</v>
      </c>
      <c r="B4757" t="s">
        <v>2042</v>
      </c>
      <c r="C4757" s="10">
        <v>17.98</v>
      </c>
      <c r="D4757" s="10">
        <v>1.28</v>
      </c>
      <c r="E4757" s="16">
        <v>7.66</v>
      </c>
      <c r="F4757">
        <v>445107</v>
      </c>
      <c r="G4757" s="5">
        <v>43126</v>
      </c>
    </row>
    <row r="4758" spans="1:7" x14ac:dyDescent="0.4">
      <c r="A4758">
        <v>57</v>
      </c>
      <c r="B4758" t="s">
        <v>2043</v>
      </c>
      <c r="C4758" s="10">
        <v>2.2599999999999998</v>
      </c>
      <c r="D4758" s="10">
        <v>0.16</v>
      </c>
      <c r="E4758" s="16">
        <v>7.62</v>
      </c>
      <c r="F4758">
        <v>114932</v>
      </c>
      <c r="G4758" s="5">
        <v>43126</v>
      </c>
    </row>
    <row r="4759" spans="1:7" x14ac:dyDescent="0.4">
      <c r="A4759">
        <v>58</v>
      </c>
      <c r="B4759" t="s">
        <v>1493</v>
      </c>
      <c r="C4759" s="10">
        <v>8.1999999999999993</v>
      </c>
      <c r="D4759" s="10">
        <v>0.57999999999999996</v>
      </c>
      <c r="E4759" s="16">
        <v>7.61</v>
      </c>
      <c r="F4759">
        <v>32552</v>
      </c>
      <c r="G4759" s="5">
        <v>43126</v>
      </c>
    </row>
    <row r="4760" spans="1:7" x14ac:dyDescent="0.4">
      <c r="A4760">
        <v>59</v>
      </c>
      <c r="B4760" t="s">
        <v>2044</v>
      </c>
      <c r="C4760" s="10">
        <v>6.65</v>
      </c>
      <c r="D4760" s="10">
        <v>0.47</v>
      </c>
      <c r="E4760" s="16">
        <v>7.61</v>
      </c>
      <c r="F4760">
        <v>119388</v>
      </c>
      <c r="G4760" s="5">
        <v>43126</v>
      </c>
    </row>
    <row r="4761" spans="1:7" x14ac:dyDescent="0.4">
      <c r="A4761">
        <v>60</v>
      </c>
      <c r="B4761" t="s">
        <v>2045</v>
      </c>
      <c r="C4761" s="10">
        <v>2.27</v>
      </c>
      <c r="D4761" s="10">
        <v>0.16</v>
      </c>
      <c r="E4761" s="16">
        <v>7.58</v>
      </c>
      <c r="F4761">
        <v>230761</v>
      </c>
      <c r="G4761" s="5">
        <v>43126</v>
      </c>
    </row>
    <row r="4762" spans="1:7" x14ac:dyDescent="0.4">
      <c r="A4762">
        <v>61</v>
      </c>
      <c r="B4762" t="s">
        <v>746</v>
      </c>
      <c r="C4762" s="10">
        <v>53.8</v>
      </c>
      <c r="D4762" s="10">
        <v>3.75</v>
      </c>
      <c r="E4762" s="16">
        <v>7.49</v>
      </c>
      <c r="F4762">
        <v>1841528</v>
      </c>
      <c r="G4762" s="5">
        <v>43126</v>
      </c>
    </row>
    <row r="4763" spans="1:7" x14ac:dyDescent="0.4">
      <c r="A4763">
        <v>62</v>
      </c>
      <c r="B4763" t="s">
        <v>2046</v>
      </c>
      <c r="C4763" s="10">
        <v>2.3199999999999998</v>
      </c>
      <c r="D4763" s="10">
        <v>0.16</v>
      </c>
      <c r="E4763" s="16">
        <v>7.41</v>
      </c>
      <c r="F4763">
        <v>7783023</v>
      </c>
      <c r="G4763" s="5">
        <v>43126</v>
      </c>
    </row>
    <row r="4764" spans="1:7" x14ac:dyDescent="0.4">
      <c r="A4764">
        <v>63</v>
      </c>
      <c r="B4764" t="s">
        <v>2047</v>
      </c>
      <c r="C4764" s="10">
        <v>70.489999999999995</v>
      </c>
      <c r="D4764" s="10">
        <v>4.84</v>
      </c>
      <c r="E4764" s="16">
        <v>7.37</v>
      </c>
      <c r="F4764">
        <v>2811674</v>
      </c>
      <c r="G4764" s="5">
        <v>43126</v>
      </c>
    </row>
    <row r="4765" spans="1:7" x14ac:dyDescent="0.4">
      <c r="A4765">
        <v>64</v>
      </c>
      <c r="B4765" t="s">
        <v>1337</v>
      </c>
      <c r="C4765" s="10">
        <v>2.52</v>
      </c>
      <c r="D4765" s="10">
        <v>0.17</v>
      </c>
      <c r="E4765" s="16">
        <v>7.23</v>
      </c>
      <c r="F4765">
        <v>134336</v>
      </c>
      <c r="G4765" s="5">
        <v>43126</v>
      </c>
    </row>
    <row r="4766" spans="1:7" x14ac:dyDescent="0.4">
      <c r="A4766">
        <v>65</v>
      </c>
      <c r="B4766" t="s">
        <v>1077</v>
      </c>
      <c r="C4766" s="10">
        <v>14.77</v>
      </c>
      <c r="D4766" s="10">
        <v>0.99</v>
      </c>
      <c r="E4766" s="16">
        <v>7.18</v>
      </c>
      <c r="F4766">
        <v>315412</v>
      </c>
      <c r="G4766" s="5">
        <v>43126</v>
      </c>
    </row>
    <row r="4767" spans="1:7" x14ac:dyDescent="0.4">
      <c r="A4767">
        <v>66</v>
      </c>
      <c r="B4767" t="s">
        <v>1140</v>
      </c>
      <c r="C4767" s="10">
        <v>5.28</v>
      </c>
      <c r="D4767" s="10">
        <v>0.35</v>
      </c>
      <c r="E4767" s="16">
        <v>7.1</v>
      </c>
      <c r="F4767">
        <v>3544878</v>
      </c>
      <c r="G4767" s="5">
        <v>43126</v>
      </c>
    </row>
    <row r="4768" spans="1:7" x14ac:dyDescent="0.4">
      <c r="A4768">
        <v>67</v>
      </c>
      <c r="B4768" t="s">
        <v>1912</v>
      </c>
      <c r="C4768" s="10">
        <v>59.01</v>
      </c>
      <c r="D4768" s="10">
        <v>3.89</v>
      </c>
      <c r="E4768" s="16">
        <v>7.06</v>
      </c>
      <c r="F4768">
        <v>6219856</v>
      </c>
      <c r="G4768" s="5">
        <v>43126</v>
      </c>
    </row>
    <row r="4769" spans="1:7" x14ac:dyDescent="0.4">
      <c r="A4769">
        <v>68</v>
      </c>
      <c r="B4769" t="s">
        <v>169</v>
      </c>
      <c r="C4769" s="10">
        <v>11.31</v>
      </c>
      <c r="D4769" s="10">
        <v>0.73</v>
      </c>
      <c r="E4769" s="16">
        <v>6.9</v>
      </c>
      <c r="F4769">
        <v>460472</v>
      </c>
      <c r="G4769" s="5">
        <v>43126</v>
      </c>
    </row>
    <row r="4770" spans="1:7" x14ac:dyDescent="0.4">
      <c r="A4770">
        <v>69</v>
      </c>
      <c r="B4770" t="s">
        <v>1749</v>
      </c>
      <c r="C4770" s="10">
        <v>12.32</v>
      </c>
      <c r="D4770" s="10">
        <v>0.79</v>
      </c>
      <c r="E4770" s="16">
        <v>6.85</v>
      </c>
      <c r="F4770">
        <v>2872435</v>
      </c>
      <c r="G4770" s="5">
        <v>43126</v>
      </c>
    </row>
    <row r="4771" spans="1:7" x14ac:dyDescent="0.4">
      <c r="A4771">
        <v>70</v>
      </c>
      <c r="B4771" t="s">
        <v>137</v>
      </c>
      <c r="C4771" s="10">
        <v>4.08</v>
      </c>
      <c r="D4771" s="10">
        <v>0.26</v>
      </c>
      <c r="E4771" s="16">
        <v>6.81</v>
      </c>
      <c r="F4771">
        <v>831711</v>
      </c>
      <c r="G4771" s="5">
        <v>43126</v>
      </c>
    </row>
    <row r="4772" spans="1:7" x14ac:dyDescent="0.4">
      <c r="A4772">
        <v>71</v>
      </c>
      <c r="B4772" t="s">
        <v>2048</v>
      </c>
      <c r="C4772" s="10">
        <v>4.24</v>
      </c>
      <c r="D4772" s="10">
        <v>0.27</v>
      </c>
      <c r="E4772" s="16">
        <v>6.8</v>
      </c>
      <c r="F4772">
        <v>602574</v>
      </c>
      <c r="G4772" s="5">
        <v>43126</v>
      </c>
    </row>
    <row r="4773" spans="1:7" x14ac:dyDescent="0.4">
      <c r="A4773">
        <v>72</v>
      </c>
      <c r="B4773" t="s">
        <v>2049</v>
      </c>
      <c r="C4773" s="10">
        <v>3.47</v>
      </c>
      <c r="D4773" s="10">
        <v>0.22</v>
      </c>
      <c r="E4773" s="16">
        <v>6.77</v>
      </c>
      <c r="F4773">
        <v>86013</v>
      </c>
      <c r="G4773" s="5">
        <v>43126</v>
      </c>
    </row>
    <row r="4774" spans="1:7" x14ac:dyDescent="0.4">
      <c r="A4774">
        <v>73</v>
      </c>
      <c r="B4774" t="s">
        <v>28</v>
      </c>
      <c r="C4774" s="10">
        <v>7.1</v>
      </c>
      <c r="D4774" s="10">
        <v>0.45</v>
      </c>
      <c r="E4774" s="16">
        <v>6.77</v>
      </c>
      <c r="F4774">
        <v>60835</v>
      </c>
      <c r="G4774" s="5">
        <v>43126</v>
      </c>
    </row>
    <row r="4775" spans="1:7" x14ac:dyDescent="0.4">
      <c r="A4775">
        <v>74</v>
      </c>
      <c r="B4775" t="s">
        <v>689</v>
      </c>
      <c r="C4775" s="10">
        <v>6.19</v>
      </c>
      <c r="D4775" s="10">
        <v>0.39</v>
      </c>
      <c r="E4775" s="16">
        <v>6.72</v>
      </c>
      <c r="F4775">
        <v>105619</v>
      </c>
      <c r="G4775" s="5">
        <v>43126</v>
      </c>
    </row>
    <row r="4776" spans="1:7" x14ac:dyDescent="0.4">
      <c r="A4776">
        <v>75</v>
      </c>
      <c r="B4776" t="s">
        <v>568</v>
      </c>
      <c r="C4776" s="10">
        <v>2.2599999999999998</v>
      </c>
      <c r="D4776" s="10">
        <v>0.14000000000000001</v>
      </c>
      <c r="E4776" s="16">
        <v>6.6</v>
      </c>
      <c r="F4776">
        <v>3593473</v>
      </c>
      <c r="G4776" s="5">
        <v>43126</v>
      </c>
    </row>
    <row r="4777" spans="1:7" x14ac:dyDescent="0.4">
      <c r="A4777">
        <v>76</v>
      </c>
      <c r="B4777" t="s">
        <v>2050</v>
      </c>
      <c r="C4777" s="10">
        <v>50.5</v>
      </c>
      <c r="D4777" s="10">
        <v>3.12</v>
      </c>
      <c r="E4777" s="16">
        <v>6.59</v>
      </c>
      <c r="F4777">
        <v>25590130</v>
      </c>
      <c r="G4777" s="5">
        <v>43126</v>
      </c>
    </row>
    <row r="4778" spans="1:7" x14ac:dyDescent="0.4">
      <c r="A4778">
        <v>77</v>
      </c>
      <c r="B4778" t="s">
        <v>1911</v>
      </c>
      <c r="C4778" s="10">
        <v>47.65</v>
      </c>
      <c r="D4778" s="10">
        <v>2.91</v>
      </c>
      <c r="E4778" s="16">
        <v>6.5</v>
      </c>
      <c r="F4778">
        <v>378591</v>
      </c>
      <c r="G4778" s="5">
        <v>43126</v>
      </c>
    </row>
    <row r="4779" spans="1:7" x14ac:dyDescent="0.4">
      <c r="A4779">
        <v>78</v>
      </c>
      <c r="B4779" t="s">
        <v>2051</v>
      </c>
      <c r="C4779" s="10">
        <v>47.7</v>
      </c>
      <c r="D4779" s="10">
        <v>2.9</v>
      </c>
      <c r="E4779" s="16">
        <v>6.47</v>
      </c>
      <c r="F4779">
        <v>4897706</v>
      </c>
      <c r="G4779" s="5">
        <v>43126</v>
      </c>
    </row>
    <row r="4780" spans="1:7" x14ac:dyDescent="0.4">
      <c r="A4780">
        <v>79</v>
      </c>
      <c r="B4780" t="s">
        <v>1570</v>
      </c>
      <c r="C4780" s="10">
        <v>16.600000000000001</v>
      </c>
      <c r="D4780" s="10">
        <v>1</v>
      </c>
      <c r="E4780" s="16">
        <v>6.41</v>
      </c>
      <c r="F4780">
        <v>896198</v>
      </c>
      <c r="G4780" s="5">
        <v>43126</v>
      </c>
    </row>
    <row r="4781" spans="1:7" x14ac:dyDescent="0.4">
      <c r="A4781">
        <v>80</v>
      </c>
      <c r="B4781" t="s">
        <v>2052</v>
      </c>
      <c r="C4781" s="10">
        <v>62.95</v>
      </c>
      <c r="D4781" s="10">
        <v>3.79</v>
      </c>
      <c r="E4781" s="16">
        <v>6.41</v>
      </c>
      <c r="F4781">
        <v>278246</v>
      </c>
      <c r="G4781" s="5">
        <v>43126</v>
      </c>
    </row>
    <row r="4782" spans="1:7" x14ac:dyDescent="0.4">
      <c r="A4782">
        <v>81</v>
      </c>
      <c r="B4782" t="s">
        <v>1617</v>
      </c>
      <c r="C4782" s="10">
        <v>98.31</v>
      </c>
      <c r="D4782" s="10">
        <v>5.91</v>
      </c>
      <c r="E4782" s="16">
        <v>6.4</v>
      </c>
      <c r="F4782">
        <v>2324533</v>
      </c>
      <c r="G4782" s="5">
        <v>43126</v>
      </c>
    </row>
    <row r="4783" spans="1:7" x14ac:dyDescent="0.4">
      <c r="A4783">
        <v>82</v>
      </c>
      <c r="B4783" t="s">
        <v>1686</v>
      </c>
      <c r="C4783" s="10">
        <v>5.05</v>
      </c>
      <c r="D4783" s="10">
        <v>0.3</v>
      </c>
      <c r="E4783" s="16">
        <v>6.32</v>
      </c>
      <c r="F4783">
        <v>124494</v>
      </c>
      <c r="G4783" s="5">
        <v>43126</v>
      </c>
    </row>
    <row r="4784" spans="1:7" x14ac:dyDescent="0.4">
      <c r="A4784">
        <v>83</v>
      </c>
      <c r="B4784" t="s">
        <v>1924</v>
      </c>
      <c r="C4784" s="10">
        <v>4.29</v>
      </c>
      <c r="D4784" s="10">
        <v>0.25</v>
      </c>
      <c r="E4784" s="16">
        <v>6.19</v>
      </c>
      <c r="F4784">
        <v>85292</v>
      </c>
      <c r="G4784" s="5">
        <v>43126</v>
      </c>
    </row>
    <row r="4785" spans="1:7" x14ac:dyDescent="0.4">
      <c r="A4785">
        <v>84</v>
      </c>
      <c r="B4785" t="s">
        <v>2053</v>
      </c>
      <c r="C4785" s="10">
        <v>15.55</v>
      </c>
      <c r="D4785" s="10">
        <v>0.9</v>
      </c>
      <c r="E4785" s="16">
        <v>6.14</v>
      </c>
      <c r="F4785">
        <v>112711</v>
      </c>
      <c r="G4785" s="5">
        <v>43126</v>
      </c>
    </row>
    <row r="4786" spans="1:7" x14ac:dyDescent="0.4">
      <c r="A4786">
        <v>85</v>
      </c>
      <c r="B4786" t="s">
        <v>2054</v>
      </c>
      <c r="C4786" s="10">
        <v>33.700000000000003</v>
      </c>
      <c r="D4786" s="10">
        <v>1.95</v>
      </c>
      <c r="E4786" s="16">
        <v>6.14</v>
      </c>
      <c r="F4786">
        <v>8461</v>
      </c>
      <c r="G4786" s="5">
        <v>43126</v>
      </c>
    </row>
    <row r="4787" spans="1:7" x14ac:dyDescent="0.4">
      <c r="A4787">
        <v>86</v>
      </c>
      <c r="B4787" t="s">
        <v>2055</v>
      </c>
      <c r="C4787" s="10">
        <v>36</v>
      </c>
      <c r="D4787" s="10">
        <v>2.08</v>
      </c>
      <c r="E4787" s="16">
        <v>6.14</v>
      </c>
      <c r="F4787">
        <v>40901</v>
      </c>
      <c r="G4787" s="5">
        <v>43126</v>
      </c>
    </row>
    <row r="4788" spans="1:7" x14ac:dyDescent="0.4">
      <c r="A4788">
        <v>87</v>
      </c>
      <c r="B4788" t="s">
        <v>2056</v>
      </c>
      <c r="C4788" s="10">
        <v>381.86</v>
      </c>
      <c r="D4788" s="10">
        <v>21.8</v>
      </c>
      <c r="E4788" s="16">
        <v>6.05</v>
      </c>
      <c r="F4788">
        <v>922746</v>
      </c>
      <c r="G4788" s="5">
        <v>43126</v>
      </c>
    </row>
    <row r="4789" spans="1:7" x14ac:dyDescent="0.4">
      <c r="A4789">
        <v>88</v>
      </c>
      <c r="B4789" t="s">
        <v>2057</v>
      </c>
      <c r="C4789" s="10">
        <v>87</v>
      </c>
      <c r="D4789" s="10">
        <v>4.95</v>
      </c>
      <c r="E4789" s="16">
        <v>6.03</v>
      </c>
      <c r="F4789">
        <v>1215677</v>
      </c>
      <c r="G4789" s="5">
        <v>43126</v>
      </c>
    </row>
    <row r="4790" spans="1:7" x14ac:dyDescent="0.4">
      <c r="A4790">
        <v>89</v>
      </c>
      <c r="B4790" t="s">
        <v>1326</v>
      </c>
      <c r="C4790" s="10">
        <v>10.8</v>
      </c>
      <c r="D4790" s="10">
        <v>0.61</v>
      </c>
      <c r="E4790" s="16">
        <v>5.99</v>
      </c>
      <c r="F4790">
        <v>35022</v>
      </c>
      <c r="G4790" s="5">
        <v>43126</v>
      </c>
    </row>
    <row r="4791" spans="1:7" x14ac:dyDescent="0.4">
      <c r="A4791">
        <v>90</v>
      </c>
      <c r="B4791" t="s">
        <v>124</v>
      </c>
      <c r="C4791" s="10">
        <v>4.08</v>
      </c>
      <c r="D4791" s="10">
        <v>0.23</v>
      </c>
      <c r="E4791" s="16">
        <v>5.97</v>
      </c>
      <c r="F4791">
        <v>72285</v>
      </c>
      <c r="G4791" s="5">
        <v>43126</v>
      </c>
    </row>
    <row r="4792" spans="1:7" x14ac:dyDescent="0.4">
      <c r="A4792">
        <v>91</v>
      </c>
      <c r="B4792" t="s">
        <v>2058</v>
      </c>
      <c r="C4792" s="10">
        <v>24.02</v>
      </c>
      <c r="D4792" s="10">
        <v>1.35</v>
      </c>
      <c r="E4792" s="16">
        <v>5.96</v>
      </c>
      <c r="F4792">
        <v>28521</v>
      </c>
      <c r="G4792" s="5">
        <v>43126</v>
      </c>
    </row>
    <row r="4793" spans="1:7" x14ac:dyDescent="0.4">
      <c r="A4793">
        <v>92</v>
      </c>
      <c r="B4793" t="s">
        <v>340</v>
      </c>
      <c r="C4793" s="10">
        <v>4.84</v>
      </c>
      <c r="D4793" s="10">
        <v>0.27</v>
      </c>
      <c r="E4793" s="16">
        <v>5.91</v>
      </c>
      <c r="F4793">
        <v>44460</v>
      </c>
      <c r="G4793" s="5">
        <v>43126</v>
      </c>
    </row>
    <row r="4794" spans="1:7" x14ac:dyDescent="0.4">
      <c r="A4794">
        <v>93</v>
      </c>
      <c r="B4794" t="s">
        <v>563</v>
      </c>
      <c r="C4794" s="10">
        <v>31.85</v>
      </c>
      <c r="D4794" s="10">
        <v>1.77</v>
      </c>
      <c r="E4794" s="16">
        <v>5.88</v>
      </c>
      <c r="F4794">
        <v>169488</v>
      </c>
      <c r="G4794" s="5">
        <v>43126</v>
      </c>
    </row>
    <row r="4795" spans="1:7" x14ac:dyDescent="0.4">
      <c r="A4795">
        <v>94</v>
      </c>
      <c r="B4795" t="s">
        <v>287</v>
      </c>
      <c r="C4795" s="10">
        <v>5.58</v>
      </c>
      <c r="D4795" s="10">
        <v>0.31</v>
      </c>
      <c r="E4795" s="16">
        <v>5.88</v>
      </c>
      <c r="F4795">
        <v>50360</v>
      </c>
      <c r="G4795" s="5">
        <v>43126</v>
      </c>
    </row>
    <row r="4796" spans="1:7" x14ac:dyDescent="0.4">
      <c r="A4796">
        <v>95</v>
      </c>
      <c r="B4796" t="s">
        <v>2059</v>
      </c>
      <c r="C4796" s="10">
        <v>3.44</v>
      </c>
      <c r="D4796" s="10">
        <v>0.19</v>
      </c>
      <c r="E4796" s="16">
        <v>5.85</v>
      </c>
      <c r="F4796">
        <v>2195531</v>
      </c>
      <c r="G4796" s="5">
        <v>43126</v>
      </c>
    </row>
    <row r="4797" spans="1:7" x14ac:dyDescent="0.4">
      <c r="A4797">
        <v>96</v>
      </c>
      <c r="B4797" t="s">
        <v>1090</v>
      </c>
      <c r="C4797" s="10">
        <v>34.01</v>
      </c>
      <c r="D4797" s="10">
        <v>1.86</v>
      </c>
      <c r="E4797" s="16">
        <v>5.79</v>
      </c>
      <c r="F4797">
        <v>1371623</v>
      </c>
      <c r="G4797" s="5">
        <v>43126</v>
      </c>
    </row>
    <row r="4798" spans="1:7" x14ac:dyDescent="0.4">
      <c r="A4798">
        <v>97</v>
      </c>
      <c r="B4798" t="s">
        <v>1992</v>
      </c>
      <c r="C4798" s="10">
        <v>32.1</v>
      </c>
      <c r="D4798" s="10">
        <v>1.75</v>
      </c>
      <c r="E4798" s="16">
        <v>5.77</v>
      </c>
      <c r="F4798">
        <v>870524</v>
      </c>
      <c r="G4798" s="5">
        <v>43126</v>
      </c>
    </row>
    <row r="4799" spans="1:7" x14ac:dyDescent="0.4">
      <c r="A4799">
        <v>98</v>
      </c>
      <c r="B4799" t="s">
        <v>919</v>
      </c>
      <c r="C4799" s="10">
        <v>5.79</v>
      </c>
      <c r="D4799" s="10">
        <v>0.31</v>
      </c>
      <c r="E4799" s="16">
        <v>5.75</v>
      </c>
      <c r="F4799">
        <v>225718</v>
      </c>
      <c r="G4799" s="5">
        <v>43126</v>
      </c>
    </row>
    <row r="4800" spans="1:7" x14ac:dyDescent="0.4">
      <c r="A4800">
        <v>99</v>
      </c>
      <c r="B4800" t="s">
        <v>383</v>
      </c>
      <c r="C4800" s="10">
        <v>20.350000000000001</v>
      </c>
      <c r="D4800" s="10">
        <v>1.1000000000000001</v>
      </c>
      <c r="E4800" s="16">
        <v>5.71</v>
      </c>
      <c r="F4800">
        <v>96202</v>
      </c>
      <c r="G4800" s="5">
        <v>43126</v>
      </c>
    </row>
    <row r="4801" spans="1:7" x14ac:dyDescent="0.4">
      <c r="A4801">
        <v>100</v>
      </c>
      <c r="B4801" t="s">
        <v>2060</v>
      </c>
      <c r="C4801" s="10">
        <v>78.849999999999994</v>
      </c>
      <c r="D4801" s="10">
        <v>4.21</v>
      </c>
      <c r="E4801" s="16">
        <v>5.64</v>
      </c>
      <c r="F4801">
        <v>494727</v>
      </c>
      <c r="G4801" s="5">
        <v>43126</v>
      </c>
    </row>
    <row r="4802" spans="1:7" x14ac:dyDescent="0.4">
      <c r="A4802">
        <v>1</v>
      </c>
      <c r="B4802" t="s">
        <v>1275</v>
      </c>
      <c r="C4802" s="10">
        <v>2.66</v>
      </c>
      <c r="D4802" s="10">
        <v>0.52</v>
      </c>
      <c r="E4802" s="16">
        <v>24.3</v>
      </c>
      <c r="F4802">
        <v>28686676</v>
      </c>
      <c r="G4802" s="5">
        <v>43116</v>
      </c>
    </row>
    <row r="4803" spans="1:7" x14ac:dyDescent="0.4">
      <c r="A4803">
        <v>2</v>
      </c>
      <c r="B4803" t="s">
        <v>1347</v>
      </c>
      <c r="C4803" s="10">
        <v>45.05</v>
      </c>
      <c r="D4803" s="10">
        <v>8.5500000000000007</v>
      </c>
      <c r="E4803" s="16">
        <v>23.42</v>
      </c>
      <c r="F4803">
        <v>31726598</v>
      </c>
      <c r="G4803" s="5">
        <v>43116</v>
      </c>
    </row>
    <row r="4804" spans="1:7" x14ac:dyDescent="0.4">
      <c r="A4804">
        <v>3</v>
      </c>
      <c r="B4804" t="s">
        <v>1872</v>
      </c>
      <c r="C4804" s="10">
        <v>3.43</v>
      </c>
      <c r="D4804" s="10">
        <v>0.62</v>
      </c>
      <c r="E4804" s="16">
        <v>22.07</v>
      </c>
      <c r="F4804">
        <v>670005</v>
      </c>
      <c r="G4804" s="5">
        <v>43116</v>
      </c>
    </row>
    <row r="4805" spans="1:7" x14ac:dyDescent="0.4">
      <c r="A4805">
        <v>4</v>
      </c>
      <c r="B4805" t="s">
        <v>155</v>
      </c>
      <c r="C4805" s="10">
        <v>15.8</v>
      </c>
      <c r="D4805" s="10">
        <v>2.8</v>
      </c>
      <c r="E4805" s="16">
        <v>21.54</v>
      </c>
      <c r="F4805">
        <v>329908</v>
      </c>
      <c r="G4805" s="5">
        <v>43116</v>
      </c>
    </row>
    <row r="4806" spans="1:7" x14ac:dyDescent="0.4">
      <c r="A4806">
        <v>5</v>
      </c>
      <c r="B4806" t="s">
        <v>1685</v>
      </c>
      <c r="C4806" s="10">
        <v>3.73</v>
      </c>
      <c r="D4806" s="10">
        <v>0.53</v>
      </c>
      <c r="E4806" s="16">
        <v>16.559999999999999</v>
      </c>
      <c r="F4806">
        <v>80834</v>
      </c>
      <c r="G4806" s="5">
        <v>43116</v>
      </c>
    </row>
    <row r="4807" spans="1:7" x14ac:dyDescent="0.4">
      <c r="A4807">
        <v>6</v>
      </c>
      <c r="B4807" t="s">
        <v>522</v>
      </c>
      <c r="C4807" s="10">
        <v>5.75</v>
      </c>
      <c r="D4807" s="10">
        <v>0.8</v>
      </c>
      <c r="E4807" s="16">
        <v>16.16</v>
      </c>
      <c r="F4807">
        <v>3610534</v>
      </c>
      <c r="G4807" s="5">
        <v>43116</v>
      </c>
    </row>
    <row r="4808" spans="1:7" x14ac:dyDescent="0.4">
      <c r="A4808">
        <v>7</v>
      </c>
      <c r="B4808" t="s">
        <v>1334</v>
      </c>
      <c r="C4808" s="10">
        <v>5.64</v>
      </c>
      <c r="D4808" s="10">
        <v>0.78</v>
      </c>
      <c r="E4808" s="16">
        <v>16.149999999999999</v>
      </c>
      <c r="F4808">
        <v>74245</v>
      </c>
      <c r="G4808" s="5">
        <v>43116</v>
      </c>
    </row>
    <row r="4809" spans="1:7" x14ac:dyDescent="0.4">
      <c r="A4809">
        <v>8</v>
      </c>
      <c r="B4809" t="s">
        <v>219</v>
      </c>
      <c r="C4809" s="10">
        <v>10.09</v>
      </c>
      <c r="D4809" s="10">
        <v>1.34</v>
      </c>
      <c r="E4809" s="16">
        <v>15.29</v>
      </c>
      <c r="F4809">
        <v>3624</v>
      </c>
      <c r="G4809" s="5">
        <v>43116</v>
      </c>
    </row>
    <row r="4810" spans="1:7" x14ac:dyDescent="0.4">
      <c r="A4810">
        <v>9</v>
      </c>
      <c r="B4810" t="s">
        <v>2061</v>
      </c>
      <c r="C4810" s="10">
        <v>17.5</v>
      </c>
      <c r="D4810" s="10">
        <v>2.27</v>
      </c>
      <c r="E4810" s="16">
        <v>14.9</v>
      </c>
      <c r="F4810">
        <v>695900</v>
      </c>
      <c r="G4810" s="5">
        <v>43116</v>
      </c>
    </row>
    <row r="4811" spans="1:7" x14ac:dyDescent="0.4">
      <c r="A4811">
        <v>10</v>
      </c>
      <c r="B4811" t="s">
        <v>909</v>
      </c>
      <c r="C4811" s="10">
        <v>59.11</v>
      </c>
      <c r="D4811" s="10">
        <v>7.49</v>
      </c>
      <c r="E4811" s="16">
        <v>14.51</v>
      </c>
      <c r="F4811">
        <v>6029200</v>
      </c>
      <c r="G4811" s="5">
        <v>43116</v>
      </c>
    </row>
    <row r="4812" spans="1:7" x14ac:dyDescent="0.4">
      <c r="A4812">
        <v>11</v>
      </c>
      <c r="B4812" t="s">
        <v>193</v>
      </c>
      <c r="C4812" s="10">
        <v>9.25</v>
      </c>
      <c r="D4812" s="10">
        <v>1.17</v>
      </c>
      <c r="E4812" s="16">
        <v>14.48</v>
      </c>
      <c r="F4812">
        <v>3097423</v>
      </c>
      <c r="G4812" s="5">
        <v>43116</v>
      </c>
    </row>
    <row r="4813" spans="1:7" x14ac:dyDescent="0.4">
      <c r="A4813">
        <v>12</v>
      </c>
      <c r="B4813" t="s">
        <v>199</v>
      </c>
      <c r="C4813" s="10">
        <v>2.8</v>
      </c>
      <c r="D4813" s="10">
        <v>0.32</v>
      </c>
      <c r="E4813" s="16">
        <v>12.9</v>
      </c>
      <c r="F4813">
        <v>1584783</v>
      </c>
      <c r="G4813" s="5">
        <v>43116</v>
      </c>
    </row>
    <row r="4814" spans="1:7" x14ac:dyDescent="0.4">
      <c r="A4814">
        <v>13</v>
      </c>
      <c r="B4814" t="s">
        <v>429</v>
      </c>
      <c r="C4814" s="10">
        <v>5.34</v>
      </c>
      <c r="D4814" s="10">
        <v>0.6</v>
      </c>
      <c r="E4814" s="16">
        <v>12.66</v>
      </c>
      <c r="F4814">
        <v>30641751</v>
      </c>
      <c r="G4814" s="5">
        <v>43116</v>
      </c>
    </row>
    <row r="4815" spans="1:7" x14ac:dyDescent="0.4">
      <c r="A4815">
        <v>14</v>
      </c>
      <c r="B4815" t="s">
        <v>913</v>
      </c>
      <c r="C4815" s="10">
        <v>6.28</v>
      </c>
      <c r="D4815" s="10">
        <v>0.7</v>
      </c>
      <c r="E4815" s="16">
        <v>12.54</v>
      </c>
      <c r="F4815">
        <v>54727</v>
      </c>
      <c r="G4815" s="5">
        <v>43116</v>
      </c>
    </row>
    <row r="4816" spans="1:7" x14ac:dyDescent="0.4">
      <c r="A4816">
        <v>15</v>
      </c>
      <c r="B4816" t="s">
        <v>430</v>
      </c>
      <c r="C4816" s="10">
        <v>9.75</v>
      </c>
      <c r="D4816" s="10">
        <v>1.08</v>
      </c>
      <c r="E4816" s="16">
        <v>12.46</v>
      </c>
      <c r="F4816">
        <v>58196809</v>
      </c>
      <c r="G4816" s="5">
        <v>43116</v>
      </c>
    </row>
    <row r="4817" spans="1:7" x14ac:dyDescent="0.4">
      <c r="A4817">
        <v>16</v>
      </c>
      <c r="B4817" t="s">
        <v>1965</v>
      </c>
      <c r="C4817" s="10">
        <v>33.79</v>
      </c>
      <c r="D4817" s="10">
        <v>3.54</v>
      </c>
      <c r="E4817" s="16">
        <v>11.7</v>
      </c>
      <c r="F4817">
        <v>368390</v>
      </c>
      <c r="G4817" s="5">
        <v>43116</v>
      </c>
    </row>
    <row r="4818" spans="1:7" x14ac:dyDescent="0.4">
      <c r="A4818">
        <v>17</v>
      </c>
      <c r="B4818" t="s">
        <v>2062</v>
      </c>
      <c r="C4818" s="10">
        <v>9.4600000000000009</v>
      </c>
      <c r="D4818" s="10">
        <v>0.96</v>
      </c>
      <c r="E4818" s="16">
        <v>11.29</v>
      </c>
      <c r="F4818">
        <v>1159624</v>
      </c>
      <c r="G4818" s="5">
        <v>43116</v>
      </c>
    </row>
    <row r="4819" spans="1:7" x14ac:dyDescent="0.4">
      <c r="A4819">
        <v>18</v>
      </c>
      <c r="B4819" t="s">
        <v>1758</v>
      </c>
      <c r="C4819" s="10">
        <v>16.04</v>
      </c>
      <c r="D4819" s="10">
        <v>1.53</v>
      </c>
      <c r="E4819" s="16">
        <v>10.54</v>
      </c>
      <c r="F4819">
        <v>33839293</v>
      </c>
      <c r="G4819" s="5">
        <v>43116</v>
      </c>
    </row>
    <row r="4820" spans="1:7" x14ac:dyDescent="0.4">
      <c r="A4820">
        <v>19</v>
      </c>
      <c r="B4820" t="s">
        <v>102</v>
      </c>
      <c r="C4820" s="10">
        <v>6.12</v>
      </c>
      <c r="D4820" s="10">
        <v>0.57999999999999996</v>
      </c>
      <c r="E4820" s="16">
        <v>10.47</v>
      </c>
      <c r="F4820">
        <v>467254</v>
      </c>
      <c r="G4820" s="5">
        <v>43116</v>
      </c>
    </row>
    <row r="4821" spans="1:7" x14ac:dyDescent="0.4">
      <c r="A4821">
        <v>20</v>
      </c>
      <c r="B4821" t="s">
        <v>259</v>
      </c>
      <c r="C4821" s="10">
        <v>4.3499999999999996</v>
      </c>
      <c r="D4821" s="10">
        <v>0.4</v>
      </c>
      <c r="E4821" s="16">
        <v>10.130000000000001</v>
      </c>
      <c r="F4821">
        <v>1729792</v>
      </c>
      <c r="G4821" s="5">
        <v>43116</v>
      </c>
    </row>
    <row r="4822" spans="1:7" x14ac:dyDescent="0.4">
      <c r="A4822">
        <v>21</v>
      </c>
      <c r="B4822" t="s">
        <v>393</v>
      </c>
      <c r="C4822" s="10">
        <v>4.55</v>
      </c>
      <c r="D4822" s="10">
        <v>0.39</v>
      </c>
      <c r="E4822" s="16">
        <v>9.3699999999999992</v>
      </c>
      <c r="F4822">
        <v>161483</v>
      </c>
      <c r="G4822" s="5">
        <v>43116</v>
      </c>
    </row>
    <row r="4823" spans="1:7" x14ac:dyDescent="0.4">
      <c r="A4823">
        <v>22</v>
      </c>
      <c r="B4823" t="s">
        <v>2063</v>
      </c>
      <c r="C4823" s="10">
        <v>6.49</v>
      </c>
      <c r="D4823" s="10">
        <v>0.54</v>
      </c>
      <c r="E4823" s="16">
        <v>9.08</v>
      </c>
      <c r="F4823">
        <v>21042</v>
      </c>
      <c r="G4823" s="5">
        <v>43116</v>
      </c>
    </row>
    <row r="4824" spans="1:7" x14ac:dyDescent="0.4">
      <c r="A4824">
        <v>23</v>
      </c>
      <c r="B4824" t="s">
        <v>1342</v>
      </c>
      <c r="C4824" s="10">
        <v>3.96</v>
      </c>
      <c r="D4824" s="10">
        <v>0.33</v>
      </c>
      <c r="E4824" s="16">
        <v>9.06</v>
      </c>
      <c r="F4824">
        <v>322377</v>
      </c>
      <c r="G4824" s="5">
        <v>43116</v>
      </c>
    </row>
    <row r="4825" spans="1:7" x14ac:dyDescent="0.4">
      <c r="A4825">
        <v>24</v>
      </c>
      <c r="B4825" t="s">
        <v>351</v>
      </c>
      <c r="C4825" s="10">
        <v>4.22</v>
      </c>
      <c r="D4825" s="10">
        <v>0.35</v>
      </c>
      <c r="E4825" s="16">
        <v>9.0399999999999991</v>
      </c>
      <c r="F4825">
        <v>11143936</v>
      </c>
      <c r="G4825" s="5">
        <v>43116</v>
      </c>
    </row>
    <row r="4826" spans="1:7" x14ac:dyDescent="0.4">
      <c r="A4826">
        <v>25</v>
      </c>
      <c r="B4826" t="s">
        <v>50</v>
      </c>
      <c r="C4826" s="10">
        <v>4.41</v>
      </c>
      <c r="D4826" s="10">
        <v>0.36</v>
      </c>
      <c r="E4826" s="16">
        <v>8.89</v>
      </c>
      <c r="F4826">
        <v>2368644</v>
      </c>
      <c r="G4826" s="5">
        <v>43116</v>
      </c>
    </row>
    <row r="4827" spans="1:7" x14ac:dyDescent="0.4">
      <c r="A4827">
        <v>26</v>
      </c>
      <c r="B4827" t="s">
        <v>371</v>
      </c>
      <c r="C4827" s="10">
        <v>14.47</v>
      </c>
      <c r="D4827" s="10">
        <v>1.1599999999999999</v>
      </c>
      <c r="E4827" s="16">
        <v>8.7200000000000006</v>
      </c>
      <c r="F4827">
        <v>32210</v>
      </c>
      <c r="G4827" s="5">
        <v>43116</v>
      </c>
    </row>
    <row r="4828" spans="1:7" x14ac:dyDescent="0.4">
      <c r="A4828">
        <v>27</v>
      </c>
      <c r="B4828" t="s">
        <v>283</v>
      </c>
      <c r="C4828" s="10">
        <v>3.13</v>
      </c>
      <c r="D4828" s="10">
        <v>0.25</v>
      </c>
      <c r="E4828" s="16">
        <v>8.69</v>
      </c>
      <c r="F4828">
        <v>36092</v>
      </c>
      <c r="G4828" s="5">
        <v>43116</v>
      </c>
    </row>
    <row r="4829" spans="1:7" x14ac:dyDescent="0.4">
      <c r="A4829">
        <v>28</v>
      </c>
      <c r="B4829" t="s">
        <v>2064</v>
      </c>
      <c r="C4829" s="10">
        <v>8.6999999999999993</v>
      </c>
      <c r="D4829" s="10">
        <v>0.67</v>
      </c>
      <c r="E4829" s="16">
        <v>8.34</v>
      </c>
      <c r="F4829">
        <v>1620334</v>
      </c>
      <c r="G4829" s="5">
        <v>43116</v>
      </c>
    </row>
    <row r="4830" spans="1:7" x14ac:dyDescent="0.4">
      <c r="A4830">
        <v>29</v>
      </c>
      <c r="B4830" t="s">
        <v>532</v>
      </c>
      <c r="C4830" s="10">
        <v>26.26</v>
      </c>
      <c r="D4830" s="10">
        <v>2.0099999999999998</v>
      </c>
      <c r="E4830" s="16">
        <v>8.2899999999999991</v>
      </c>
      <c r="F4830">
        <v>686956</v>
      </c>
      <c r="G4830" s="5">
        <v>43116</v>
      </c>
    </row>
    <row r="4831" spans="1:7" x14ac:dyDescent="0.4">
      <c r="A4831">
        <v>30</v>
      </c>
      <c r="B4831" t="s">
        <v>1522</v>
      </c>
      <c r="C4831" s="10">
        <v>26.15</v>
      </c>
      <c r="D4831" s="10">
        <v>2</v>
      </c>
      <c r="E4831" s="16">
        <v>8.2799999999999994</v>
      </c>
      <c r="F4831">
        <v>424416</v>
      </c>
      <c r="G4831" s="5">
        <v>43116</v>
      </c>
    </row>
    <row r="4832" spans="1:7" x14ac:dyDescent="0.4">
      <c r="A4832">
        <v>31</v>
      </c>
      <c r="B4832" t="s">
        <v>2065</v>
      </c>
      <c r="C4832" s="10">
        <v>7.35</v>
      </c>
      <c r="D4832" s="10">
        <v>0.56000000000000005</v>
      </c>
      <c r="E4832" s="16">
        <v>8.25</v>
      </c>
      <c r="F4832">
        <v>8300796</v>
      </c>
      <c r="G4832" s="5">
        <v>43116</v>
      </c>
    </row>
    <row r="4833" spans="1:7" x14ac:dyDescent="0.4">
      <c r="A4833">
        <v>32</v>
      </c>
      <c r="B4833" t="s">
        <v>1345</v>
      </c>
      <c r="C4833" s="10">
        <v>9</v>
      </c>
      <c r="D4833" s="10">
        <v>0.66</v>
      </c>
      <c r="E4833" s="16">
        <v>7.91</v>
      </c>
      <c r="F4833">
        <v>31616</v>
      </c>
      <c r="G4833" s="5">
        <v>43116</v>
      </c>
    </row>
    <row r="4834" spans="1:7" x14ac:dyDescent="0.4">
      <c r="A4834">
        <v>33</v>
      </c>
      <c r="B4834" t="s">
        <v>339</v>
      </c>
      <c r="C4834" s="10">
        <v>18</v>
      </c>
      <c r="D4834" s="10">
        <v>1.29</v>
      </c>
      <c r="E4834" s="16">
        <v>7.72</v>
      </c>
      <c r="F4834">
        <v>58891</v>
      </c>
      <c r="G4834" s="5">
        <v>43116</v>
      </c>
    </row>
    <row r="4835" spans="1:7" x14ac:dyDescent="0.4">
      <c r="A4835">
        <v>34</v>
      </c>
      <c r="B4835" t="s">
        <v>1152</v>
      </c>
      <c r="C4835" s="10">
        <v>4.66</v>
      </c>
      <c r="D4835" s="10">
        <v>0.33</v>
      </c>
      <c r="E4835" s="16">
        <v>7.62</v>
      </c>
      <c r="F4835">
        <v>173127</v>
      </c>
      <c r="G4835" s="5">
        <v>43116</v>
      </c>
    </row>
    <row r="4836" spans="1:7" x14ac:dyDescent="0.4">
      <c r="A4836">
        <v>35</v>
      </c>
      <c r="B4836" t="s">
        <v>2066</v>
      </c>
      <c r="C4836" s="10">
        <v>14.62</v>
      </c>
      <c r="D4836" s="10">
        <v>1.03</v>
      </c>
      <c r="E4836" s="16">
        <v>7.58</v>
      </c>
      <c r="F4836">
        <v>6258875</v>
      </c>
      <c r="G4836" s="5">
        <v>43116</v>
      </c>
    </row>
    <row r="4837" spans="1:7" x14ac:dyDescent="0.4">
      <c r="A4837">
        <v>36</v>
      </c>
      <c r="B4837" t="s">
        <v>676</v>
      </c>
      <c r="C4837" s="10">
        <v>2.9</v>
      </c>
      <c r="D4837" s="10">
        <v>0.2</v>
      </c>
      <c r="E4837" s="16">
        <v>7.41</v>
      </c>
      <c r="F4837">
        <v>177171</v>
      </c>
      <c r="G4837" s="5">
        <v>43116</v>
      </c>
    </row>
    <row r="4838" spans="1:7" x14ac:dyDescent="0.4">
      <c r="A4838">
        <v>37</v>
      </c>
      <c r="B4838" t="s">
        <v>305</v>
      </c>
      <c r="C4838" s="10">
        <v>4.6399999999999997</v>
      </c>
      <c r="D4838" s="10">
        <v>0.32</v>
      </c>
      <c r="E4838" s="16">
        <v>7.41</v>
      </c>
      <c r="F4838">
        <v>1289110</v>
      </c>
      <c r="G4838" s="5">
        <v>43116</v>
      </c>
    </row>
    <row r="4839" spans="1:7" x14ac:dyDescent="0.4">
      <c r="A4839">
        <v>38</v>
      </c>
      <c r="B4839" t="s">
        <v>410</v>
      </c>
      <c r="C4839" s="10">
        <v>18.149999999999999</v>
      </c>
      <c r="D4839" s="10">
        <v>1.25</v>
      </c>
      <c r="E4839" s="16">
        <v>7.4</v>
      </c>
      <c r="F4839">
        <v>877620</v>
      </c>
      <c r="G4839" s="5">
        <v>43116</v>
      </c>
    </row>
    <row r="4840" spans="1:7" x14ac:dyDescent="0.4">
      <c r="A4840">
        <v>39</v>
      </c>
      <c r="B4840" t="s">
        <v>2067</v>
      </c>
      <c r="C4840" s="10">
        <v>5</v>
      </c>
      <c r="D4840" s="10">
        <v>0.34</v>
      </c>
      <c r="E4840" s="16">
        <v>7.3</v>
      </c>
      <c r="F4840">
        <v>894785</v>
      </c>
      <c r="G4840" s="5">
        <v>43116</v>
      </c>
    </row>
    <row r="4841" spans="1:7" x14ac:dyDescent="0.4">
      <c r="A4841">
        <v>40</v>
      </c>
      <c r="B4841" t="s">
        <v>735</v>
      </c>
      <c r="C4841" s="10">
        <v>15.39</v>
      </c>
      <c r="D4841" s="10">
        <v>1.04</v>
      </c>
      <c r="E4841" s="16">
        <v>7.25</v>
      </c>
      <c r="F4841">
        <v>23624376</v>
      </c>
      <c r="G4841" s="5">
        <v>43116</v>
      </c>
    </row>
    <row r="4842" spans="1:7" x14ac:dyDescent="0.4">
      <c r="A4842">
        <v>41</v>
      </c>
      <c r="B4842" t="s">
        <v>2068</v>
      </c>
      <c r="C4842" s="10">
        <v>32.299999999999997</v>
      </c>
      <c r="D4842" s="10">
        <v>2.14</v>
      </c>
      <c r="E4842" s="16">
        <v>7.1</v>
      </c>
      <c r="F4842">
        <v>42850</v>
      </c>
      <c r="G4842" s="5">
        <v>43116</v>
      </c>
    </row>
    <row r="4843" spans="1:7" x14ac:dyDescent="0.4">
      <c r="A4843">
        <v>42</v>
      </c>
      <c r="B4843" t="s">
        <v>830</v>
      </c>
      <c r="C4843" s="10">
        <v>8.16</v>
      </c>
      <c r="D4843" s="10">
        <v>0.52</v>
      </c>
      <c r="E4843" s="16">
        <v>6.81</v>
      </c>
      <c r="F4843">
        <v>7222300</v>
      </c>
      <c r="G4843" s="5">
        <v>43116</v>
      </c>
    </row>
    <row r="4844" spans="1:7" x14ac:dyDescent="0.4">
      <c r="A4844">
        <v>43</v>
      </c>
      <c r="B4844" t="s">
        <v>19</v>
      </c>
      <c r="C4844" s="10">
        <v>4.91</v>
      </c>
      <c r="D4844" s="10">
        <v>0.3</v>
      </c>
      <c r="E4844" s="16">
        <v>6.51</v>
      </c>
      <c r="F4844">
        <v>15460</v>
      </c>
      <c r="G4844" s="5">
        <v>43116</v>
      </c>
    </row>
    <row r="4845" spans="1:7" x14ac:dyDescent="0.4">
      <c r="A4845">
        <v>44</v>
      </c>
      <c r="B4845" t="s">
        <v>2069</v>
      </c>
      <c r="C4845" s="10">
        <v>2.4700000000000002</v>
      </c>
      <c r="D4845" s="10">
        <v>0.15</v>
      </c>
      <c r="E4845" s="16">
        <v>6.47</v>
      </c>
      <c r="F4845">
        <v>8219</v>
      </c>
      <c r="G4845" s="5">
        <v>43116</v>
      </c>
    </row>
    <row r="4846" spans="1:7" x14ac:dyDescent="0.4">
      <c r="A4846">
        <v>45</v>
      </c>
      <c r="B4846" t="s">
        <v>2070</v>
      </c>
      <c r="C4846" s="10">
        <v>3.49</v>
      </c>
      <c r="D4846" s="10">
        <v>0.21</v>
      </c>
      <c r="E4846" s="16">
        <v>6.4</v>
      </c>
      <c r="F4846">
        <v>513578</v>
      </c>
      <c r="G4846" s="5">
        <v>43116</v>
      </c>
    </row>
    <row r="4847" spans="1:7" x14ac:dyDescent="0.4">
      <c r="A4847">
        <v>46</v>
      </c>
      <c r="B4847" t="s">
        <v>2071</v>
      </c>
      <c r="C4847" s="10">
        <v>5.99</v>
      </c>
      <c r="D4847" s="10">
        <v>0.36</v>
      </c>
      <c r="E4847" s="16">
        <v>6.39</v>
      </c>
      <c r="F4847">
        <v>945080</v>
      </c>
      <c r="G4847" s="5">
        <v>43116</v>
      </c>
    </row>
    <row r="4848" spans="1:7" x14ac:dyDescent="0.4">
      <c r="A4848">
        <v>47</v>
      </c>
      <c r="B4848" t="s">
        <v>488</v>
      </c>
      <c r="C4848" s="10">
        <v>3.04</v>
      </c>
      <c r="D4848" s="10">
        <v>0.18</v>
      </c>
      <c r="E4848" s="16">
        <v>6.29</v>
      </c>
      <c r="F4848">
        <v>48975</v>
      </c>
      <c r="G4848" s="5">
        <v>43116</v>
      </c>
    </row>
    <row r="4849" spans="1:7" x14ac:dyDescent="0.4">
      <c r="A4849">
        <v>48</v>
      </c>
      <c r="B4849" t="s">
        <v>442</v>
      </c>
      <c r="C4849" s="10">
        <v>22.76</v>
      </c>
      <c r="D4849" s="10">
        <v>1.32</v>
      </c>
      <c r="E4849" s="16">
        <v>6.16</v>
      </c>
      <c r="F4849">
        <v>2629028</v>
      </c>
      <c r="G4849" s="5">
        <v>43116</v>
      </c>
    </row>
    <row r="4850" spans="1:7" x14ac:dyDescent="0.4">
      <c r="A4850">
        <v>49</v>
      </c>
      <c r="B4850" t="s">
        <v>440</v>
      </c>
      <c r="C4850" s="10">
        <v>27.44</v>
      </c>
      <c r="D4850" s="10">
        <v>1.59</v>
      </c>
      <c r="E4850" s="16">
        <v>6.15</v>
      </c>
      <c r="F4850">
        <v>62136403</v>
      </c>
      <c r="G4850" s="5">
        <v>43116</v>
      </c>
    </row>
    <row r="4851" spans="1:7" x14ac:dyDescent="0.4">
      <c r="A4851">
        <v>50</v>
      </c>
      <c r="B4851" t="s">
        <v>441</v>
      </c>
      <c r="C4851" s="10">
        <v>11.59</v>
      </c>
      <c r="D4851" s="10">
        <v>0.67</v>
      </c>
      <c r="E4851" s="16">
        <v>6.14</v>
      </c>
      <c r="F4851">
        <v>262892</v>
      </c>
      <c r="G4851" s="5">
        <v>43116</v>
      </c>
    </row>
    <row r="4852" spans="1:7" x14ac:dyDescent="0.4">
      <c r="A4852">
        <v>51</v>
      </c>
      <c r="B4852" t="s">
        <v>2072</v>
      </c>
      <c r="C4852" s="10">
        <v>2.81</v>
      </c>
      <c r="D4852" s="10">
        <v>0.16</v>
      </c>
      <c r="E4852" s="16">
        <v>6.01</v>
      </c>
      <c r="F4852">
        <v>152187</v>
      </c>
      <c r="G4852" s="5">
        <v>43116</v>
      </c>
    </row>
    <row r="4853" spans="1:7" x14ac:dyDescent="0.4">
      <c r="A4853">
        <v>52</v>
      </c>
      <c r="B4853" t="s">
        <v>2073</v>
      </c>
      <c r="C4853" s="10">
        <v>71.67</v>
      </c>
      <c r="D4853" s="10">
        <v>3.99</v>
      </c>
      <c r="E4853" s="16">
        <v>5.9</v>
      </c>
      <c r="F4853">
        <v>1108189</v>
      </c>
      <c r="G4853" s="5">
        <v>43116</v>
      </c>
    </row>
    <row r="4854" spans="1:7" x14ac:dyDescent="0.4">
      <c r="A4854">
        <v>53</v>
      </c>
      <c r="B4854" t="s">
        <v>176</v>
      </c>
      <c r="C4854" s="10">
        <v>18.16</v>
      </c>
      <c r="D4854" s="10">
        <v>1.01</v>
      </c>
      <c r="E4854" s="16">
        <v>5.89</v>
      </c>
      <c r="F4854">
        <v>164429</v>
      </c>
      <c r="G4854" s="5">
        <v>43116</v>
      </c>
    </row>
    <row r="4855" spans="1:7" x14ac:dyDescent="0.4">
      <c r="A4855">
        <v>54</v>
      </c>
      <c r="B4855" t="s">
        <v>2020</v>
      </c>
      <c r="C4855" s="10">
        <v>5.4</v>
      </c>
      <c r="D4855" s="10">
        <v>0.3</v>
      </c>
      <c r="E4855" s="16">
        <v>5.88</v>
      </c>
      <c r="F4855">
        <v>227400</v>
      </c>
      <c r="G4855" s="5">
        <v>43116</v>
      </c>
    </row>
    <row r="4856" spans="1:7" x14ac:dyDescent="0.4">
      <c r="A4856">
        <v>55</v>
      </c>
      <c r="B4856" t="s">
        <v>273</v>
      </c>
      <c r="C4856" s="10">
        <v>6.3</v>
      </c>
      <c r="D4856" s="10">
        <v>0.35</v>
      </c>
      <c r="E4856" s="16">
        <v>5.88</v>
      </c>
      <c r="F4856">
        <v>319092</v>
      </c>
      <c r="G4856" s="5">
        <v>43116</v>
      </c>
    </row>
    <row r="4857" spans="1:7" x14ac:dyDescent="0.4">
      <c r="A4857">
        <v>56</v>
      </c>
      <c r="B4857" t="s">
        <v>731</v>
      </c>
      <c r="C4857" s="10">
        <v>16.8</v>
      </c>
      <c r="D4857" s="10">
        <v>0.93</v>
      </c>
      <c r="E4857" s="16">
        <v>5.86</v>
      </c>
      <c r="F4857">
        <v>24631</v>
      </c>
      <c r="G4857" s="5">
        <v>43116</v>
      </c>
    </row>
    <row r="4858" spans="1:7" x14ac:dyDescent="0.4">
      <c r="A4858">
        <v>57</v>
      </c>
      <c r="B4858" t="s">
        <v>1369</v>
      </c>
      <c r="C4858" s="10">
        <v>23.6</v>
      </c>
      <c r="D4858" s="10">
        <v>1.3</v>
      </c>
      <c r="E4858" s="16">
        <v>5.83</v>
      </c>
      <c r="F4858">
        <v>15496</v>
      </c>
      <c r="G4858" s="5">
        <v>43116</v>
      </c>
    </row>
    <row r="4859" spans="1:7" x14ac:dyDescent="0.4">
      <c r="A4859">
        <v>58</v>
      </c>
      <c r="B4859" t="s">
        <v>2074</v>
      </c>
      <c r="C4859" s="10">
        <v>62.07</v>
      </c>
      <c r="D4859" s="10">
        <v>3.41</v>
      </c>
      <c r="E4859" s="16">
        <v>5.81</v>
      </c>
      <c r="F4859">
        <v>46490226</v>
      </c>
      <c r="G4859" s="5">
        <v>43116</v>
      </c>
    </row>
    <row r="4860" spans="1:7" x14ac:dyDescent="0.4">
      <c r="A4860">
        <v>59</v>
      </c>
      <c r="B4860" t="s">
        <v>2075</v>
      </c>
      <c r="C4860" s="10">
        <v>17.78</v>
      </c>
      <c r="D4860" s="10">
        <v>0.97</v>
      </c>
      <c r="E4860" s="16">
        <v>5.77</v>
      </c>
      <c r="F4860">
        <v>16702502</v>
      </c>
      <c r="G4860" s="5">
        <v>43116</v>
      </c>
    </row>
    <row r="4861" spans="1:7" x14ac:dyDescent="0.4">
      <c r="A4861">
        <v>60</v>
      </c>
      <c r="B4861" t="s">
        <v>2076</v>
      </c>
      <c r="C4861" s="10">
        <v>15.7</v>
      </c>
      <c r="D4861" s="10">
        <v>0.85</v>
      </c>
      <c r="E4861" s="16">
        <v>5.72</v>
      </c>
      <c r="F4861">
        <v>10426</v>
      </c>
      <c r="G4861" s="5">
        <v>43116</v>
      </c>
    </row>
    <row r="4862" spans="1:7" x14ac:dyDescent="0.4">
      <c r="A4862">
        <v>61</v>
      </c>
      <c r="B4862" t="s">
        <v>1081</v>
      </c>
      <c r="C4862" s="10">
        <v>3.91</v>
      </c>
      <c r="D4862" s="10">
        <v>0.21</v>
      </c>
      <c r="E4862" s="16">
        <v>5.68</v>
      </c>
      <c r="F4862">
        <v>127510</v>
      </c>
      <c r="G4862" s="5">
        <v>43116</v>
      </c>
    </row>
    <row r="4863" spans="1:7" x14ac:dyDescent="0.4">
      <c r="A4863">
        <v>62</v>
      </c>
      <c r="B4863" t="s">
        <v>905</v>
      </c>
      <c r="C4863" s="10">
        <v>32.340000000000003</v>
      </c>
      <c r="D4863" s="10">
        <v>1.71</v>
      </c>
      <c r="E4863" s="16">
        <v>5.58</v>
      </c>
      <c r="F4863">
        <v>332438</v>
      </c>
      <c r="G4863" s="5">
        <v>43116</v>
      </c>
    </row>
    <row r="4864" spans="1:7" x14ac:dyDescent="0.4">
      <c r="A4864">
        <v>63</v>
      </c>
      <c r="B4864" t="s">
        <v>408</v>
      </c>
      <c r="C4864" s="10">
        <v>16.47</v>
      </c>
      <c r="D4864" s="10">
        <v>0.87</v>
      </c>
      <c r="E4864" s="16">
        <v>5.58</v>
      </c>
      <c r="F4864">
        <v>827731</v>
      </c>
      <c r="G4864" s="5">
        <v>43116</v>
      </c>
    </row>
    <row r="4865" spans="1:7" x14ac:dyDescent="0.4">
      <c r="A4865">
        <v>64</v>
      </c>
      <c r="B4865" t="s">
        <v>191</v>
      </c>
      <c r="C4865" s="10">
        <v>21.13</v>
      </c>
      <c r="D4865" s="10">
        <v>1.1100000000000001</v>
      </c>
      <c r="E4865" s="16">
        <v>5.54</v>
      </c>
      <c r="F4865">
        <v>647936</v>
      </c>
      <c r="G4865" s="5">
        <v>43116</v>
      </c>
    </row>
    <row r="4866" spans="1:7" x14ac:dyDescent="0.4">
      <c r="A4866">
        <v>65</v>
      </c>
      <c r="B4866" t="s">
        <v>2077</v>
      </c>
      <c r="C4866" s="10">
        <v>55.99</v>
      </c>
      <c r="D4866" s="10">
        <v>2.93</v>
      </c>
      <c r="E4866" s="16">
        <v>5.52</v>
      </c>
      <c r="F4866">
        <v>89968</v>
      </c>
      <c r="G4866" s="5">
        <v>43116</v>
      </c>
    </row>
    <row r="4867" spans="1:7" x14ac:dyDescent="0.4">
      <c r="A4867">
        <v>66</v>
      </c>
      <c r="B4867" t="s">
        <v>467</v>
      </c>
      <c r="C4867" s="10">
        <v>8.44</v>
      </c>
      <c r="D4867" s="10">
        <v>0.44</v>
      </c>
      <c r="E4867" s="16">
        <v>5.46</v>
      </c>
      <c r="F4867">
        <v>19971</v>
      </c>
      <c r="G4867" s="5">
        <v>43116</v>
      </c>
    </row>
    <row r="4868" spans="1:7" x14ac:dyDescent="0.4">
      <c r="A4868">
        <v>67</v>
      </c>
      <c r="B4868" t="s">
        <v>28</v>
      </c>
      <c r="C4868" s="10">
        <v>6.3</v>
      </c>
      <c r="D4868" s="10">
        <v>0.33</v>
      </c>
      <c r="E4868" s="16">
        <v>5.44</v>
      </c>
      <c r="F4868">
        <v>38027</v>
      </c>
      <c r="G4868" s="5">
        <v>43116</v>
      </c>
    </row>
    <row r="4869" spans="1:7" x14ac:dyDescent="0.4">
      <c r="A4869">
        <v>68</v>
      </c>
      <c r="B4869" t="s">
        <v>738</v>
      </c>
      <c r="C4869" s="10">
        <v>2.14</v>
      </c>
      <c r="D4869" s="10">
        <v>0.11</v>
      </c>
      <c r="E4869" s="16">
        <v>5.42</v>
      </c>
      <c r="F4869">
        <v>333722</v>
      </c>
      <c r="G4869" s="5">
        <v>43116</v>
      </c>
    </row>
    <row r="4870" spans="1:7" x14ac:dyDescent="0.4">
      <c r="A4870">
        <v>69</v>
      </c>
      <c r="B4870" t="s">
        <v>2044</v>
      </c>
      <c r="C4870" s="10">
        <v>6.05</v>
      </c>
      <c r="D4870" s="10">
        <v>0.31</v>
      </c>
      <c r="E4870" s="16">
        <v>5.4</v>
      </c>
      <c r="F4870">
        <v>46203</v>
      </c>
      <c r="G4870" s="5">
        <v>43116</v>
      </c>
    </row>
    <row r="4871" spans="1:7" x14ac:dyDescent="0.4">
      <c r="A4871">
        <v>70</v>
      </c>
      <c r="B4871" t="s">
        <v>1851</v>
      </c>
      <c r="C4871" s="10">
        <v>3.53</v>
      </c>
      <c r="D4871" s="10">
        <v>0.18</v>
      </c>
      <c r="E4871" s="16">
        <v>5.37</v>
      </c>
      <c r="F4871">
        <v>8355</v>
      </c>
      <c r="G4871" s="5">
        <v>43116</v>
      </c>
    </row>
    <row r="4872" spans="1:7" x14ac:dyDescent="0.4">
      <c r="A4872">
        <v>71</v>
      </c>
      <c r="B4872" t="s">
        <v>582</v>
      </c>
      <c r="C4872" s="10">
        <v>19.82</v>
      </c>
      <c r="D4872" s="10">
        <v>1.01</v>
      </c>
      <c r="E4872" s="16">
        <v>5.37</v>
      </c>
      <c r="F4872">
        <v>12122571</v>
      </c>
      <c r="G4872" s="5">
        <v>43116</v>
      </c>
    </row>
    <row r="4873" spans="1:7" x14ac:dyDescent="0.4">
      <c r="A4873">
        <v>72</v>
      </c>
      <c r="B4873" t="s">
        <v>445</v>
      </c>
      <c r="C4873" s="10">
        <v>10.220000000000001</v>
      </c>
      <c r="D4873" s="10">
        <v>0.52</v>
      </c>
      <c r="E4873" s="16">
        <v>5.36</v>
      </c>
      <c r="F4873">
        <v>2436327</v>
      </c>
      <c r="G4873" s="5">
        <v>43116</v>
      </c>
    </row>
    <row r="4874" spans="1:7" x14ac:dyDescent="0.4">
      <c r="A4874">
        <v>73</v>
      </c>
      <c r="B4874" t="s">
        <v>2078</v>
      </c>
      <c r="C4874" s="10">
        <v>17.75</v>
      </c>
      <c r="D4874" s="10">
        <v>0.9</v>
      </c>
      <c r="E4874" s="16">
        <v>5.34</v>
      </c>
      <c r="F4874">
        <v>713902</v>
      </c>
      <c r="G4874" s="5">
        <v>43116</v>
      </c>
    </row>
    <row r="4875" spans="1:7" x14ac:dyDescent="0.4">
      <c r="A4875">
        <v>74</v>
      </c>
      <c r="B4875" t="s">
        <v>2079</v>
      </c>
      <c r="C4875" s="10">
        <v>10.51</v>
      </c>
      <c r="D4875" s="10">
        <v>0.53</v>
      </c>
      <c r="E4875" s="16">
        <v>5.31</v>
      </c>
      <c r="F4875">
        <v>14961903</v>
      </c>
      <c r="G4875" s="5">
        <v>43116</v>
      </c>
    </row>
    <row r="4876" spans="1:7" x14ac:dyDescent="0.4">
      <c r="A4876">
        <v>75</v>
      </c>
      <c r="B4876" t="s">
        <v>318</v>
      </c>
      <c r="C4876" s="10">
        <v>19.91</v>
      </c>
      <c r="D4876" s="10">
        <v>0.99</v>
      </c>
      <c r="E4876" s="16">
        <v>5.23</v>
      </c>
      <c r="F4876">
        <v>22576</v>
      </c>
      <c r="G4876" s="5">
        <v>43116</v>
      </c>
    </row>
    <row r="4877" spans="1:7" x14ac:dyDescent="0.4">
      <c r="A4877">
        <v>76</v>
      </c>
      <c r="B4877" t="s">
        <v>1012</v>
      </c>
      <c r="C4877" s="10">
        <v>3.05</v>
      </c>
      <c r="D4877" s="10">
        <v>0.15</v>
      </c>
      <c r="E4877" s="16">
        <v>5.17</v>
      </c>
      <c r="F4877">
        <v>258611</v>
      </c>
      <c r="G4877" s="5">
        <v>43116</v>
      </c>
    </row>
    <row r="4878" spans="1:7" x14ac:dyDescent="0.4">
      <c r="A4878">
        <v>77</v>
      </c>
      <c r="B4878" t="s">
        <v>2080</v>
      </c>
      <c r="C4878" s="10">
        <v>11.44</v>
      </c>
      <c r="D4878" s="10">
        <v>0.56000000000000005</v>
      </c>
      <c r="E4878" s="16">
        <v>5.15</v>
      </c>
      <c r="F4878">
        <v>220221</v>
      </c>
      <c r="G4878" s="5">
        <v>43116</v>
      </c>
    </row>
    <row r="4879" spans="1:7" x14ac:dyDescent="0.4">
      <c r="A4879">
        <v>78</v>
      </c>
      <c r="B4879" t="s">
        <v>2081</v>
      </c>
      <c r="C4879" s="10">
        <v>3.48</v>
      </c>
      <c r="D4879" s="10">
        <v>0.17</v>
      </c>
      <c r="E4879" s="16">
        <v>5.14</v>
      </c>
      <c r="F4879">
        <v>133349</v>
      </c>
      <c r="G4879" s="5">
        <v>43116</v>
      </c>
    </row>
    <row r="4880" spans="1:7" x14ac:dyDescent="0.4">
      <c r="A4880">
        <v>79</v>
      </c>
      <c r="B4880" t="s">
        <v>383</v>
      </c>
      <c r="C4880" s="10">
        <v>22.85</v>
      </c>
      <c r="D4880" s="10">
        <v>1.1000000000000001</v>
      </c>
      <c r="E4880" s="16">
        <v>5.0599999999999996</v>
      </c>
      <c r="F4880">
        <v>99404</v>
      </c>
      <c r="G4880" s="5">
        <v>43116</v>
      </c>
    </row>
    <row r="4881" spans="1:7" x14ac:dyDescent="0.4">
      <c r="A4881">
        <v>80</v>
      </c>
      <c r="B4881" t="s">
        <v>1820</v>
      </c>
      <c r="C4881" s="10">
        <v>75.760000000000005</v>
      </c>
      <c r="D4881" s="10">
        <v>3.63</v>
      </c>
      <c r="E4881" s="16">
        <v>5.03</v>
      </c>
      <c r="F4881">
        <v>516016</v>
      </c>
      <c r="G4881" s="5">
        <v>43116</v>
      </c>
    </row>
    <row r="4882" spans="1:7" x14ac:dyDescent="0.4">
      <c r="A4882">
        <v>81</v>
      </c>
      <c r="B4882" t="s">
        <v>705</v>
      </c>
      <c r="C4882" s="10">
        <v>2.73</v>
      </c>
      <c r="D4882" s="10">
        <v>0.13</v>
      </c>
      <c r="E4882" s="16">
        <v>5</v>
      </c>
      <c r="F4882">
        <v>26003</v>
      </c>
      <c r="G4882" s="5">
        <v>43116</v>
      </c>
    </row>
    <row r="4883" spans="1:7" x14ac:dyDescent="0.4">
      <c r="A4883">
        <v>82</v>
      </c>
      <c r="B4883" t="s">
        <v>1857</v>
      </c>
      <c r="C4883" s="10">
        <v>35.229999999999997</v>
      </c>
      <c r="D4883" s="10">
        <v>1.65</v>
      </c>
      <c r="E4883" s="16">
        <v>4.91</v>
      </c>
      <c r="F4883">
        <v>1581001</v>
      </c>
      <c r="G4883" s="5">
        <v>43116</v>
      </c>
    </row>
    <row r="4884" spans="1:7" x14ac:dyDescent="0.4">
      <c r="A4884">
        <v>83</v>
      </c>
      <c r="B4884" t="s">
        <v>210</v>
      </c>
      <c r="C4884" s="10">
        <v>4.5</v>
      </c>
      <c r="D4884" s="10">
        <v>0.21</v>
      </c>
      <c r="E4884" s="16">
        <v>4.9000000000000004</v>
      </c>
      <c r="F4884">
        <v>310733</v>
      </c>
      <c r="G4884" s="5">
        <v>43116</v>
      </c>
    </row>
    <row r="4885" spans="1:7" x14ac:dyDescent="0.4">
      <c r="A4885">
        <v>84</v>
      </c>
      <c r="B4885" t="s">
        <v>2082</v>
      </c>
      <c r="C4885" s="10">
        <v>21.66</v>
      </c>
      <c r="D4885" s="10">
        <v>1</v>
      </c>
      <c r="E4885" s="16">
        <v>4.84</v>
      </c>
      <c r="F4885">
        <v>1855950</v>
      </c>
      <c r="G4885" s="5">
        <v>43116</v>
      </c>
    </row>
    <row r="4886" spans="1:7" x14ac:dyDescent="0.4">
      <c r="A4886">
        <v>85</v>
      </c>
      <c r="B4886" t="s">
        <v>1033</v>
      </c>
      <c r="C4886" s="10">
        <v>81.67</v>
      </c>
      <c r="D4886" s="10">
        <v>3.75</v>
      </c>
      <c r="E4886" s="16">
        <v>4.8099999999999996</v>
      </c>
      <c r="F4886">
        <v>1504516</v>
      </c>
      <c r="G4886" s="5">
        <v>43116</v>
      </c>
    </row>
    <row r="4887" spans="1:7" x14ac:dyDescent="0.4">
      <c r="A4887">
        <v>86</v>
      </c>
      <c r="B4887" t="s">
        <v>1267</v>
      </c>
      <c r="C4887" s="10">
        <v>7.44</v>
      </c>
      <c r="D4887" s="10">
        <v>0.34</v>
      </c>
      <c r="E4887" s="16">
        <v>4.79</v>
      </c>
      <c r="F4887">
        <v>713059</v>
      </c>
      <c r="G4887" s="5">
        <v>43116</v>
      </c>
    </row>
    <row r="4888" spans="1:7" x14ac:dyDescent="0.4">
      <c r="A4888">
        <v>87</v>
      </c>
      <c r="B4888" t="s">
        <v>2083</v>
      </c>
      <c r="C4888" s="10">
        <v>8.98</v>
      </c>
      <c r="D4888" s="10">
        <v>0.41</v>
      </c>
      <c r="E4888" s="16">
        <v>4.78</v>
      </c>
      <c r="F4888">
        <v>30376</v>
      </c>
      <c r="G4888" s="5">
        <v>43116</v>
      </c>
    </row>
    <row r="4889" spans="1:7" x14ac:dyDescent="0.4">
      <c r="A4889">
        <v>88</v>
      </c>
      <c r="B4889" t="s">
        <v>569</v>
      </c>
      <c r="C4889" s="10">
        <v>3.95</v>
      </c>
      <c r="D4889" s="10">
        <v>0.18</v>
      </c>
      <c r="E4889" s="16">
        <v>4.7699999999999996</v>
      </c>
      <c r="F4889">
        <v>525505</v>
      </c>
      <c r="G4889" s="5">
        <v>43116</v>
      </c>
    </row>
    <row r="4890" spans="1:7" x14ac:dyDescent="0.4">
      <c r="A4890">
        <v>89</v>
      </c>
      <c r="B4890" t="s">
        <v>2084</v>
      </c>
      <c r="C4890" s="10">
        <v>2.42</v>
      </c>
      <c r="D4890" s="10">
        <v>0.11</v>
      </c>
      <c r="E4890" s="16">
        <v>4.76</v>
      </c>
      <c r="F4890">
        <v>681852</v>
      </c>
      <c r="G4890" s="5">
        <v>43116</v>
      </c>
    </row>
    <row r="4891" spans="1:7" x14ac:dyDescent="0.4">
      <c r="A4891">
        <v>90</v>
      </c>
      <c r="B4891" t="s">
        <v>1446</v>
      </c>
      <c r="C4891" s="10">
        <v>10.199999999999999</v>
      </c>
      <c r="D4891" s="10">
        <v>0.46</v>
      </c>
      <c r="E4891" s="16">
        <v>4.72</v>
      </c>
      <c r="F4891">
        <v>143920</v>
      </c>
      <c r="G4891" s="5">
        <v>43116</v>
      </c>
    </row>
    <row r="4892" spans="1:7" x14ac:dyDescent="0.4">
      <c r="A4892">
        <v>91</v>
      </c>
      <c r="B4892" t="s">
        <v>1184</v>
      </c>
      <c r="C4892" s="10">
        <v>2.91</v>
      </c>
      <c r="D4892" s="10">
        <v>0.13</v>
      </c>
      <c r="E4892" s="16">
        <v>4.68</v>
      </c>
      <c r="F4892">
        <v>75751</v>
      </c>
      <c r="G4892" s="5">
        <v>43116</v>
      </c>
    </row>
    <row r="4893" spans="1:7" x14ac:dyDescent="0.4">
      <c r="A4893">
        <v>92</v>
      </c>
      <c r="B4893" t="s">
        <v>1994</v>
      </c>
      <c r="C4893" s="10">
        <v>4.51</v>
      </c>
      <c r="D4893" s="10">
        <v>0.2</v>
      </c>
      <c r="E4893" s="16">
        <v>4.6399999999999997</v>
      </c>
      <c r="F4893">
        <v>1539239</v>
      </c>
      <c r="G4893" s="5">
        <v>43116</v>
      </c>
    </row>
    <row r="4894" spans="1:7" x14ac:dyDescent="0.4">
      <c r="A4894">
        <v>93</v>
      </c>
      <c r="B4894" t="s">
        <v>1423</v>
      </c>
      <c r="C4894" s="10">
        <v>2.98</v>
      </c>
      <c r="D4894" s="10">
        <v>0.13</v>
      </c>
      <c r="E4894" s="16">
        <v>4.5599999999999996</v>
      </c>
      <c r="F4894">
        <v>501571</v>
      </c>
      <c r="G4894" s="5">
        <v>43116</v>
      </c>
    </row>
    <row r="4895" spans="1:7" x14ac:dyDescent="0.4">
      <c r="A4895">
        <v>94</v>
      </c>
      <c r="B4895" t="s">
        <v>149</v>
      </c>
      <c r="C4895" s="10">
        <v>2.2999999999999998</v>
      </c>
      <c r="D4895" s="10">
        <v>0.1</v>
      </c>
      <c r="E4895" s="16">
        <v>4.54</v>
      </c>
      <c r="F4895">
        <v>192539</v>
      </c>
      <c r="G4895" s="5">
        <v>43116</v>
      </c>
    </row>
    <row r="4896" spans="1:7" x14ac:dyDescent="0.4">
      <c r="A4896">
        <v>95</v>
      </c>
      <c r="B4896" t="s">
        <v>85</v>
      </c>
      <c r="C4896" s="10">
        <v>6.35</v>
      </c>
      <c r="D4896" s="10">
        <v>0.27</v>
      </c>
      <c r="E4896" s="16">
        <v>4.53</v>
      </c>
      <c r="F4896">
        <v>2216764</v>
      </c>
      <c r="G4896" s="5">
        <v>43116</v>
      </c>
    </row>
    <row r="4897" spans="1:7" x14ac:dyDescent="0.4">
      <c r="A4897">
        <v>96</v>
      </c>
      <c r="B4897" t="s">
        <v>1946</v>
      </c>
      <c r="C4897" s="10">
        <v>14.4</v>
      </c>
      <c r="D4897" s="10">
        <v>0.62</v>
      </c>
      <c r="E4897" s="16">
        <v>4.5</v>
      </c>
      <c r="F4897">
        <v>920404</v>
      </c>
      <c r="G4897" s="5">
        <v>43116</v>
      </c>
    </row>
    <row r="4898" spans="1:7" x14ac:dyDescent="0.4">
      <c r="A4898">
        <v>97</v>
      </c>
      <c r="B4898" t="s">
        <v>2085</v>
      </c>
      <c r="C4898" s="10">
        <v>11.65</v>
      </c>
      <c r="D4898" s="10">
        <v>0.5</v>
      </c>
      <c r="E4898" s="16">
        <v>4.4800000000000004</v>
      </c>
      <c r="F4898">
        <v>2926337</v>
      </c>
      <c r="G4898" s="5">
        <v>43116</v>
      </c>
    </row>
    <row r="4899" spans="1:7" x14ac:dyDescent="0.4">
      <c r="A4899">
        <v>98</v>
      </c>
      <c r="B4899" t="s">
        <v>931</v>
      </c>
      <c r="C4899" s="10">
        <v>30.44</v>
      </c>
      <c r="D4899" s="10">
        <v>1.3</v>
      </c>
      <c r="E4899" s="16">
        <v>4.46</v>
      </c>
      <c r="F4899">
        <v>990430</v>
      </c>
      <c r="G4899" s="5">
        <v>43116</v>
      </c>
    </row>
    <row r="4900" spans="1:7" x14ac:dyDescent="0.4">
      <c r="A4900">
        <v>99</v>
      </c>
      <c r="B4900" t="s">
        <v>567</v>
      </c>
      <c r="C4900" s="10">
        <v>2.5</v>
      </c>
      <c r="D4900" s="10">
        <v>0.11</v>
      </c>
      <c r="E4900" s="16">
        <v>4.45</v>
      </c>
      <c r="F4900">
        <v>36378</v>
      </c>
      <c r="G4900" s="5">
        <v>43116</v>
      </c>
    </row>
    <row r="4901" spans="1:7" x14ac:dyDescent="0.4">
      <c r="A4901">
        <v>100</v>
      </c>
      <c r="B4901" t="s">
        <v>2086</v>
      </c>
      <c r="C4901" s="10">
        <v>89.63</v>
      </c>
      <c r="D4901" s="10">
        <v>3.81</v>
      </c>
      <c r="E4901" s="16">
        <v>4.4400000000000004</v>
      </c>
      <c r="F4901">
        <v>2097834</v>
      </c>
      <c r="G4901" s="5">
        <v>43116</v>
      </c>
    </row>
    <row r="4902" spans="1:7" x14ac:dyDescent="0.4">
      <c r="A4902">
        <v>1</v>
      </c>
      <c r="B4902" t="s">
        <v>212</v>
      </c>
      <c r="C4902" s="10">
        <v>8.89</v>
      </c>
      <c r="D4902" s="10">
        <v>5.37</v>
      </c>
      <c r="E4902" s="16">
        <v>152.56</v>
      </c>
      <c r="F4902">
        <v>297067</v>
      </c>
      <c r="G4902" s="5">
        <v>43102</v>
      </c>
    </row>
    <row r="4903" spans="1:7" x14ac:dyDescent="0.4">
      <c r="A4903">
        <v>2</v>
      </c>
      <c r="B4903" t="s">
        <v>1166</v>
      </c>
      <c r="C4903" s="10">
        <v>11.63</v>
      </c>
      <c r="D4903" s="10">
        <v>4.13</v>
      </c>
      <c r="E4903" s="16">
        <v>55.07</v>
      </c>
      <c r="F4903">
        <v>354038</v>
      </c>
      <c r="G4903" s="5">
        <v>43102</v>
      </c>
    </row>
    <row r="4904" spans="1:7" x14ac:dyDescent="0.4">
      <c r="A4904">
        <v>3</v>
      </c>
      <c r="B4904" t="s">
        <v>1270</v>
      </c>
      <c r="C4904" s="10">
        <v>3.72</v>
      </c>
      <c r="D4904" s="10">
        <v>1.0900000000000001</v>
      </c>
      <c r="E4904" s="16">
        <v>41.45</v>
      </c>
      <c r="F4904">
        <v>13208987</v>
      </c>
      <c r="G4904" s="5">
        <v>43102</v>
      </c>
    </row>
    <row r="4905" spans="1:7" x14ac:dyDescent="0.4">
      <c r="A4905">
        <v>4</v>
      </c>
      <c r="B4905" t="s">
        <v>49</v>
      </c>
      <c r="C4905" s="10">
        <v>5.2</v>
      </c>
      <c r="D4905" s="10">
        <v>1.3</v>
      </c>
      <c r="E4905" s="16">
        <v>33.33</v>
      </c>
      <c r="F4905">
        <v>2423073</v>
      </c>
      <c r="G4905" s="5">
        <v>43102</v>
      </c>
    </row>
    <row r="4906" spans="1:7" x14ac:dyDescent="0.4">
      <c r="A4906">
        <v>5</v>
      </c>
      <c r="B4906" t="s">
        <v>568</v>
      </c>
      <c r="C4906" s="10">
        <v>2.68</v>
      </c>
      <c r="D4906" s="10">
        <v>0.61</v>
      </c>
      <c r="E4906" s="16">
        <v>29.47</v>
      </c>
      <c r="F4906">
        <v>18751673</v>
      </c>
      <c r="G4906" s="5">
        <v>43102</v>
      </c>
    </row>
    <row r="4907" spans="1:7" x14ac:dyDescent="0.4">
      <c r="A4907">
        <v>6</v>
      </c>
      <c r="B4907" t="s">
        <v>577</v>
      </c>
      <c r="C4907" s="10">
        <v>5.15</v>
      </c>
      <c r="D4907" s="10">
        <v>1.02</v>
      </c>
      <c r="E4907" s="16">
        <v>24.7</v>
      </c>
      <c r="F4907">
        <v>162849</v>
      </c>
      <c r="G4907" s="5">
        <v>43102</v>
      </c>
    </row>
    <row r="4908" spans="1:7" x14ac:dyDescent="0.4">
      <c r="A4908">
        <v>7</v>
      </c>
      <c r="B4908" t="s">
        <v>471</v>
      </c>
      <c r="C4908" s="10">
        <v>17.29</v>
      </c>
      <c r="D4908" s="10">
        <v>3.39</v>
      </c>
      <c r="E4908" s="16">
        <v>24.39</v>
      </c>
      <c r="F4908">
        <v>2401997</v>
      </c>
      <c r="G4908" s="5">
        <v>43102</v>
      </c>
    </row>
    <row r="4909" spans="1:7" x14ac:dyDescent="0.4">
      <c r="A4909">
        <v>8</v>
      </c>
      <c r="B4909" t="s">
        <v>18</v>
      </c>
      <c r="C4909" s="10">
        <v>13.83</v>
      </c>
      <c r="D4909" s="10">
        <v>2.7</v>
      </c>
      <c r="E4909" s="16">
        <v>24.26</v>
      </c>
      <c r="F4909">
        <v>3826045</v>
      </c>
      <c r="G4909" s="5">
        <v>43102</v>
      </c>
    </row>
    <row r="4910" spans="1:7" x14ac:dyDescent="0.4">
      <c r="A4910">
        <v>9</v>
      </c>
      <c r="B4910" t="s">
        <v>439</v>
      </c>
      <c r="C4910" s="10">
        <v>2.54</v>
      </c>
      <c r="D4910" s="10">
        <v>0.49</v>
      </c>
      <c r="E4910" s="16">
        <v>23.9</v>
      </c>
      <c r="F4910">
        <v>4223179</v>
      </c>
      <c r="G4910" s="5">
        <v>43102</v>
      </c>
    </row>
    <row r="4911" spans="1:7" x14ac:dyDescent="0.4">
      <c r="A4911">
        <v>10</v>
      </c>
      <c r="B4911" t="s">
        <v>522</v>
      </c>
      <c r="C4911" s="10">
        <v>4.6500000000000004</v>
      </c>
      <c r="D4911" s="10">
        <v>0.85</v>
      </c>
      <c r="E4911" s="16">
        <v>22.37</v>
      </c>
      <c r="F4911">
        <v>3677513</v>
      </c>
      <c r="G4911" s="5">
        <v>43102</v>
      </c>
    </row>
    <row r="4912" spans="1:7" x14ac:dyDescent="0.4">
      <c r="A4912">
        <v>11</v>
      </c>
      <c r="B4912" t="s">
        <v>2087</v>
      </c>
      <c r="C4912" s="10">
        <v>6.17</v>
      </c>
      <c r="D4912" s="10">
        <v>1.07</v>
      </c>
      <c r="E4912" s="16">
        <v>20.98</v>
      </c>
      <c r="F4912">
        <v>2846023</v>
      </c>
      <c r="G4912" s="5">
        <v>43102</v>
      </c>
    </row>
    <row r="4913" spans="1:7" x14ac:dyDescent="0.4">
      <c r="A4913">
        <v>12</v>
      </c>
      <c r="B4913" t="s">
        <v>1985</v>
      </c>
      <c r="C4913" s="10">
        <v>217</v>
      </c>
      <c r="D4913" s="10">
        <v>37</v>
      </c>
      <c r="E4913" s="16">
        <v>20.56</v>
      </c>
      <c r="F4913">
        <v>2595</v>
      </c>
      <c r="G4913" s="5">
        <v>43102</v>
      </c>
    </row>
    <row r="4914" spans="1:7" x14ac:dyDescent="0.4">
      <c r="A4914">
        <v>13</v>
      </c>
      <c r="B4914" t="s">
        <v>757</v>
      </c>
      <c r="C4914" s="10">
        <v>11.53</v>
      </c>
      <c r="D4914" s="10">
        <v>1.91</v>
      </c>
      <c r="E4914" s="16">
        <v>19.850000000000001</v>
      </c>
      <c r="F4914">
        <v>4826810</v>
      </c>
      <c r="G4914" s="5">
        <v>43102</v>
      </c>
    </row>
    <row r="4915" spans="1:7" x14ac:dyDescent="0.4">
      <c r="A4915">
        <v>14</v>
      </c>
      <c r="B4915" t="s">
        <v>2088</v>
      </c>
      <c r="C4915" s="10">
        <v>12.43</v>
      </c>
      <c r="D4915" s="10">
        <v>2.04</v>
      </c>
      <c r="E4915" s="16">
        <v>19.63</v>
      </c>
      <c r="F4915">
        <v>2932919</v>
      </c>
      <c r="G4915" s="5">
        <v>43102</v>
      </c>
    </row>
    <row r="4916" spans="1:7" x14ac:dyDescent="0.4">
      <c r="A4916">
        <v>15</v>
      </c>
      <c r="B4916" t="s">
        <v>1082</v>
      </c>
      <c r="C4916" s="10">
        <v>3.87</v>
      </c>
      <c r="D4916" s="10">
        <v>0.6</v>
      </c>
      <c r="E4916" s="16">
        <v>18.350000000000001</v>
      </c>
      <c r="F4916">
        <v>174589</v>
      </c>
      <c r="G4916" s="5">
        <v>43102</v>
      </c>
    </row>
    <row r="4917" spans="1:7" x14ac:dyDescent="0.4">
      <c r="A4917">
        <v>16</v>
      </c>
      <c r="B4917" t="s">
        <v>335</v>
      </c>
      <c r="C4917" s="10">
        <v>5.43</v>
      </c>
      <c r="D4917" s="10">
        <v>0.81</v>
      </c>
      <c r="E4917" s="16">
        <v>17.53</v>
      </c>
      <c r="F4917">
        <v>44845</v>
      </c>
      <c r="G4917" s="5">
        <v>43102</v>
      </c>
    </row>
    <row r="4918" spans="1:7" x14ac:dyDescent="0.4">
      <c r="A4918">
        <v>17</v>
      </c>
      <c r="B4918" t="s">
        <v>2089</v>
      </c>
      <c r="C4918" s="10">
        <v>6.05</v>
      </c>
      <c r="D4918" s="10">
        <v>0.9</v>
      </c>
      <c r="E4918" s="16">
        <v>17.48</v>
      </c>
      <c r="F4918">
        <v>271538</v>
      </c>
      <c r="G4918" s="5">
        <v>43102</v>
      </c>
    </row>
    <row r="4919" spans="1:7" x14ac:dyDescent="0.4">
      <c r="A4919">
        <v>18</v>
      </c>
      <c r="B4919" t="s">
        <v>2090</v>
      </c>
      <c r="C4919" s="10">
        <v>11.47</v>
      </c>
      <c r="D4919" s="10">
        <v>1.67</v>
      </c>
      <c r="E4919" s="16">
        <v>17.04</v>
      </c>
      <c r="F4919">
        <v>229013</v>
      </c>
      <c r="G4919" s="5">
        <v>43102</v>
      </c>
    </row>
    <row r="4920" spans="1:7" x14ac:dyDescent="0.4">
      <c r="A4920">
        <v>19</v>
      </c>
      <c r="B4920" t="s">
        <v>1176</v>
      </c>
      <c r="C4920" s="10">
        <v>13.47</v>
      </c>
      <c r="D4920" s="10">
        <v>1.95</v>
      </c>
      <c r="E4920" s="16">
        <v>16.93</v>
      </c>
      <c r="F4920">
        <v>3834796</v>
      </c>
      <c r="G4920" s="5">
        <v>43102</v>
      </c>
    </row>
    <row r="4921" spans="1:7" x14ac:dyDescent="0.4">
      <c r="A4921">
        <v>20</v>
      </c>
      <c r="B4921" t="s">
        <v>739</v>
      </c>
      <c r="C4921" s="10">
        <v>15.76</v>
      </c>
      <c r="D4921" s="10">
        <v>2.2599999999999998</v>
      </c>
      <c r="E4921" s="16">
        <v>16.739999999999998</v>
      </c>
      <c r="F4921">
        <v>348031</v>
      </c>
      <c r="G4921" s="5">
        <v>43102</v>
      </c>
    </row>
    <row r="4922" spans="1:7" x14ac:dyDescent="0.4">
      <c r="A4922">
        <v>21</v>
      </c>
      <c r="B4922" t="s">
        <v>581</v>
      </c>
      <c r="C4922" s="10">
        <v>4.59</v>
      </c>
      <c r="D4922" s="10">
        <v>0.62</v>
      </c>
      <c r="E4922" s="16">
        <v>15.62</v>
      </c>
      <c r="F4922">
        <v>307159</v>
      </c>
      <c r="G4922" s="5">
        <v>43102</v>
      </c>
    </row>
    <row r="4923" spans="1:7" x14ac:dyDescent="0.4">
      <c r="A4923">
        <v>22</v>
      </c>
      <c r="B4923" t="s">
        <v>166</v>
      </c>
      <c r="C4923" s="10">
        <v>3.86</v>
      </c>
      <c r="D4923" s="10">
        <v>0.52</v>
      </c>
      <c r="E4923" s="16">
        <v>15.57</v>
      </c>
      <c r="F4923">
        <v>1270057</v>
      </c>
      <c r="G4923" s="5">
        <v>43102</v>
      </c>
    </row>
    <row r="4924" spans="1:7" x14ac:dyDescent="0.4">
      <c r="A4924">
        <v>23</v>
      </c>
      <c r="B4924" t="s">
        <v>790</v>
      </c>
      <c r="C4924" s="10">
        <v>2.89</v>
      </c>
      <c r="D4924" s="10">
        <v>0.38</v>
      </c>
      <c r="E4924" s="16">
        <v>15.13</v>
      </c>
      <c r="F4924">
        <v>2758</v>
      </c>
      <c r="G4924" s="5">
        <v>43102</v>
      </c>
    </row>
    <row r="4925" spans="1:7" x14ac:dyDescent="0.4">
      <c r="A4925">
        <v>24</v>
      </c>
      <c r="B4925" t="s">
        <v>84</v>
      </c>
      <c r="C4925" s="10">
        <v>21.25</v>
      </c>
      <c r="D4925" s="10">
        <v>2.76</v>
      </c>
      <c r="E4925" s="16">
        <v>14.93</v>
      </c>
      <c r="F4925">
        <v>718236</v>
      </c>
      <c r="G4925" s="5">
        <v>43102</v>
      </c>
    </row>
    <row r="4926" spans="1:7" x14ac:dyDescent="0.4">
      <c r="A4926">
        <v>25</v>
      </c>
      <c r="B4926" t="s">
        <v>743</v>
      </c>
      <c r="C4926" s="10">
        <v>22.34</v>
      </c>
      <c r="D4926" s="10">
        <v>2.89</v>
      </c>
      <c r="E4926" s="16">
        <v>14.86</v>
      </c>
      <c r="F4926">
        <v>16853219</v>
      </c>
      <c r="G4926" s="5">
        <v>43102</v>
      </c>
    </row>
    <row r="4927" spans="1:7" x14ac:dyDescent="0.4">
      <c r="A4927">
        <v>26</v>
      </c>
      <c r="B4927" t="s">
        <v>1470</v>
      </c>
      <c r="C4927" s="10">
        <v>2.66</v>
      </c>
      <c r="D4927" s="10">
        <v>0.34</v>
      </c>
      <c r="E4927" s="16">
        <v>14.66</v>
      </c>
      <c r="F4927">
        <v>5038719</v>
      </c>
      <c r="G4927" s="5">
        <v>43102</v>
      </c>
    </row>
    <row r="4928" spans="1:7" x14ac:dyDescent="0.4">
      <c r="A4928">
        <v>27</v>
      </c>
      <c r="B4928" t="s">
        <v>1013</v>
      </c>
      <c r="C4928" s="10">
        <v>3.21</v>
      </c>
      <c r="D4928" s="10">
        <v>0.41</v>
      </c>
      <c r="E4928" s="16">
        <v>14.64</v>
      </c>
      <c r="F4928">
        <v>8259802</v>
      </c>
      <c r="G4928" s="5">
        <v>43102</v>
      </c>
    </row>
    <row r="4929" spans="1:7" x14ac:dyDescent="0.4">
      <c r="A4929">
        <v>28</v>
      </c>
      <c r="B4929" t="s">
        <v>830</v>
      </c>
      <c r="C4929" s="10">
        <v>7.23</v>
      </c>
      <c r="D4929" s="10">
        <v>0.92</v>
      </c>
      <c r="E4929" s="16">
        <v>14.58</v>
      </c>
      <c r="F4929">
        <v>5748672</v>
      </c>
      <c r="G4929" s="5">
        <v>43102</v>
      </c>
    </row>
    <row r="4930" spans="1:7" x14ac:dyDescent="0.4">
      <c r="A4930">
        <v>29</v>
      </c>
      <c r="B4930" t="s">
        <v>2027</v>
      </c>
      <c r="C4930" s="10">
        <v>5.3</v>
      </c>
      <c r="D4930" s="10">
        <v>0.64</v>
      </c>
      <c r="E4930" s="16">
        <v>13.73</v>
      </c>
      <c r="F4930">
        <v>1720116</v>
      </c>
      <c r="G4930" s="5">
        <v>43102</v>
      </c>
    </row>
    <row r="4931" spans="1:7" x14ac:dyDescent="0.4">
      <c r="A4931">
        <v>30</v>
      </c>
      <c r="B4931" t="s">
        <v>310</v>
      </c>
      <c r="C4931" s="10">
        <v>4.68</v>
      </c>
      <c r="D4931" s="10">
        <v>0.55000000000000004</v>
      </c>
      <c r="E4931" s="16">
        <v>13.32</v>
      </c>
      <c r="F4931">
        <v>3058286</v>
      </c>
      <c r="G4931" s="5">
        <v>43102</v>
      </c>
    </row>
    <row r="4932" spans="1:7" x14ac:dyDescent="0.4">
      <c r="A4932">
        <v>31</v>
      </c>
      <c r="B4932" t="s">
        <v>401</v>
      </c>
      <c r="C4932" s="10">
        <v>21.73</v>
      </c>
      <c r="D4932" s="10">
        <v>2.54</v>
      </c>
      <c r="E4932" s="16">
        <v>13.24</v>
      </c>
      <c r="F4932">
        <v>68845</v>
      </c>
      <c r="G4932" s="5">
        <v>43102</v>
      </c>
    </row>
    <row r="4933" spans="1:7" x14ac:dyDescent="0.4">
      <c r="A4933">
        <v>32</v>
      </c>
      <c r="B4933" t="s">
        <v>1965</v>
      </c>
      <c r="C4933" s="10">
        <v>36.57</v>
      </c>
      <c r="D4933" s="10">
        <v>4.26</v>
      </c>
      <c r="E4933" s="16">
        <v>13.18</v>
      </c>
      <c r="F4933">
        <v>436216</v>
      </c>
      <c r="G4933" s="5">
        <v>43102</v>
      </c>
    </row>
    <row r="4934" spans="1:7" x14ac:dyDescent="0.4">
      <c r="A4934">
        <v>33</v>
      </c>
      <c r="B4934" t="s">
        <v>196</v>
      </c>
      <c r="C4934" s="10">
        <v>3.47</v>
      </c>
      <c r="D4934" s="10">
        <v>0.4</v>
      </c>
      <c r="E4934" s="16">
        <v>13.03</v>
      </c>
      <c r="F4934">
        <v>79223</v>
      </c>
      <c r="G4934" s="5">
        <v>43102</v>
      </c>
    </row>
    <row r="4935" spans="1:7" x14ac:dyDescent="0.4">
      <c r="A4935">
        <v>34</v>
      </c>
      <c r="B4935" t="s">
        <v>74</v>
      </c>
      <c r="C4935" s="10">
        <v>20.5</v>
      </c>
      <c r="D4935" s="10">
        <v>2.3199999999999998</v>
      </c>
      <c r="E4935" s="16">
        <v>12.76</v>
      </c>
      <c r="F4935">
        <v>338597</v>
      </c>
      <c r="G4935" s="5">
        <v>43102</v>
      </c>
    </row>
    <row r="4936" spans="1:7" x14ac:dyDescent="0.4">
      <c r="A4936">
        <v>35</v>
      </c>
      <c r="B4936" t="s">
        <v>162</v>
      </c>
      <c r="C4936" s="10">
        <v>4.54</v>
      </c>
      <c r="D4936" s="10">
        <v>0.51</v>
      </c>
      <c r="E4936" s="16">
        <v>12.66</v>
      </c>
      <c r="F4936">
        <v>37863</v>
      </c>
      <c r="G4936" s="5">
        <v>43102</v>
      </c>
    </row>
    <row r="4937" spans="1:7" x14ac:dyDescent="0.4">
      <c r="A4937">
        <v>36</v>
      </c>
      <c r="B4937" t="s">
        <v>2091</v>
      </c>
      <c r="C4937" s="10">
        <v>4.07</v>
      </c>
      <c r="D4937" s="10">
        <v>0.45</v>
      </c>
      <c r="E4937" s="16">
        <v>12.43</v>
      </c>
      <c r="F4937">
        <v>48807</v>
      </c>
      <c r="G4937" s="5">
        <v>43102</v>
      </c>
    </row>
    <row r="4938" spans="1:7" x14ac:dyDescent="0.4">
      <c r="A4938">
        <v>37</v>
      </c>
      <c r="B4938" t="s">
        <v>1568</v>
      </c>
      <c r="C4938" s="10">
        <v>3.72</v>
      </c>
      <c r="D4938" s="10">
        <v>0.41</v>
      </c>
      <c r="E4938" s="16">
        <v>12.39</v>
      </c>
      <c r="F4938">
        <v>5099887</v>
      </c>
      <c r="G4938" s="5">
        <v>43102</v>
      </c>
    </row>
    <row r="4939" spans="1:7" x14ac:dyDescent="0.4">
      <c r="A4939">
        <v>38</v>
      </c>
      <c r="B4939" t="s">
        <v>985</v>
      </c>
      <c r="C4939" s="10">
        <v>4.12</v>
      </c>
      <c r="D4939" s="10">
        <v>0.45</v>
      </c>
      <c r="E4939" s="16">
        <v>12.26</v>
      </c>
      <c r="F4939">
        <v>377327</v>
      </c>
      <c r="G4939" s="5">
        <v>43102</v>
      </c>
    </row>
    <row r="4940" spans="1:7" x14ac:dyDescent="0.4">
      <c r="A4940">
        <v>39</v>
      </c>
      <c r="B4940" t="s">
        <v>824</v>
      </c>
      <c r="C4940" s="10">
        <v>4.13</v>
      </c>
      <c r="D4940" s="10">
        <v>0.45</v>
      </c>
      <c r="E4940" s="16">
        <v>12.23</v>
      </c>
      <c r="F4940">
        <v>1366390</v>
      </c>
      <c r="G4940" s="5">
        <v>43102</v>
      </c>
    </row>
    <row r="4941" spans="1:7" x14ac:dyDescent="0.4">
      <c r="A4941">
        <v>40</v>
      </c>
      <c r="B4941" t="s">
        <v>2092</v>
      </c>
      <c r="C4941" s="10">
        <v>7.64</v>
      </c>
      <c r="D4941" s="10">
        <v>0.83</v>
      </c>
      <c r="E4941" s="16">
        <v>12.19</v>
      </c>
      <c r="F4941">
        <v>1498230</v>
      </c>
      <c r="G4941" s="5">
        <v>43102</v>
      </c>
    </row>
    <row r="4942" spans="1:7" x14ac:dyDescent="0.4">
      <c r="A4942">
        <v>41</v>
      </c>
      <c r="B4942" t="s">
        <v>2093</v>
      </c>
      <c r="C4942" s="10">
        <v>4.93</v>
      </c>
      <c r="D4942" s="10">
        <v>0.53</v>
      </c>
      <c r="E4942" s="16">
        <v>12.05</v>
      </c>
      <c r="F4942">
        <v>380325</v>
      </c>
      <c r="G4942" s="5">
        <v>43102</v>
      </c>
    </row>
    <row r="4943" spans="1:7" x14ac:dyDescent="0.4">
      <c r="A4943">
        <v>42</v>
      </c>
      <c r="B4943" t="s">
        <v>185</v>
      </c>
      <c r="C4943" s="10">
        <v>4.75</v>
      </c>
      <c r="D4943" s="10">
        <v>0.51</v>
      </c>
      <c r="E4943" s="16">
        <v>12.03</v>
      </c>
      <c r="F4943">
        <v>585983</v>
      </c>
      <c r="G4943" s="5">
        <v>43102</v>
      </c>
    </row>
    <row r="4944" spans="1:7" x14ac:dyDescent="0.4">
      <c r="A4944">
        <v>43</v>
      </c>
      <c r="B4944" t="s">
        <v>923</v>
      </c>
      <c r="C4944" s="10">
        <v>7.95</v>
      </c>
      <c r="D4944" s="10">
        <v>0.85</v>
      </c>
      <c r="E4944" s="16">
        <v>11.97</v>
      </c>
      <c r="F4944">
        <v>2030712</v>
      </c>
      <c r="G4944" s="5">
        <v>43102</v>
      </c>
    </row>
    <row r="4945" spans="1:7" x14ac:dyDescent="0.4">
      <c r="A4945">
        <v>44</v>
      </c>
      <c r="B4945" t="s">
        <v>980</v>
      </c>
      <c r="C4945" s="10">
        <v>21.51</v>
      </c>
      <c r="D4945" s="10">
        <v>2.29</v>
      </c>
      <c r="E4945" s="16">
        <v>11.91</v>
      </c>
      <c r="F4945">
        <v>1071646</v>
      </c>
      <c r="G4945" s="5">
        <v>43102</v>
      </c>
    </row>
    <row r="4946" spans="1:7" x14ac:dyDescent="0.4">
      <c r="A4946">
        <v>45</v>
      </c>
      <c r="B4946" t="s">
        <v>2094</v>
      </c>
      <c r="C4946" s="10">
        <v>2.92</v>
      </c>
      <c r="D4946" s="10">
        <v>0.31</v>
      </c>
      <c r="E4946" s="16">
        <v>11.88</v>
      </c>
      <c r="F4946">
        <v>896218</v>
      </c>
      <c r="G4946" s="5">
        <v>43102</v>
      </c>
    </row>
    <row r="4947" spans="1:7" x14ac:dyDescent="0.4">
      <c r="A4947">
        <v>46</v>
      </c>
      <c r="B4947" t="s">
        <v>88</v>
      </c>
      <c r="C4947" s="10">
        <v>2.38</v>
      </c>
      <c r="D4947" s="10">
        <v>0.25</v>
      </c>
      <c r="E4947" s="16">
        <v>11.74</v>
      </c>
      <c r="F4947">
        <v>1199150</v>
      </c>
      <c r="G4947" s="5">
        <v>43102</v>
      </c>
    </row>
    <row r="4948" spans="1:7" x14ac:dyDescent="0.4">
      <c r="A4948">
        <v>47</v>
      </c>
      <c r="B4948" t="s">
        <v>1051</v>
      </c>
      <c r="C4948" s="10">
        <v>34.32</v>
      </c>
      <c r="D4948" s="10">
        <v>3.59</v>
      </c>
      <c r="E4948" s="16">
        <v>11.68</v>
      </c>
      <c r="F4948">
        <v>2131479</v>
      </c>
      <c r="G4948" s="5">
        <v>43102</v>
      </c>
    </row>
    <row r="4949" spans="1:7" x14ac:dyDescent="0.4">
      <c r="A4949">
        <v>48</v>
      </c>
      <c r="B4949" t="s">
        <v>161</v>
      </c>
      <c r="C4949" s="10">
        <v>4.6500000000000004</v>
      </c>
      <c r="D4949" s="10">
        <v>0.48</v>
      </c>
      <c r="E4949" s="16">
        <v>11.51</v>
      </c>
      <c r="F4949">
        <v>606880</v>
      </c>
      <c r="G4949" s="5">
        <v>43102</v>
      </c>
    </row>
    <row r="4950" spans="1:7" x14ac:dyDescent="0.4">
      <c r="A4950">
        <v>49</v>
      </c>
      <c r="B4950" t="s">
        <v>2095</v>
      </c>
      <c r="C4950" s="10">
        <v>10.8</v>
      </c>
      <c r="D4950" s="10">
        <v>1.1000000000000001</v>
      </c>
      <c r="E4950" s="16">
        <v>11.34</v>
      </c>
      <c r="F4950">
        <v>140593</v>
      </c>
      <c r="G4950" s="5">
        <v>43102</v>
      </c>
    </row>
    <row r="4951" spans="1:7" x14ac:dyDescent="0.4">
      <c r="A4951">
        <v>50</v>
      </c>
      <c r="B4951" t="s">
        <v>1362</v>
      </c>
      <c r="C4951" s="10">
        <v>8.65</v>
      </c>
      <c r="D4951" s="10">
        <v>0.88</v>
      </c>
      <c r="E4951" s="16">
        <v>11.33</v>
      </c>
      <c r="F4951">
        <v>2259879</v>
      </c>
      <c r="G4951" s="5">
        <v>43102</v>
      </c>
    </row>
    <row r="4952" spans="1:7" x14ac:dyDescent="0.4">
      <c r="A4952">
        <v>51</v>
      </c>
      <c r="B4952" t="s">
        <v>177</v>
      </c>
      <c r="C4952" s="10">
        <v>5.24</v>
      </c>
      <c r="D4952" s="10">
        <v>0.53</v>
      </c>
      <c r="E4952" s="16">
        <v>11.25</v>
      </c>
      <c r="F4952">
        <v>892884</v>
      </c>
      <c r="G4952" s="5">
        <v>43102</v>
      </c>
    </row>
    <row r="4953" spans="1:7" x14ac:dyDescent="0.4">
      <c r="A4953">
        <v>52</v>
      </c>
      <c r="B4953" t="s">
        <v>1182</v>
      </c>
      <c r="C4953" s="10">
        <v>25.21</v>
      </c>
      <c r="D4953" s="10">
        <v>2.54</v>
      </c>
      <c r="E4953" s="16">
        <v>11.2</v>
      </c>
      <c r="F4953">
        <v>284720</v>
      </c>
      <c r="G4953" s="5">
        <v>43102</v>
      </c>
    </row>
    <row r="4954" spans="1:7" x14ac:dyDescent="0.4">
      <c r="A4954">
        <v>53</v>
      </c>
      <c r="B4954" t="s">
        <v>1075</v>
      </c>
      <c r="C4954" s="10">
        <v>12.5</v>
      </c>
      <c r="D4954" s="10">
        <v>1.25</v>
      </c>
      <c r="E4954" s="16">
        <v>11.11</v>
      </c>
      <c r="F4954">
        <v>120330</v>
      </c>
      <c r="G4954" s="5">
        <v>43102</v>
      </c>
    </row>
    <row r="4955" spans="1:7" x14ac:dyDescent="0.4">
      <c r="A4955">
        <v>54</v>
      </c>
      <c r="B4955" t="s">
        <v>545</v>
      </c>
      <c r="C4955" s="10">
        <v>2.95</v>
      </c>
      <c r="D4955" s="10">
        <v>0.28999999999999998</v>
      </c>
      <c r="E4955" s="16">
        <v>10.9</v>
      </c>
      <c r="F4955">
        <v>110227</v>
      </c>
      <c r="G4955" s="5">
        <v>43102</v>
      </c>
    </row>
    <row r="4956" spans="1:7" x14ac:dyDescent="0.4">
      <c r="A4956">
        <v>55</v>
      </c>
      <c r="B4956" t="s">
        <v>1033</v>
      </c>
      <c r="C4956" s="10">
        <v>71.66</v>
      </c>
      <c r="D4956" s="10">
        <v>6.99</v>
      </c>
      <c r="E4956" s="16">
        <v>10.81</v>
      </c>
      <c r="F4956">
        <v>2380112</v>
      </c>
      <c r="G4956" s="5">
        <v>43102</v>
      </c>
    </row>
    <row r="4957" spans="1:7" x14ac:dyDescent="0.4">
      <c r="A4957">
        <v>56</v>
      </c>
      <c r="B4957" t="s">
        <v>1170</v>
      </c>
      <c r="C4957" s="10">
        <v>5.44</v>
      </c>
      <c r="D4957" s="10">
        <v>0.53</v>
      </c>
      <c r="E4957" s="16">
        <v>10.79</v>
      </c>
      <c r="F4957">
        <v>2456286</v>
      </c>
      <c r="G4957" s="5">
        <v>43102</v>
      </c>
    </row>
    <row r="4958" spans="1:7" x14ac:dyDescent="0.4">
      <c r="A4958">
        <v>57</v>
      </c>
      <c r="B4958" t="s">
        <v>882</v>
      </c>
      <c r="C4958" s="10">
        <v>3.5</v>
      </c>
      <c r="D4958" s="10">
        <v>0.34</v>
      </c>
      <c r="E4958" s="16">
        <v>10.76</v>
      </c>
      <c r="F4958">
        <v>48650550</v>
      </c>
      <c r="G4958" s="5">
        <v>43102</v>
      </c>
    </row>
    <row r="4959" spans="1:7" x14ac:dyDescent="0.4">
      <c r="A4959">
        <v>58</v>
      </c>
      <c r="B4959" t="s">
        <v>1338</v>
      </c>
      <c r="C4959" s="10">
        <v>7.75</v>
      </c>
      <c r="D4959" s="10">
        <v>0.75</v>
      </c>
      <c r="E4959" s="16">
        <v>10.71</v>
      </c>
      <c r="F4959">
        <v>33140</v>
      </c>
      <c r="G4959" s="5">
        <v>43102</v>
      </c>
    </row>
    <row r="4960" spans="1:7" x14ac:dyDescent="0.4">
      <c r="A4960">
        <v>59</v>
      </c>
      <c r="B4960" t="s">
        <v>584</v>
      </c>
      <c r="C4960" s="10">
        <v>4.16</v>
      </c>
      <c r="D4960" s="10">
        <v>0.4</v>
      </c>
      <c r="E4960" s="16">
        <v>10.64</v>
      </c>
      <c r="F4960">
        <v>3565844</v>
      </c>
      <c r="G4960" s="5">
        <v>43102</v>
      </c>
    </row>
    <row r="4961" spans="1:7" x14ac:dyDescent="0.4">
      <c r="A4961">
        <v>60</v>
      </c>
      <c r="B4961" t="s">
        <v>1400</v>
      </c>
      <c r="C4961" s="10">
        <v>3.15</v>
      </c>
      <c r="D4961" s="10">
        <v>0.3</v>
      </c>
      <c r="E4961" s="16">
        <v>10.53</v>
      </c>
      <c r="F4961">
        <v>50750</v>
      </c>
      <c r="G4961" s="5">
        <v>43102</v>
      </c>
    </row>
    <row r="4962" spans="1:7" x14ac:dyDescent="0.4">
      <c r="A4962">
        <v>61</v>
      </c>
      <c r="B4962" t="s">
        <v>2096</v>
      </c>
      <c r="C4962" s="10">
        <v>5.7</v>
      </c>
      <c r="D4962" s="10">
        <v>0.54</v>
      </c>
      <c r="E4962" s="16">
        <v>10.47</v>
      </c>
      <c r="F4962">
        <v>7786</v>
      </c>
      <c r="G4962" s="5">
        <v>43102</v>
      </c>
    </row>
    <row r="4963" spans="1:7" x14ac:dyDescent="0.4">
      <c r="A4963">
        <v>62</v>
      </c>
      <c r="B4963" t="s">
        <v>2097</v>
      </c>
      <c r="C4963" s="10">
        <v>8.3699999999999992</v>
      </c>
      <c r="D4963" s="10">
        <v>0.79</v>
      </c>
      <c r="E4963" s="16">
        <v>10.42</v>
      </c>
      <c r="F4963">
        <v>342497</v>
      </c>
      <c r="G4963" s="5">
        <v>43102</v>
      </c>
    </row>
    <row r="4964" spans="1:7" x14ac:dyDescent="0.4">
      <c r="A4964">
        <v>63</v>
      </c>
      <c r="B4964" t="s">
        <v>1949</v>
      </c>
      <c r="C4964" s="10">
        <v>2.65</v>
      </c>
      <c r="D4964" s="10">
        <v>0.25</v>
      </c>
      <c r="E4964" s="16">
        <v>10.42</v>
      </c>
      <c r="F4964">
        <v>594846</v>
      </c>
      <c r="G4964" s="5">
        <v>43102</v>
      </c>
    </row>
    <row r="4965" spans="1:7" x14ac:dyDescent="0.4">
      <c r="A4965">
        <v>64</v>
      </c>
      <c r="B4965" t="s">
        <v>823</v>
      </c>
      <c r="C4965" s="10">
        <v>3.18</v>
      </c>
      <c r="D4965" s="10">
        <v>0.3</v>
      </c>
      <c r="E4965" s="16">
        <v>10.42</v>
      </c>
      <c r="F4965">
        <v>100694</v>
      </c>
      <c r="G4965" s="5">
        <v>43102</v>
      </c>
    </row>
    <row r="4966" spans="1:7" x14ac:dyDescent="0.4">
      <c r="A4966">
        <v>65</v>
      </c>
      <c r="B4966" t="s">
        <v>1383</v>
      </c>
      <c r="C4966" s="10">
        <v>4.4800000000000004</v>
      </c>
      <c r="D4966" s="10">
        <v>0.42</v>
      </c>
      <c r="E4966" s="16">
        <v>10.34</v>
      </c>
      <c r="F4966">
        <v>1574620</v>
      </c>
      <c r="G4966" s="5">
        <v>43102</v>
      </c>
    </row>
    <row r="4967" spans="1:7" x14ac:dyDescent="0.4">
      <c r="A4967">
        <v>66</v>
      </c>
      <c r="B4967" t="s">
        <v>1922</v>
      </c>
      <c r="C4967" s="10">
        <v>13.35</v>
      </c>
      <c r="D4967" s="10">
        <v>1.25</v>
      </c>
      <c r="E4967" s="16">
        <v>10.33</v>
      </c>
      <c r="F4967">
        <v>338794</v>
      </c>
      <c r="G4967" s="5">
        <v>43102</v>
      </c>
    </row>
    <row r="4968" spans="1:7" x14ac:dyDescent="0.4">
      <c r="A4968">
        <v>67</v>
      </c>
      <c r="B4968" t="s">
        <v>746</v>
      </c>
      <c r="C4968" s="10">
        <v>37.520000000000003</v>
      </c>
      <c r="D4968" s="10">
        <v>3.5</v>
      </c>
      <c r="E4968" s="16">
        <v>10.29</v>
      </c>
      <c r="F4968">
        <v>1039018</v>
      </c>
      <c r="G4968" s="5">
        <v>43102</v>
      </c>
    </row>
    <row r="4969" spans="1:7" x14ac:dyDescent="0.4">
      <c r="A4969">
        <v>68</v>
      </c>
      <c r="B4969" t="s">
        <v>1226</v>
      </c>
      <c r="C4969" s="10">
        <v>6.24</v>
      </c>
      <c r="D4969" s="10">
        <v>0.57999999999999996</v>
      </c>
      <c r="E4969" s="16">
        <v>10.25</v>
      </c>
      <c r="F4969">
        <v>24972807</v>
      </c>
      <c r="G4969" s="5">
        <v>43102</v>
      </c>
    </row>
    <row r="4970" spans="1:7" x14ac:dyDescent="0.4">
      <c r="A4970">
        <v>69</v>
      </c>
      <c r="B4970" t="s">
        <v>926</v>
      </c>
      <c r="C4970" s="10">
        <v>14.6</v>
      </c>
      <c r="D4970" s="10">
        <v>1.35</v>
      </c>
      <c r="E4970" s="16">
        <v>10.19</v>
      </c>
      <c r="F4970">
        <v>1203518</v>
      </c>
      <c r="G4970" s="5">
        <v>43102</v>
      </c>
    </row>
    <row r="4971" spans="1:7" x14ac:dyDescent="0.4">
      <c r="A4971">
        <v>70</v>
      </c>
      <c r="B4971" t="s">
        <v>498</v>
      </c>
      <c r="C4971" s="10">
        <v>3.58</v>
      </c>
      <c r="D4971" s="10">
        <v>0.33</v>
      </c>
      <c r="E4971" s="16">
        <v>10.15</v>
      </c>
      <c r="F4971">
        <v>375896</v>
      </c>
      <c r="G4971" s="5">
        <v>43102</v>
      </c>
    </row>
    <row r="4972" spans="1:7" x14ac:dyDescent="0.4">
      <c r="A4972">
        <v>71</v>
      </c>
      <c r="B4972" t="s">
        <v>837</v>
      </c>
      <c r="C4972" s="10">
        <v>10.210000000000001</v>
      </c>
      <c r="D4972" s="10">
        <v>0.94</v>
      </c>
      <c r="E4972" s="16">
        <v>10.14</v>
      </c>
      <c r="F4972">
        <v>19833</v>
      </c>
      <c r="G4972" s="5">
        <v>43102</v>
      </c>
    </row>
    <row r="4973" spans="1:7" x14ac:dyDescent="0.4">
      <c r="A4973">
        <v>72</v>
      </c>
      <c r="B4973" t="s">
        <v>2098</v>
      </c>
      <c r="C4973" s="10">
        <v>158.86000000000001</v>
      </c>
      <c r="D4973" s="10">
        <v>14.43</v>
      </c>
      <c r="E4973" s="16">
        <v>9.99</v>
      </c>
      <c r="F4973">
        <v>1001990</v>
      </c>
      <c r="G4973" s="5">
        <v>43102</v>
      </c>
    </row>
    <row r="4974" spans="1:7" x14ac:dyDescent="0.4">
      <c r="A4974">
        <v>73</v>
      </c>
      <c r="B4974" t="s">
        <v>82</v>
      </c>
      <c r="C4974" s="10">
        <v>4.32</v>
      </c>
      <c r="D4974" s="10">
        <v>0.39</v>
      </c>
      <c r="E4974" s="16">
        <v>9.92</v>
      </c>
      <c r="F4974">
        <v>89308</v>
      </c>
      <c r="G4974" s="5">
        <v>43102</v>
      </c>
    </row>
    <row r="4975" spans="1:7" x14ac:dyDescent="0.4">
      <c r="A4975">
        <v>74</v>
      </c>
      <c r="B4975" t="s">
        <v>1931</v>
      </c>
      <c r="C4975" s="10">
        <v>2.4500000000000002</v>
      </c>
      <c r="D4975" s="10">
        <v>0.22</v>
      </c>
      <c r="E4975" s="16">
        <v>9.8699999999999992</v>
      </c>
      <c r="F4975">
        <v>7663366</v>
      </c>
      <c r="G4975" s="5">
        <v>43102</v>
      </c>
    </row>
    <row r="4976" spans="1:7" x14ac:dyDescent="0.4">
      <c r="A4976">
        <v>75</v>
      </c>
      <c r="B4976" t="s">
        <v>227</v>
      </c>
      <c r="C4976" s="10">
        <v>2.23</v>
      </c>
      <c r="D4976" s="10">
        <v>0.2</v>
      </c>
      <c r="E4976" s="16">
        <v>9.85</v>
      </c>
      <c r="F4976">
        <v>956461</v>
      </c>
      <c r="G4976" s="5">
        <v>43102</v>
      </c>
    </row>
    <row r="4977" spans="1:7" x14ac:dyDescent="0.4">
      <c r="A4977">
        <v>76</v>
      </c>
      <c r="B4977" t="s">
        <v>1977</v>
      </c>
      <c r="C4977" s="10">
        <v>2.7</v>
      </c>
      <c r="D4977" s="10">
        <v>0.24</v>
      </c>
      <c r="E4977" s="16">
        <v>9.76</v>
      </c>
      <c r="F4977">
        <v>631401</v>
      </c>
      <c r="G4977" s="5">
        <v>43102</v>
      </c>
    </row>
    <row r="4978" spans="1:7" x14ac:dyDescent="0.4">
      <c r="A4978">
        <v>77</v>
      </c>
      <c r="B4978" t="s">
        <v>1636</v>
      </c>
      <c r="C4978" s="10">
        <v>9.23</v>
      </c>
      <c r="D4978" s="10">
        <v>0.82</v>
      </c>
      <c r="E4978" s="16">
        <v>9.75</v>
      </c>
      <c r="F4978">
        <v>540335</v>
      </c>
      <c r="G4978" s="5">
        <v>43102</v>
      </c>
    </row>
    <row r="4979" spans="1:7" x14ac:dyDescent="0.4">
      <c r="A4979">
        <v>78</v>
      </c>
      <c r="B4979" t="s">
        <v>1030</v>
      </c>
      <c r="C4979" s="10">
        <v>6.27</v>
      </c>
      <c r="D4979" s="10">
        <v>0.55000000000000004</v>
      </c>
      <c r="E4979" s="16">
        <v>9.6199999999999992</v>
      </c>
      <c r="F4979">
        <v>436735</v>
      </c>
      <c r="G4979" s="5">
        <v>43102</v>
      </c>
    </row>
    <row r="4980" spans="1:7" x14ac:dyDescent="0.4">
      <c r="A4980">
        <v>79</v>
      </c>
      <c r="B4980" t="s">
        <v>1223</v>
      </c>
      <c r="C4980" s="10">
        <v>7.9</v>
      </c>
      <c r="D4980" s="10">
        <v>0.69</v>
      </c>
      <c r="E4980" s="16">
        <v>9.57</v>
      </c>
      <c r="F4980">
        <v>16769172</v>
      </c>
      <c r="G4980" s="5">
        <v>43102</v>
      </c>
    </row>
    <row r="4981" spans="1:7" x14ac:dyDescent="0.4">
      <c r="A4981">
        <v>80</v>
      </c>
      <c r="B4981" t="s">
        <v>628</v>
      </c>
      <c r="C4981" s="10">
        <v>2.87</v>
      </c>
      <c r="D4981" s="10">
        <v>0.25</v>
      </c>
      <c r="E4981" s="16">
        <v>9.5399999999999991</v>
      </c>
      <c r="F4981">
        <v>701370</v>
      </c>
      <c r="G4981" s="5">
        <v>43102</v>
      </c>
    </row>
    <row r="4982" spans="1:7" x14ac:dyDescent="0.4">
      <c r="A4982">
        <v>81</v>
      </c>
      <c r="B4982" t="s">
        <v>922</v>
      </c>
      <c r="C4982" s="10">
        <v>44.1</v>
      </c>
      <c r="D4982" s="10">
        <v>3.82</v>
      </c>
      <c r="E4982" s="16">
        <v>9.48</v>
      </c>
      <c r="F4982">
        <v>503256</v>
      </c>
      <c r="G4982" s="5">
        <v>43102</v>
      </c>
    </row>
    <row r="4983" spans="1:7" x14ac:dyDescent="0.4">
      <c r="A4983">
        <v>82</v>
      </c>
      <c r="B4983" t="s">
        <v>1104</v>
      </c>
      <c r="C4983" s="10">
        <v>8.64</v>
      </c>
      <c r="D4983" s="10">
        <v>0.74</v>
      </c>
      <c r="E4983" s="16">
        <v>9.3699999999999992</v>
      </c>
      <c r="F4983">
        <v>119295</v>
      </c>
      <c r="G4983" s="5">
        <v>43102</v>
      </c>
    </row>
    <row r="4984" spans="1:7" x14ac:dyDescent="0.4">
      <c r="A4984">
        <v>83</v>
      </c>
      <c r="B4984" t="s">
        <v>1086</v>
      </c>
      <c r="C4984" s="10">
        <v>20.25</v>
      </c>
      <c r="D4984" s="10">
        <v>1.73</v>
      </c>
      <c r="E4984" s="16">
        <v>9.34</v>
      </c>
      <c r="F4984">
        <v>1365129</v>
      </c>
      <c r="G4984" s="5">
        <v>43102</v>
      </c>
    </row>
    <row r="4985" spans="1:7" x14ac:dyDescent="0.4">
      <c r="A4985">
        <v>84</v>
      </c>
      <c r="B4985" t="s">
        <v>1408</v>
      </c>
      <c r="C4985" s="10">
        <v>7.92</v>
      </c>
      <c r="D4985" s="10">
        <v>0.68</v>
      </c>
      <c r="E4985" s="16">
        <v>9.31</v>
      </c>
      <c r="F4985">
        <v>88693</v>
      </c>
      <c r="G4985" s="5">
        <v>43102</v>
      </c>
    </row>
    <row r="4986" spans="1:7" x14ac:dyDescent="0.4">
      <c r="A4986">
        <v>85</v>
      </c>
      <c r="B4986" t="s">
        <v>523</v>
      </c>
      <c r="C4986" s="10">
        <v>10.95</v>
      </c>
      <c r="D4986" s="10">
        <v>0.93</v>
      </c>
      <c r="E4986" s="16">
        <v>9.2799999999999994</v>
      </c>
      <c r="F4986">
        <v>241855</v>
      </c>
      <c r="G4986" s="5">
        <v>43102</v>
      </c>
    </row>
    <row r="4987" spans="1:7" x14ac:dyDescent="0.4">
      <c r="A4987">
        <v>86</v>
      </c>
      <c r="B4987" t="s">
        <v>1857</v>
      </c>
      <c r="C4987" s="10">
        <v>35.57</v>
      </c>
      <c r="D4987" s="10">
        <v>3</v>
      </c>
      <c r="E4987" s="16">
        <v>9.2100000000000009</v>
      </c>
      <c r="F4987">
        <v>4864850</v>
      </c>
      <c r="G4987" s="5">
        <v>43102</v>
      </c>
    </row>
    <row r="4988" spans="1:7" x14ac:dyDescent="0.4">
      <c r="A4988">
        <v>87</v>
      </c>
      <c r="B4988" t="s">
        <v>2099</v>
      </c>
      <c r="C4988" s="10">
        <v>11.42</v>
      </c>
      <c r="D4988" s="10">
        <v>0.96</v>
      </c>
      <c r="E4988" s="16">
        <v>9.18</v>
      </c>
      <c r="F4988">
        <v>712892</v>
      </c>
      <c r="G4988" s="5">
        <v>43102</v>
      </c>
    </row>
    <row r="4989" spans="1:7" x14ac:dyDescent="0.4">
      <c r="A4989">
        <v>88</v>
      </c>
      <c r="B4989" t="s">
        <v>1340</v>
      </c>
      <c r="C4989" s="10">
        <v>16.8</v>
      </c>
      <c r="D4989" s="10">
        <v>1.41</v>
      </c>
      <c r="E4989" s="16">
        <v>9.16</v>
      </c>
      <c r="F4989">
        <v>5439380</v>
      </c>
      <c r="G4989" s="5">
        <v>43102</v>
      </c>
    </row>
    <row r="4990" spans="1:7" x14ac:dyDescent="0.4">
      <c r="A4990">
        <v>89</v>
      </c>
      <c r="B4990" t="s">
        <v>974</v>
      </c>
      <c r="C4990" s="10">
        <v>3.1</v>
      </c>
      <c r="D4990" s="10">
        <v>0.26</v>
      </c>
      <c r="E4990" s="16">
        <v>9.15</v>
      </c>
      <c r="F4990">
        <v>1235354</v>
      </c>
      <c r="G4990" s="5">
        <v>43102</v>
      </c>
    </row>
    <row r="4991" spans="1:7" x14ac:dyDescent="0.4">
      <c r="A4991">
        <v>90</v>
      </c>
      <c r="B4991" t="s">
        <v>125</v>
      </c>
      <c r="C4991" s="10">
        <v>10.98</v>
      </c>
      <c r="D4991" s="10">
        <v>0.92</v>
      </c>
      <c r="E4991" s="16">
        <v>9.15</v>
      </c>
      <c r="F4991">
        <v>101081</v>
      </c>
      <c r="G4991" s="5">
        <v>43102</v>
      </c>
    </row>
    <row r="4992" spans="1:7" x14ac:dyDescent="0.4">
      <c r="A4992">
        <v>91</v>
      </c>
      <c r="B4992" t="s">
        <v>80</v>
      </c>
      <c r="C4992" s="10">
        <v>7.18</v>
      </c>
      <c r="D4992" s="10">
        <v>0.6</v>
      </c>
      <c r="E4992" s="16">
        <v>9.1199999999999992</v>
      </c>
      <c r="F4992">
        <v>977824</v>
      </c>
      <c r="G4992" s="5">
        <v>43102</v>
      </c>
    </row>
    <row r="4993" spans="1:7" x14ac:dyDescent="0.4">
      <c r="A4993">
        <v>92</v>
      </c>
      <c r="B4993" t="s">
        <v>787</v>
      </c>
      <c r="C4993" s="10">
        <v>6.99</v>
      </c>
      <c r="D4993" s="10">
        <v>0.57999999999999996</v>
      </c>
      <c r="E4993" s="16">
        <v>9.0500000000000007</v>
      </c>
      <c r="F4993">
        <v>3259886</v>
      </c>
      <c r="G4993" s="5">
        <v>43102</v>
      </c>
    </row>
    <row r="4994" spans="1:7" x14ac:dyDescent="0.4">
      <c r="A4994">
        <v>93</v>
      </c>
      <c r="B4994" t="s">
        <v>1617</v>
      </c>
      <c r="C4994" s="10">
        <v>79.33</v>
      </c>
      <c r="D4994" s="10">
        <v>6.58</v>
      </c>
      <c r="E4994" s="16">
        <v>9.0399999999999991</v>
      </c>
      <c r="F4994">
        <v>6786074</v>
      </c>
      <c r="G4994" s="5">
        <v>43102</v>
      </c>
    </row>
    <row r="4995" spans="1:7" x14ac:dyDescent="0.4">
      <c r="A4995">
        <v>94</v>
      </c>
      <c r="B4995" t="s">
        <v>1327</v>
      </c>
      <c r="C4995" s="10">
        <v>3.5</v>
      </c>
      <c r="D4995" s="10">
        <v>0.28999999999999998</v>
      </c>
      <c r="E4995" s="16">
        <v>9.0299999999999994</v>
      </c>
      <c r="F4995">
        <v>3048722</v>
      </c>
      <c r="G4995" s="5">
        <v>43102</v>
      </c>
    </row>
    <row r="4996" spans="1:7" x14ac:dyDescent="0.4">
      <c r="A4996">
        <v>95</v>
      </c>
      <c r="B4996" t="s">
        <v>2100</v>
      </c>
      <c r="C4996" s="10">
        <v>13.29</v>
      </c>
      <c r="D4996" s="10">
        <v>1.1000000000000001</v>
      </c>
      <c r="E4996" s="16">
        <v>9.02</v>
      </c>
      <c r="F4996">
        <v>1657087</v>
      </c>
      <c r="G4996" s="5">
        <v>43102</v>
      </c>
    </row>
    <row r="4997" spans="1:7" x14ac:dyDescent="0.4">
      <c r="A4997">
        <v>96</v>
      </c>
      <c r="B4997" t="s">
        <v>1358</v>
      </c>
      <c r="C4997" s="10">
        <v>2.2999999999999998</v>
      </c>
      <c r="D4997" s="10">
        <v>0.19</v>
      </c>
      <c r="E4997" s="16">
        <v>9</v>
      </c>
      <c r="F4997">
        <v>72440</v>
      </c>
      <c r="G4997" s="5">
        <v>43102</v>
      </c>
    </row>
    <row r="4998" spans="1:7" x14ac:dyDescent="0.4">
      <c r="A4998">
        <v>97</v>
      </c>
      <c r="B4998" t="s">
        <v>2101</v>
      </c>
      <c r="C4998" s="10">
        <v>58.21</v>
      </c>
      <c r="D4998" s="10">
        <v>4.79</v>
      </c>
      <c r="E4998" s="16">
        <v>8.9700000000000006</v>
      </c>
      <c r="F4998">
        <v>330028</v>
      </c>
      <c r="G4998" s="5">
        <v>43102</v>
      </c>
    </row>
    <row r="4999" spans="1:7" x14ac:dyDescent="0.4">
      <c r="A4999">
        <v>98</v>
      </c>
      <c r="B4999" t="s">
        <v>1549</v>
      </c>
      <c r="C4999" s="10">
        <v>2.57</v>
      </c>
      <c r="D4999" s="10">
        <v>0.21</v>
      </c>
      <c r="E4999" s="16">
        <v>8.9</v>
      </c>
      <c r="F4999">
        <v>3704570</v>
      </c>
      <c r="G4999" s="5">
        <v>43102</v>
      </c>
    </row>
    <row r="5000" spans="1:7" x14ac:dyDescent="0.4">
      <c r="A5000">
        <v>99</v>
      </c>
      <c r="B5000" t="s">
        <v>1430</v>
      </c>
      <c r="C5000" s="10">
        <v>2.94</v>
      </c>
      <c r="D5000" s="10">
        <v>0.24</v>
      </c>
      <c r="E5000" s="16">
        <v>8.89</v>
      </c>
      <c r="F5000">
        <v>89005</v>
      </c>
      <c r="G5000" s="5">
        <v>43102</v>
      </c>
    </row>
    <row r="5001" spans="1:7" x14ac:dyDescent="0.4">
      <c r="A5001">
        <v>100</v>
      </c>
      <c r="B5001" t="s">
        <v>1235</v>
      </c>
      <c r="C5001" s="10">
        <v>21.38</v>
      </c>
      <c r="D5001" s="10">
        <v>1.74</v>
      </c>
      <c r="E5001" s="16">
        <v>8.86</v>
      </c>
      <c r="F5001">
        <v>2973999</v>
      </c>
      <c r="G5001" s="5">
        <v>43102</v>
      </c>
    </row>
    <row r="5002" spans="1:7" x14ac:dyDescent="0.4">
      <c r="A5002">
        <v>1</v>
      </c>
      <c r="B5002" t="s">
        <v>212</v>
      </c>
      <c r="C5002" s="10">
        <v>8.89</v>
      </c>
      <c r="D5002" s="10">
        <v>5.37</v>
      </c>
      <c r="E5002" s="16">
        <v>152.56</v>
      </c>
      <c r="F5002">
        <v>297067</v>
      </c>
      <c r="G5002" s="5">
        <v>43103</v>
      </c>
    </row>
    <row r="5003" spans="1:7" x14ac:dyDescent="0.4">
      <c r="A5003">
        <v>2</v>
      </c>
      <c r="B5003" t="s">
        <v>1166</v>
      </c>
      <c r="C5003" s="10">
        <v>11.63</v>
      </c>
      <c r="D5003" s="10">
        <v>4.13</v>
      </c>
      <c r="E5003" s="16">
        <v>55.07</v>
      </c>
      <c r="F5003">
        <v>354038</v>
      </c>
      <c r="G5003" s="5">
        <v>43103</v>
      </c>
    </row>
    <row r="5004" spans="1:7" x14ac:dyDescent="0.4">
      <c r="A5004">
        <v>3</v>
      </c>
      <c r="B5004" t="s">
        <v>1270</v>
      </c>
      <c r="C5004" s="10">
        <v>3.72</v>
      </c>
      <c r="D5004" s="10">
        <v>1.0900000000000001</v>
      </c>
      <c r="E5004" s="16">
        <v>41.45</v>
      </c>
      <c r="F5004">
        <v>13208987</v>
      </c>
      <c r="G5004" s="5">
        <v>43103</v>
      </c>
    </row>
    <row r="5005" spans="1:7" x14ac:dyDescent="0.4">
      <c r="A5005">
        <v>4</v>
      </c>
      <c r="B5005" t="s">
        <v>49</v>
      </c>
      <c r="C5005" s="10">
        <v>5.2</v>
      </c>
      <c r="D5005" s="10">
        <v>1.3</v>
      </c>
      <c r="E5005" s="16">
        <v>33.33</v>
      </c>
      <c r="F5005">
        <v>2423073</v>
      </c>
      <c r="G5005" s="5">
        <v>43103</v>
      </c>
    </row>
    <row r="5006" spans="1:7" x14ac:dyDescent="0.4">
      <c r="A5006">
        <v>5</v>
      </c>
      <c r="B5006" t="s">
        <v>568</v>
      </c>
      <c r="C5006" s="10">
        <v>2.68</v>
      </c>
      <c r="D5006" s="10">
        <v>0.61</v>
      </c>
      <c r="E5006" s="16">
        <v>29.47</v>
      </c>
      <c r="F5006">
        <v>18751673</v>
      </c>
      <c r="G5006" s="5">
        <v>43103</v>
      </c>
    </row>
    <row r="5007" spans="1:7" x14ac:dyDescent="0.4">
      <c r="A5007">
        <v>6</v>
      </c>
      <c r="B5007" t="s">
        <v>577</v>
      </c>
      <c r="C5007" s="10">
        <v>5.15</v>
      </c>
      <c r="D5007" s="10">
        <v>1.02</v>
      </c>
      <c r="E5007" s="16">
        <v>24.7</v>
      </c>
      <c r="F5007">
        <v>162849</v>
      </c>
      <c r="G5007" s="5">
        <v>43103</v>
      </c>
    </row>
    <row r="5008" spans="1:7" x14ac:dyDescent="0.4">
      <c r="A5008">
        <v>7</v>
      </c>
      <c r="B5008" t="s">
        <v>471</v>
      </c>
      <c r="C5008" s="10">
        <v>17.29</v>
      </c>
      <c r="D5008" s="10">
        <v>3.39</v>
      </c>
      <c r="E5008" s="16">
        <v>24.39</v>
      </c>
      <c r="F5008">
        <v>2401997</v>
      </c>
      <c r="G5008" s="5">
        <v>43103</v>
      </c>
    </row>
    <row r="5009" spans="1:7" x14ac:dyDescent="0.4">
      <c r="A5009">
        <v>8</v>
      </c>
      <c r="B5009" t="s">
        <v>18</v>
      </c>
      <c r="C5009" s="10">
        <v>13.83</v>
      </c>
      <c r="D5009" s="10">
        <v>2.7</v>
      </c>
      <c r="E5009" s="16">
        <v>24.26</v>
      </c>
      <c r="F5009">
        <v>3826045</v>
      </c>
      <c r="G5009" s="5">
        <v>43103</v>
      </c>
    </row>
    <row r="5010" spans="1:7" x14ac:dyDescent="0.4">
      <c r="A5010">
        <v>9</v>
      </c>
      <c r="B5010" t="s">
        <v>439</v>
      </c>
      <c r="C5010" s="10">
        <v>2.54</v>
      </c>
      <c r="D5010" s="10">
        <v>0.49</v>
      </c>
      <c r="E5010" s="16">
        <v>23.9</v>
      </c>
      <c r="F5010">
        <v>4223179</v>
      </c>
      <c r="G5010" s="5">
        <v>43103</v>
      </c>
    </row>
    <row r="5011" spans="1:7" x14ac:dyDescent="0.4">
      <c r="A5011">
        <v>10</v>
      </c>
      <c r="B5011" t="s">
        <v>522</v>
      </c>
      <c r="C5011" s="10">
        <v>4.6500000000000004</v>
      </c>
      <c r="D5011" s="10">
        <v>0.85</v>
      </c>
      <c r="E5011" s="16">
        <v>22.37</v>
      </c>
      <c r="F5011">
        <v>3677513</v>
      </c>
      <c r="G5011" s="5">
        <v>43103</v>
      </c>
    </row>
    <row r="5012" spans="1:7" x14ac:dyDescent="0.4">
      <c r="A5012">
        <v>11</v>
      </c>
      <c r="B5012" t="s">
        <v>2087</v>
      </c>
      <c r="C5012" s="10">
        <v>6.17</v>
      </c>
      <c r="D5012" s="10">
        <v>1.07</v>
      </c>
      <c r="E5012" s="16">
        <v>20.98</v>
      </c>
      <c r="F5012">
        <v>2846023</v>
      </c>
      <c r="G5012" s="5">
        <v>43103</v>
      </c>
    </row>
    <row r="5013" spans="1:7" x14ac:dyDescent="0.4">
      <c r="A5013">
        <v>12</v>
      </c>
      <c r="B5013" t="s">
        <v>1985</v>
      </c>
      <c r="C5013" s="10">
        <v>217</v>
      </c>
      <c r="D5013" s="10">
        <v>37</v>
      </c>
      <c r="E5013" s="16">
        <v>20.56</v>
      </c>
      <c r="F5013">
        <v>2595</v>
      </c>
      <c r="G5013" s="5">
        <v>43103</v>
      </c>
    </row>
    <row r="5014" spans="1:7" x14ac:dyDescent="0.4">
      <c r="A5014">
        <v>13</v>
      </c>
      <c r="B5014" t="s">
        <v>757</v>
      </c>
      <c r="C5014" s="10">
        <v>11.53</v>
      </c>
      <c r="D5014" s="10">
        <v>1.91</v>
      </c>
      <c r="E5014" s="16">
        <v>19.850000000000001</v>
      </c>
      <c r="F5014">
        <v>4826810</v>
      </c>
      <c r="G5014" s="5">
        <v>43103</v>
      </c>
    </row>
    <row r="5015" spans="1:7" x14ac:dyDescent="0.4">
      <c r="A5015">
        <v>14</v>
      </c>
      <c r="B5015" t="s">
        <v>2088</v>
      </c>
      <c r="C5015" s="10">
        <v>12.43</v>
      </c>
      <c r="D5015" s="10">
        <v>2.04</v>
      </c>
      <c r="E5015" s="16">
        <v>19.63</v>
      </c>
      <c r="F5015">
        <v>2932919</v>
      </c>
      <c r="G5015" s="5">
        <v>43103</v>
      </c>
    </row>
    <row r="5016" spans="1:7" x14ac:dyDescent="0.4">
      <c r="A5016">
        <v>15</v>
      </c>
      <c r="B5016" t="s">
        <v>1082</v>
      </c>
      <c r="C5016" s="10">
        <v>3.87</v>
      </c>
      <c r="D5016" s="10">
        <v>0.6</v>
      </c>
      <c r="E5016" s="16">
        <v>18.350000000000001</v>
      </c>
      <c r="F5016">
        <v>174589</v>
      </c>
      <c r="G5016" s="5">
        <v>43103</v>
      </c>
    </row>
    <row r="5017" spans="1:7" x14ac:dyDescent="0.4">
      <c r="A5017">
        <v>16</v>
      </c>
      <c r="B5017" t="s">
        <v>335</v>
      </c>
      <c r="C5017" s="10">
        <v>5.43</v>
      </c>
      <c r="D5017" s="10">
        <v>0.81</v>
      </c>
      <c r="E5017" s="16">
        <v>17.53</v>
      </c>
      <c r="F5017">
        <v>44845</v>
      </c>
      <c r="G5017" s="5">
        <v>43103</v>
      </c>
    </row>
    <row r="5018" spans="1:7" x14ac:dyDescent="0.4">
      <c r="A5018">
        <v>17</v>
      </c>
      <c r="B5018" t="s">
        <v>2089</v>
      </c>
      <c r="C5018" s="10">
        <v>6.05</v>
      </c>
      <c r="D5018" s="10">
        <v>0.9</v>
      </c>
      <c r="E5018" s="16">
        <v>17.48</v>
      </c>
      <c r="F5018">
        <v>271538</v>
      </c>
      <c r="G5018" s="5">
        <v>43103</v>
      </c>
    </row>
    <row r="5019" spans="1:7" x14ac:dyDescent="0.4">
      <c r="A5019">
        <v>18</v>
      </c>
      <c r="B5019" t="s">
        <v>2090</v>
      </c>
      <c r="C5019" s="10">
        <v>11.47</v>
      </c>
      <c r="D5019" s="10">
        <v>1.67</v>
      </c>
      <c r="E5019" s="16">
        <v>17.04</v>
      </c>
      <c r="F5019">
        <v>229013</v>
      </c>
      <c r="G5019" s="5">
        <v>43103</v>
      </c>
    </row>
    <row r="5020" spans="1:7" x14ac:dyDescent="0.4">
      <c r="A5020">
        <v>19</v>
      </c>
      <c r="B5020" t="s">
        <v>1176</v>
      </c>
      <c r="C5020" s="10">
        <v>13.47</v>
      </c>
      <c r="D5020" s="10">
        <v>1.95</v>
      </c>
      <c r="E5020" s="16">
        <v>16.93</v>
      </c>
      <c r="F5020">
        <v>3834796</v>
      </c>
      <c r="G5020" s="5">
        <v>43103</v>
      </c>
    </row>
    <row r="5021" spans="1:7" x14ac:dyDescent="0.4">
      <c r="A5021">
        <v>20</v>
      </c>
      <c r="B5021" t="s">
        <v>739</v>
      </c>
      <c r="C5021" s="10">
        <v>15.76</v>
      </c>
      <c r="D5021" s="10">
        <v>2.2599999999999998</v>
      </c>
      <c r="E5021" s="16">
        <v>16.739999999999998</v>
      </c>
      <c r="F5021">
        <v>348031</v>
      </c>
      <c r="G5021" s="5">
        <v>43103</v>
      </c>
    </row>
    <row r="5022" spans="1:7" x14ac:dyDescent="0.4">
      <c r="A5022">
        <v>21</v>
      </c>
      <c r="B5022" t="s">
        <v>581</v>
      </c>
      <c r="C5022" s="10">
        <v>4.59</v>
      </c>
      <c r="D5022" s="10">
        <v>0.62</v>
      </c>
      <c r="E5022" s="16">
        <v>15.62</v>
      </c>
      <c r="F5022">
        <v>307159</v>
      </c>
      <c r="G5022" s="5">
        <v>43103</v>
      </c>
    </row>
    <row r="5023" spans="1:7" x14ac:dyDescent="0.4">
      <c r="A5023">
        <v>22</v>
      </c>
      <c r="B5023" t="s">
        <v>166</v>
      </c>
      <c r="C5023" s="10">
        <v>3.86</v>
      </c>
      <c r="D5023" s="10">
        <v>0.52</v>
      </c>
      <c r="E5023" s="16">
        <v>15.57</v>
      </c>
      <c r="F5023">
        <v>1270057</v>
      </c>
      <c r="G5023" s="5">
        <v>43103</v>
      </c>
    </row>
    <row r="5024" spans="1:7" x14ac:dyDescent="0.4">
      <c r="A5024">
        <v>23</v>
      </c>
      <c r="B5024" t="s">
        <v>790</v>
      </c>
      <c r="C5024" s="10">
        <v>2.89</v>
      </c>
      <c r="D5024" s="10">
        <v>0.38</v>
      </c>
      <c r="E5024" s="16">
        <v>15.13</v>
      </c>
      <c r="F5024">
        <v>2758</v>
      </c>
      <c r="G5024" s="5">
        <v>43103</v>
      </c>
    </row>
    <row r="5025" spans="1:7" x14ac:dyDescent="0.4">
      <c r="A5025">
        <v>24</v>
      </c>
      <c r="B5025" t="s">
        <v>84</v>
      </c>
      <c r="C5025" s="10">
        <v>21.25</v>
      </c>
      <c r="D5025" s="10">
        <v>2.76</v>
      </c>
      <c r="E5025" s="16">
        <v>14.93</v>
      </c>
      <c r="F5025">
        <v>718236</v>
      </c>
      <c r="G5025" s="5">
        <v>43103</v>
      </c>
    </row>
    <row r="5026" spans="1:7" x14ac:dyDescent="0.4">
      <c r="A5026">
        <v>25</v>
      </c>
      <c r="B5026" t="s">
        <v>743</v>
      </c>
      <c r="C5026" s="10">
        <v>22.34</v>
      </c>
      <c r="D5026" s="10">
        <v>2.89</v>
      </c>
      <c r="E5026" s="16">
        <v>14.86</v>
      </c>
      <c r="F5026">
        <v>16853219</v>
      </c>
      <c r="G5026" s="5">
        <v>43103</v>
      </c>
    </row>
    <row r="5027" spans="1:7" x14ac:dyDescent="0.4">
      <c r="A5027">
        <v>26</v>
      </c>
      <c r="B5027" t="s">
        <v>1470</v>
      </c>
      <c r="C5027" s="10">
        <v>2.66</v>
      </c>
      <c r="D5027" s="10">
        <v>0.34</v>
      </c>
      <c r="E5027" s="16">
        <v>14.66</v>
      </c>
      <c r="F5027">
        <v>5038719</v>
      </c>
      <c r="G5027" s="5">
        <v>43103</v>
      </c>
    </row>
    <row r="5028" spans="1:7" x14ac:dyDescent="0.4">
      <c r="A5028">
        <v>27</v>
      </c>
      <c r="B5028" t="s">
        <v>1013</v>
      </c>
      <c r="C5028" s="10">
        <v>3.21</v>
      </c>
      <c r="D5028" s="10">
        <v>0.41</v>
      </c>
      <c r="E5028" s="16">
        <v>14.64</v>
      </c>
      <c r="F5028">
        <v>8259802</v>
      </c>
      <c r="G5028" s="5">
        <v>43103</v>
      </c>
    </row>
    <row r="5029" spans="1:7" x14ac:dyDescent="0.4">
      <c r="A5029">
        <v>28</v>
      </c>
      <c r="B5029" t="s">
        <v>830</v>
      </c>
      <c r="C5029" s="10">
        <v>7.23</v>
      </c>
      <c r="D5029" s="10">
        <v>0.92</v>
      </c>
      <c r="E5029" s="16">
        <v>14.58</v>
      </c>
      <c r="F5029">
        <v>5748672</v>
      </c>
      <c r="G5029" s="5">
        <v>43103</v>
      </c>
    </row>
    <row r="5030" spans="1:7" x14ac:dyDescent="0.4">
      <c r="A5030">
        <v>29</v>
      </c>
      <c r="B5030" t="s">
        <v>2027</v>
      </c>
      <c r="C5030" s="10">
        <v>5.3</v>
      </c>
      <c r="D5030" s="10">
        <v>0.64</v>
      </c>
      <c r="E5030" s="16">
        <v>13.73</v>
      </c>
      <c r="F5030">
        <v>1720116</v>
      </c>
      <c r="G5030" s="5">
        <v>43103</v>
      </c>
    </row>
    <row r="5031" spans="1:7" x14ac:dyDescent="0.4">
      <c r="A5031">
        <v>30</v>
      </c>
      <c r="B5031" t="s">
        <v>310</v>
      </c>
      <c r="C5031" s="10">
        <v>4.68</v>
      </c>
      <c r="D5031" s="10">
        <v>0.55000000000000004</v>
      </c>
      <c r="E5031" s="16">
        <v>13.32</v>
      </c>
      <c r="F5031">
        <v>3058286</v>
      </c>
      <c r="G5031" s="5">
        <v>43103</v>
      </c>
    </row>
    <row r="5032" spans="1:7" x14ac:dyDescent="0.4">
      <c r="A5032">
        <v>31</v>
      </c>
      <c r="B5032" t="s">
        <v>401</v>
      </c>
      <c r="C5032" s="10">
        <v>21.73</v>
      </c>
      <c r="D5032" s="10">
        <v>2.54</v>
      </c>
      <c r="E5032" s="16">
        <v>13.24</v>
      </c>
      <c r="F5032">
        <v>68845</v>
      </c>
      <c r="G5032" s="5">
        <v>43103</v>
      </c>
    </row>
    <row r="5033" spans="1:7" x14ac:dyDescent="0.4">
      <c r="A5033">
        <v>32</v>
      </c>
      <c r="B5033" t="s">
        <v>1965</v>
      </c>
      <c r="C5033" s="10">
        <v>36.57</v>
      </c>
      <c r="D5033" s="10">
        <v>4.26</v>
      </c>
      <c r="E5033" s="16">
        <v>13.18</v>
      </c>
      <c r="F5033">
        <v>436216</v>
      </c>
      <c r="G5033" s="5">
        <v>43103</v>
      </c>
    </row>
    <row r="5034" spans="1:7" x14ac:dyDescent="0.4">
      <c r="A5034">
        <v>33</v>
      </c>
      <c r="B5034" t="s">
        <v>196</v>
      </c>
      <c r="C5034" s="10">
        <v>3.47</v>
      </c>
      <c r="D5034" s="10">
        <v>0.4</v>
      </c>
      <c r="E5034" s="16">
        <v>13.03</v>
      </c>
      <c r="F5034">
        <v>79223</v>
      </c>
      <c r="G5034" s="5">
        <v>43103</v>
      </c>
    </row>
    <row r="5035" spans="1:7" x14ac:dyDescent="0.4">
      <c r="A5035">
        <v>34</v>
      </c>
      <c r="B5035" t="s">
        <v>74</v>
      </c>
      <c r="C5035" s="10">
        <v>20.5</v>
      </c>
      <c r="D5035" s="10">
        <v>2.3199999999999998</v>
      </c>
      <c r="E5035" s="16">
        <v>12.76</v>
      </c>
      <c r="F5035">
        <v>338597</v>
      </c>
      <c r="G5035" s="5">
        <v>43103</v>
      </c>
    </row>
    <row r="5036" spans="1:7" x14ac:dyDescent="0.4">
      <c r="A5036">
        <v>35</v>
      </c>
      <c r="B5036" t="s">
        <v>162</v>
      </c>
      <c r="C5036" s="10">
        <v>4.54</v>
      </c>
      <c r="D5036" s="10">
        <v>0.51</v>
      </c>
      <c r="E5036" s="16">
        <v>12.66</v>
      </c>
      <c r="F5036">
        <v>37863</v>
      </c>
      <c r="G5036" s="5">
        <v>43103</v>
      </c>
    </row>
    <row r="5037" spans="1:7" x14ac:dyDescent="0.4">
      <c r="A5037">
        <v>36</v>
      </c>
      <c r="B5037" t="s">
        <v>2091</v>
      </c>
      <c r="C5037" s="10">
        <v>4.07</v>
      </c>
      <c r="D5037" s="10">
        <v>0.45</v>
      </c>
      <c r="E5037" s="16">
        <v>12.43</v>
      </c>
      <c r="F5037">
        <v>48807</v>
      </c>
      <c r="G5037" s="5">
        <v>43103</v>
      </c>
    </row>
    <row r="5038" spans="1:7" x14ac:dyDescent="0.4">
      <c r="A5038">
        <v>37</v>
      </c>
      <c r="B5038" t="s">
        <v>1568</v>
      </c>
      <c r="C5038" s="10">
        <v>3.72</v>
      </c>
      <c r="D5038" s="10">
        <v>0.41</v>
      </c>
      <c r="E5038" s="16">
        <v>12.39</v>
      </c>
      <c r="F5038">
        <v>5099887</v>
      </c>
      <c r="G5038" s="5">
        <v>43103</v>
      </c>
    </row>
    <row r="5039" spans="1:7" x14ac:dyDescent="0.4">
      <c r="A5039">
        <v>38</v>
      </c>
      <c r="B5039" t="s">
        <v>985</v>
      </c>
      <c r="C5039" s="10">
        <v>4.12</v>
      </c>
      <c r="D5039" s="10">
        <v>0.45</v>
      </c>
      <c r="E5039" s="16">
        <v>12.26</v>
      </c>
      <c r="F5039">
        <v>377327</v>
      </c>
      <c r="G5039" s="5">
        <v>43103</v>
      </c>
    </row>
    <row r="5040" spans="1:7" x14ac:dyDescent="0.4">
      <c r="A5040">
        <v>39</v>
      </c>
      <c r="B5040" t="s">
        <v>824</v>
      </c>
      <c r="C5040" s="10">
        <v>4.13</v>
      </c>
      <c r="D5040" s="10">
        <v>0.45</v>
      </c>
      <c r="E5040" s="16">
        <v>12.23</v>
      </c>
      <c r="F5040">
        <v>1366390</v>
      </c>
      <c r="G5040" s="5">
        <v>43103</v>
      </c>
    </row>
    <row r="5041" spans="1:7" x14ac:dyDescent="0.4">
      <c r="A5041">
        <v>40</v>
      </c>
      <c r="B5041" t="s">
        <v>2092</v>
      </c>
      <c r="C5041" s="10">
        <v>7.64</v>
      </c>
      <c r="D5041" s="10">
        <v>0.83</v>
      </c>
      <c r="E5041" s="16">
        <v>12.19</v>
      </c>
      <c r="F5041">
        <v>1498230</v>
      </c>
      <c r="G5041" s="5">
        <v>43103</v>
      </c>
    </row>
    <row r="5042" spans="1:7" x14ac:dyDescent="0.4">
      <c r="A5042">
        <v>41</v>
      </c>
      <c r="B5042" t="s">
        <v>2093</v>
      </c>
      <c r="C5042" s="10">
        <v>4.93</v>
      </c>
      <c r="D5042" s="10">
        <v>0.53</v>
      </c>
      <c r="E5042" s="16">
        <v>12.05</v>
      </c>
      <c r="F5042">
        <v>380325</v>
      </c>
      <c r="G5042" s="5">
        <v>43103</v>
      </c>
    </row>
    <row r="5043" spans="1:7" x14ac:dyDescent="0.4">
      <c r="A5043">
        <v>42</v>
      </c>
      <c r="B5043" t="s">
        <v>185</v>
      </c>
      <c r="C5043" s="10">
        <v>4.75</v>
      </c>
      <c r="D5043" s="10">
        <v>0.51</v>
      </c>
      <c r="E5043" s="16">
        <v>12.03</v>
      </c>
      <c r="F5043">
        <v>585983</v>
      </c>
      <c r="G5043" s="5">
        <v>43103</v>
      </c>
    </row>
    <row r="5044" spans="1:7" x14ac:dyDescent="0.4">
      <c r="A5044">
        <v>43</v>
      </c>
      <c r="B5044" t="s">
        <v>923</v>
      </c>
      <c r="C5044" s="10">
        <v>7.95</v>
      </c>
      <c r="D5044" s="10">
        <v>0.85</v>
      </c>
      <c r="E5044" s="16">
        <v>11.97</v>
      </c>
      <c r="F5044">
        <v>2030712</v>
      </c>
      <c r="G5044" s="5">
        <v>43103</v>
      </c>
    </row>
    <row r="5045" spans="1:7" x14ac:dyDescent="0.4">
      <c r="A5045">
        <v>44</v>
      </c>
      <c r="B5045" t="s">
        <v>980</v>
      </c>
      <c r="C5045" s="10">
        <v>21.51</v>
      </c>
      <c r="D5045" s="10">
        <v>2.29</v>
      </c>
      <c r="E5045" s="16">
        <v>11.91</v>
      </c>
      <c r="F5045">
        <v>1071646</v>
      </c>
      <c r="G5045" s="5">
        <v>43103</v>
      </c>
    </row>
    <row r="5046" spans="1:7" x14ac:dyDescent="0.4">
      <c r="A5046">
        <v>45</v>
      </c>
      <c r="B5046" t="s">
        <v>2094</v>
      </c>
      <c r="C5046" s="10">
        <v>2.92</v>
      </c>
      <c r="D5046" s="10">
        <v>0.31</v>
      </c>
      <c r="E5046" s="16">
        <v>11.88</v>
      </c>
      <c r="F5046">
        <v>896218</v>
      </c>
      <c r="G5046" s="5">
        <v>43103</v>
      </c>
    </row>
    <row r="5047" spans="1:7" x14ac:dyDescent="0.4">
      <c r="A5047">
        <v>46</v>
      </c>
      <c r="B5047" t="s">
        <v>88</v>
      </c>
      <c r="C5047" s="10">
        <v>2.38</v>
      </c>
      <c r="D5047" s="10">
        <v>0.25</v>
      </c>
      <c r="E5047" s="16">
        <v>11.74</v>
      </c>
      <c r="F5047">
        <v>1199150</v>
      </c>
      <c r="G5047" s="5">
        <v>43103</v>
      </c>
    </row>
    <row r="5048" spans="1:7" x14ac:dyDescent="0.4">
      <c r="A5048">
        <v>47</v>
      </c>
      <c r="B5048" t="s">
        <v>1051</v>
      </c>
      <c r="C5048" s="10">
        <v>34.32</v>
      </c>
      <c r="D5048" s="10">
        <v>3.59</v>
      </c>
      <c r="E5048" s="16">
        <v>11.68</v>
      </c>
      <c r="F5048">
        <v>2131479</v>
      </c>
      <c r="G5048" s="5">
        <v>43103</v>
      </c>
    </row>
    <row r="5049" spans="1:7" x14ac:dyDescent="0.4">
      <c r="A5049">
        <v>48</v>
      </c>
      <c r="B5049" t="s">
        <v>161</v>
      </c>
      <c r="C5049" s="10">
        <v>4.6500000000000004</v>
      </c>
      <c r="D5049" s="10">
        <v>0.48</v>
      </c>
      <c r="E5049" s="16">
        <v>11.51</v>
      </c>
      <c r="F5049">
        <v>606880</v>
      </c>
      <c r="G5049" s="5">
        <v>43103</v>
      </c>
    </row>
    <row r="5050" spans="1:7" x14ac:dyDescent="0.4">
      <c r="A5050">
        <v>49</v>
      </c>
      <c r="B5050" t="s">
        <v>2095</v>
      </c>
      <c r="C5050" s="10">
        <v>10.8</v>
      </c>
      <c r="D5050" s="10">
        <v>1.1000000000000001</v>
      </c>
      <c r="E5050" s="16">
        <v>11.34</v>
      </c>
      <c r="F5050">
        <v>140593</v>
      </c>
      <c r="G5050" s="5">
        <v>43103</v>
      </c>
    </row>
    <row r="5051" spans="1:7" x14ac:dyDescent="0.4">
      <c r="A5051">
        <v>50</v>
      </c>
      <c r="B5051" t="s">
        <v>1362</v>
      </c>
      <c r="C5051" s="10">
        <v>8.65</v>
      </c>
      <c r="D5051" s="10">
        <v>0.88</v>
      </c>
      <c r="E5051" s="16">
        <v>11.33</v>
      </c>
      <c r="F5051">
        <v>2259879</v>
      </c>
      <c r="G5051" s="5">
        <v>43103</v>
      </c>
    </row>
    <row r="5052" spans="1:7" x14ac:dyDescent="0.4">
      <c r="A5052">
        <v>51</v>
      </c>
      <c r="B5052" t="s">
        <v>177</v>
      </c>
      <c r="C5052" s="10">
        <v>5.24</v>
      </c>
      <c r="D5052" s="10">
        <v>0.53</v>
      </c>
      <c r="E5052" s="16">
        <v>11.25</v>
      </c>
      <c r="F5052">
        <v>892884</v>
      </c>
      <c r="G5052" s="5">
        <v>43103</v>
      </c>
    </row>
    <row r="5053" spans="1:7" x14ac:dyDescent="0.4">
      <c r="A5053">
        <v>52</v>
      </c>
      <c r="B5053" t="s">
        <v>1182</v>
      </c>
      <c r="C5053" s="10">
        <v>25.21</v>
      </c>
      <c r="D5053" s="10">
        <v>2.54</v>
      </c>
      <c r="E5053" s="16">
        <v>11.2</v>
      </c>
      <c r="F5053">
        <v>284720</v>
      </c>
      <c r="G5053" s="5">
        <v>43103</v>
      </c>
    </row>
    <row r="5054" spans="1:7" x14ac:dyDescent="0.4">
      <c r="A5054">
        <v>53</v>
      </c>
      <c r="B5054" t="s">
        <v>1075</v>
      </c>
      <c r="C5054" s="10">
        <v>12.5</v>
      </c>
      <c r="D5054" s="10">
        <v>1.25</v>
      </c>
      <c r="E5054" s="16">
        <v>11.11</v>
      </c>
      <c r="F5054">
        <v>120330</v>
      </c>
      <c r="G5054" s="5">
        <v>43103</v>
      </c>
    </row>
    <row r="5055" spans="1:7" x14ac:dyDescent="0.4">
      <c r="A5055">
        <v>54</v>
      </c>
      <c r="B5055" t="s">
        <v>545</v>
      </c>
      <c r="C5055" s="10">
        <v>2.95</v>
      </c>
      <c r="D5055" s="10">
        <v>0.28999999999999998</v>
      </c>
      <c r="E5055" s="16">
        <v>10.9</v>
      </c>
      <c r="F5055">
        <v>110227</v>
      </c>
      <c r="G5055" s="5">
        <v>43103</v>
      </c>
    </row>
    <row r="5056" spans="1:7" x14ac:dyDescent="0.4">
      <c r="A5056">
        <v>55</v>
      </c>
      <c r="B5056" t="s">
        <v>1033</v>
      </c>
      <c r="C5056" s="10">
        <v>71.66</v>
      </c>
      <c r="D5056" s="10">
        <v>6.99</v>
      </c>
      <c r="E5056" s="16">
        <v>10.81</v>
      </c>
      <c r="F5056">
        <v>2380112</v>
      </c>
      <c r="G5056" s="5">
        <v>43103</v>
      </c>
    </row>
    <row r="5057" spans="1:7" x14ac:dyDescent="0.4">
      <c r="A5057">
        <v>56</v>
      </c>
      <c r="B5057" t="s">
        <v>1170</v>
      </c>
      <c r="C5057" s="10">
        <v>5.44</v>
      </c>
      <c r="D5057" s="10">
        <v>0.53</v>
      </c>
      <c r="E5057" s="16">
        <v>10.79</v>
      </c>
      <c r="F5057">
        <v>2456286</v>
      </c>
      <c r="G5057" s="5">
        <v>43103</v>
      </c>
    </row>
    <row r="5058" spans="1:7" x14ac:dyDescent="0.4">
      <c r="A5058">
        <v>57</v>
      </c>
      <c r="B5058" t="s">
        <v>882</v>
      </c>
      <c r="C5058" s="10">
        <v>3.5</v>
      </c>
      <c r="D5058" s="10">
        <v>0.34</v>
      </c>
      <c r="E5058" s="16">
        <v>10.76</v>
      </c>
      <c r="F5058">
        <v>48650550</v>
      </c>
      <c r="G5058" s="5">
        <v>43103</v>
      </c>
    </row>
    <row r="5059" spans="1:7" x14ac:dyDescent="0.4">
      <c r="A5059">
        <v>58</v>
      </c>
      <c r="B5059" t="s">
        <v>1338</v>
      </c>
      <c r="C5059" s="10">
        <v>7.75</v>
      </c>
      <c r="D5059" s="10">
        <v>0.75</v>
      </c>
      <c r="E5059" s="16">
        <v>10.71</v>
      </c>
      <c r="F5059">
        <v>33140</v>
      </c>
      <c r="G5059" s="5">
        <v>43103</v>
      </c>
    </row>
    <row r="5060" spans="1:7" x14ac:dyDescent="0.4">
      <c r="A5060">
        <v>59</v>
      </c>
      <c r="B5060" t="s">
        <v>584</v>
      </c>
      <c r="C5060" s="10">
        <v>4.16</v>
      </c>
      <c r="D5060" s="10">
        <v>0.4</v>
      </c>
      <c r="E5060" s="16">
        <v>10.64</v>
      </c>
      <c r="F5060">
        <v>3565844</v>
      </c>
      <c r="G5060" s="5">
        <v>43103</v>
      </c>
    </row>
    <row r="5061" spans="1:7" x14ac:dyDescent="0.4">
      <c r="A5061">
        <v>60</v>
      </c>
      <c r="B5061" t="s">
        <v>1400</v>
      </c>
      <c r="C5061" s="10">
        <v>3.15</v>
      </c>
      <c r="D5061" s="10">
        <v>0.3</v>
      </c>
      <c r="E5061" s="16">
        <v>10.53</v>
      </c>
      <c r="F5061">
        <v>50750</v>
      </c>
      <c r="G5061" s="5">
        <v>43103</v>
      </c>
    </row>
    <row r="5062" spans="1:7" x14ac:dyDescent="0.4">
      <c r="A5062">
        <v>61</v>
      </c>
      <c r="B5062" t="s">
        <v>2096</v>
      </c>
      <c r="C5062" s="10">
        <v>5.7</v>
      </c>
      <c r="D5062" s="10">
        <v>0.54</v>
      </c>
      <c r="E5062" s="16">
        <v>10.47</v>
      </c>
      <c r="F5062">
        <v>7786</v>
      </c>
      <c r="G5062" s="5">
        <v>43103</v>
      </c>
    </row>
    <row r="5063" spans="1:7" x14ac:dyDescent="0.4">
      <c r="A5063">
        <v>62</v>
      </c>
      <c r="B5063" t="s">
        <v>2097</v>
      </c>
      <c r="C5063" s="10">
        <v>8.3699999999999992</v>
      </c>
      <c r="D5063" s="10">
        <v>0.79</v>
      </c>
      <c r="E5063" s="16">
        <v>10.42</v>
      </c>
      <c r="F5063">
        <v>342497</v>
      </c>
      <c r="G5063" s="5">
        <v>43103</v>
      </c>
    </row>
    <row r="5064" spans="1:7" x14ac:dyDescent="0.4">
      <c r="A5064">
        <v>63</v>
      </c>
      <c r="B5064" t="s">
        <v>1949</v>
      </c>
      <c r="C5064" s="10">
        <v>2.65</v>
      </c>
      <c r="D5064" s="10">
        <v>0.25</v>
      </c>
      <c r="E5064" s="16">
        <v>10.42</v>
      </c>
      <c r="F5064">
        <v>594846</v>
      </c>
      <c r="G5064" s="5">
        <v>43103</v>
      </c>
    </row>
    <row r="5065" spans="1:7" x14ac:dyDescent="0.4">
      <c r="A5065">
        <v>64</v>
      </c>
      <c r="B5065" t="s">
        <v>823</v>
      </c>
      <c r="C5065" s="10">
        <v>3.18</v>
      </c>
      <c r="D5065" s="10">
        <v>0.3</v>
      </c>
      <c r="E5065" s="16">
        <v>10.42</v>
      </c>
      <c r="F5065">
        <v>100694</v>
      </c>
      <c r="G5065" s="5">
        <v>43103</v>
      </c>
    </row>
    <row r="5066" spans="1:7" x14ac:dyDescent="0.4">
      <c r="A5066">
        <v>65</v>
      </c>
      <c r="B5066" t="s">
        <v>1383</v>
      </c>
      <c r="C5066" s="10">
        <v>4.4800000000000004</v>
      </c>
      <c r="D5066" s="10">
        <v>0.42</v>
      </c>
      <c r="E5066" s="16">
        <v>10.34</v>
      </c>
      <c r="F5066">
        <v>1574620</v>
      </c>
      <c r="G5066" s="5">
        <v>43103</v>
      </c>
    </row>
    <row r="5067" spans="1:7" x14ac:dyDescent="0.4">
      <c r="A5067">
        <v>66</v>
      </c>
      <c r="B5067" t="s">
        <v>1922</v>
      </c>
      <c r="C5067" s="10">
        <v>13.35</v>
      </c>
      <c r="D5067" s="10">
        <v>1.25</v>
      </c>
      <c r="E5067" s="16">
        <v>10.33</v>
      </c>
      <c r="F5067">
        <v>338794</v>
      </c>
      <c r="G5067" s="5">
        <v>43103</v>
      </c>
    </row>
    <row r="5068" spans="1:7" x14ac:dyDescent="0.4">
      <c r="A5068">
        <v>67</v>
      </c>
      <c r="B5068" t="s">
        <v>746</v>
      </c>
      <c r="C5068" s="10">
        <v>37.520000000000003</v>
      </c>
      <c r="D5068" s="10">
        <v>3.5</v>
      </c>
      <c r="E5068" s="16">
        <v>10.29</v>
      </c>
      <c r="F5068">
        <v>1039018</v>
      </c>
      <c r="G5068" s="5">
        <v>43103</v>
      </c>
    </row>
    <row r="5069" spans="1:7" x14ac:dyDescent="0.4">
      <c r="A5069">
        <v>68</v>
      </c>
      <c r="B5069" t="s">
        <v>1226</v>
      </c>
      <c r="C5069" s="10">
        <v>6.24</v>
      </c>
      <c r="D5069" s="10">
        <v>0.57999999999999996</v>
      </c>
      <c r="E5069" s="16">
        <v>10.25</v>
      </c>
      <c r="F5069">
        <v>24972807</v>
      </c>
      <c r="G5069" s="5">
        <v>43103</v>
      </c>
    </row>
    <row r="5070" spans="1:7" x14ac:dyDescent="0.4">
      <c r="A5070">
        <v>69</v>
      </c>
      <c r="B5070" t="s">
        <v>926</v>
      </c>
      <c r="C5070" s="10">
        <v>14.6</v>
      </c>
      <c r="D5070" s="10">
        <v>1.35</v>
      </c>
      <c r="E5070" s="16">
        <v>10.19</v>
      </c>
      <c r="F5070">
        <v>1203518</v>
      </c>
      <c r="G5070" s="5">
        <v>43103</v>
      </c>
    </row>
    <row r="5071" spans="1:7" x14ac:dyDescent="0.4">
      <c r="A5071">
        <v>70</v>
      </c>
      <c r="B5071" t="s">
        <v>498</v>
      </c>
      <c r="C5071" s="10">
        <v>3.58</v>
      </c>
      <c r="D5071" s="10">
        <v>0.33</v>
      </c>
      <c r="E5071" s="16">
        <v>10.15</v>
      </c>
      <c r="F5071">
        <v>375896</v>
      </c>
      <c r="G5071" s="5">
        <v>43103</v>
      </c>
    </row>
    <row r="5072" spans="1:7" x14ac:dyDescent="0.4">
      <c r="A5072">
        <v>71</v>
      </c>
      <c r="B5072" t="s">
        <v>837</v>
      </c>
      <c r="C5072" s="10">
        <v>10.210000000000001</v>
      </c>
      <c r="D5072" s="10">
        <v>0.94</v>
      </c>
      <c r="E5072" s="16">
        <v>10.14</v>
      </c>
      <c r="F5072">
        <v>19833</v>
      </c>
      <c r="G5072" s="5">
        <v>43103</v>
      </c>
    </row>
    <row r="5073" spans="1:7" x14ac:dyDescent="0.4">
      <c r="A5073">
        <v>72</v>
      </c>
      <c r="B5073" t="s">
        <v>2098</v>
      </c>
      <c r="C5073" s="10">
        <v>158.86000000000001</v>
      </c>
      <c r="D5073" s="10">
        <v>14.43</v>
      </c>
      <c r="E5073" s="16">
        <v>9.99</v>
      </c>
      <c r="F5073">
        <v>1001990</v>
      </c>
      <c r="G5073" s="5">
        <v>43103</v>
      </c>
    </row>
    <row r="5074" spans="1:7" x14ac:dyDescent="0.4">
      <c r="A5074">
        <v>73</v>
      </c>
      <c r="B5074" t="s">
        <v>82</v>
      </c>
      <c r="C5074" s="10">
        <v>4.32</v>
      </c>
      <c r="D5074" s="10">
        <v>0.39</v>
      </c>
      <c r="E5074" s="16">
        <v>9.92</v>
      </c>
      <c r="F5074">
        <v>89308</v>
      </c>
      <c r="G5074" s="5">
        <v>43103</v>
      </c>
    </row>
    <row r="5075" spans="1:7" x14ac:dyDescent="0.4">
      <c r="A5075">
        <v>74</v>
      </c>
      <c r="B5075" t="s">
        <v>1931</v>
      </c>
      <c r="C5075" s="10">
        <v>2.4500000000000002</v>
      </c>
      <c r="D5075" s="10">
        <v>0.22</v>
      </c>
      <c r="E5075" s="16">
        <v>9.8699999999999992</v>
      </c>
      <c r="F5075">
        <v>7663366</v>
      </c>
      <c r="G5075" s="5">
        <v>43103</v>
      </c>
    </row>
    <row r="5076" spans="1:7" x14ac:dyDescent="0.4">
      <c r="A5076">
        <v>75</v>
      </c>
      <c r="B5076" t="s">
        <v>227</v>
      </c>
      <c r="C5076" s="10">
        <v>2.23</v>
      </c>
      <c r="D5076" s="10">
        <v>0.2</v>
      </c>
      <c r="E5076" s="16">
        <v>9.85</v>
      </c>
      <c r="F5076">
        <v>956461</v>
      </c>
      <c r="G5076" s="5">
        <v>43103</v>
      </c>
    </row>
    <row r="5077" spans="1:7" x14ac:dyDescent="0.4">
      <c r="A5077">
        <v>76</v>
      </c>
      <c r="B5077" t="s">
        <v>1977</v>
      </c>
      <c r="C5077" s="10">
        <v>2.7</v>
      </c>
      <c r="D5077" s="10">
        <v>0.24</v>
      </c>
      <c r="E5077" s="16">
        <v>9.76</v>
      </c>
      <c r="F5077">
        <v>631401</v>
      </c>
      <c r="G5077" s="5">
        <v>43103</v>
      </c>
    </row>
    <row r="5078" spans="1:7" x14ac:dyDescent="0.4">
      <c r="A5078">
        <v>77</v>
      </c>
      <c r="B5078" t="s">
        <v>1636</v>
      </c>
      <c r="C5078" s="10">
        <v>9.23</v>
      </c>
      <c r="D5078" s="10">
        <v>0.82</v>
      </c>
      <c r="E5078" s="16">
        <v>9.75</v>
      </c>
      <c r="F5078">
        <v>540335</v>
      </c>
      <c r="G5078" s="5">
        <v>43103</v>
      </c>
    </row>
    <row r="5079" spans="1:7" x14ac:dyDescent="0.4">
      <c r="A5079">
        <v>78</v>
      </c>
      <c r="B5079" t="s">
        <v>1030</v>
      </c>
      <c r="C5079" s="10">
        <v>6.27</v>
      </c>
      <c r="D5079" s="10">
        <v>0.55000000000000004</v>
      </c>
      <c r="E5079" s="16">
        <v>9.6199999999999992</v>
      </c>
      <c r="F5079">
        <v>436735</v>
      </c>
      <c r="G5079" s="5">
        <v>43103</v>
      </c>
    </row>
    <row r="5080" spans="1:7" x14ac:dyDescent="0.4">
      <c r="A5080">
        <v>79</v>
      </c>
      <c r="B5080" t="s">
        <v>1223</v>
      </c>
      <c r="C5080" s="10">
        <v>7.9</v>
      </c>
      <c r="D5080" s="10">
        <v>0.69</v>
      </c>
      <c r="E5080" s="16">
        <v>9.57</v>
      </c>
      <c r="F5080">
        <v>16769172</v>
      </c>
      <c r="G5080" s="5">
        <v>43103</v>
      </c>
    </row>
    <row r="5081" spans="1:7" x14ac:dyDescent="0.4">
      <c r="A5081">
        <v>80</v>
      </c>
      <c r="B5081" t="s">
        <v>628</v>
      </c>
      <c r="C5081" s="10">
        <v>2.87</v>
      </c>
      <c r="D5081" s="10">
        <v>0.25</v>
      </c>
      <c r="E5081" s="16">
        <v>9.5399999999999991</v>
      </c>
      <c r="F5081">
        <v>701370</v>
      </c>
      <c r="G5081" s="5">
        <v>43103</v>
      </c>
    </row>
    <row r="5082" spans="1:7" x14ac:dyDescent="0.4">
      <c r="A5082">
        <v>81</v>
      </c>
      <c r="B5082" t="s">
        <v>922</v>
      </c>
      <c r="C5082" s="10">
        <v>44.1</v>
      </c>
      <c r="D5082" s="10">
        <v>3.82</v>
      </c>
      <c r="E5082" s="16">
        <v>9.48</v>
      </c>
      <c r="F5082">
        <v>503256</v>
      </c>
      <c r="G5082" s="5">
        <v>43103</v>
      </c>
    </row>
    <row r="5083" spans="1:7" x14ac:dyDescent="0.4">
      <c r="A5083">
        <v>82</v>
      </c>
      <c r="B5083" t="s">
        <v>1104</v>
      </c>
      <c r="C5083" s="10">
        <v>8.64</v>
      </c>
      <c r="D5083" s="10">
        <v>0.74</v>
      </c>
      <c r="E5083" s="16">
        <v>9.3699999999999992</v>
      </c>
      <c r="F5083">
        <v>119295</v>
      </c>
      <c r="G5083" s="5">
        <v>43103</v>
      </c>
    </row>
    <row r="5084" spans="1:7" x14ac:dyDescent="0.4">
      <c r="A5084">
        <v>83</v>
      </c>
      <c r="B5084" t="s">
        <v>1086</v>
      </c>
      <c r="C5084" s="10">
        <v>20.25</v>
      </c>
      <c r="D5084" s="10">
        <v>1.73</v>
      </c>
      <c r="E5084" s="16">
        <v>9.34</v>
      </c>
      <c r="F5084">
        <v>1365129</v>
      </c>
      <c r="G5084" s="5">
        <v>43103</v>
      </c>
    </row>
    <row r="5085" spans="1:7" x14ac:dyDescent="0.4">
      <c r="A5085">
        <v>84</v>
      </c>
      <c r="B5085" t="s">
        <v>1408</v>
      </c>
      <c r="C5085" s="10">
        <v>7.92</v>
      </c>
      <c r="D5085" s="10">
        <v>0.68</v>
      </c>
      <c r="E5085" s="16">
        <v>9.31</v>
      </c>
      <c r="F5085">
        <v>88693</v>
      </c>
      <c r="G5085" s="5">
        <v>43103</v>
      </c>
    </row>
    <row r="5086" spans="1:7" x14ac:dyDescent="0.4">
      <c r="A5086">
        <v>85</v>
      </c>
      <c r="B5086" t="s">
        <v>523</v>
      </c>
      <c r="C5086" s="10">
        <v>10.95</v>
      </c>
      <c r="D5086" s="10">
        <v>0.93</v>
      </c>
      <c r="E5086" s="16">
        <v>9.2799999999999994</v>
      </c>
      <c r="F5086">
        <v>241855</v>
      </c>
      <c r="G5086" s="5">
        <v>43103</v>
      </c>
    </row>
    <row r="5087" spans="1:7" x14ac:dyDescent="0.4">
      <c r="A5087">
        <v>86</v>
      </c>
      <c r="B5087" t="s">
        <v>1857</v>
      </c>
      <c r="C5087" s="10">
        <v>35.57</v>
      </c>
      <c r="D5087" s="10">
        <v>3</v>
      </c>
      <c r="E5087" s="16">
        <v>9.2100000000000009</v>
      </c>
      <c r="F5087">
        <v>4864850</v>
      </c>
      <c r="G5087" s="5">
        <v>43103</v>
      </c>
    </row>
    <row r="5088" spans="1:7" x14ac:dyDescent="0.4">
      <c r="A5088">
        <v>87</v>
      </c>
      <c r="B5088" t="s">
        <v>2099</v>
      </c>
      <c r="C5088" s="10">
        <v>11.42</v>
      </c>
      <c r="D5088" s="10">
        <v>0.96</v>
      </c>
      <c r="E5088" s="16">
        <v>9.18</v>
      </c>
      <c r="F5088">
        <v>712892</v>
      </c>
      <c r="G5088" s="5">
        <v>43103</v>
      </c>
    </row>
    <row r="5089" spans="1:7" x14ac:dyDescent="0.4">
      <c r="A5089">
        <v>88</v>
      </c>
      <c r="B5089" t="s">
        <v>1340</v>
      </c>
      <c r="C5089" s="10">
        <v>16.8</v>
      </c>
      <c r="D5089" s="10">
        <v>1.41</v>
      </c>
      <c r="E5089" s="16">
        <v>9.16</v>
      </c>
      <c r="F5089">
        <v>5439380</v>
      </c>
      <c r="G5089" s="5">
        <v>43103</v>
      </c>
    </row>
    <row r="5090" spans="1:7" x14ac:dyDescent="0.4">
      <c r="A5090">
        <v>89</v>
      </c>
      <c r="B5090" t="s">
        <v>974</v>
      </c>
      <c r="C5090" s="10">
        <v>3.1</v>
      </c>
      <c r="D5090" s="10">
        <v>0.26</v>
      </c>
      <c r="E5090" s="16">
        <v>9.15</v>
      </c>
      <c r="F5090">
        <v>1235354</v>
      </c>
      <c r="G5090" s="5">
        <v>43103</v>
      </c>
    </row>
    <row r="5091" spans="1:7" x14ac:dyDescent="0.4">
      <c r="A5091">
        <v>90</v>
      </c>
      <c r="B5091" t="s">
        <v>125</v>
      </c>
      <c r="C5091" s="10">
        <v>10.98</v>
      </c>
      <c r="D5091" s="10">
        <v>0.92</v>
      </c>
      <c r="E5091" s="16">
        <v>9.15</v>
      </c>
      <c r="F5091">
        <v>101081</v>
      </c>
      <c r="G5091" s="5">
        <v>43103</v>
      </c>
    </row>
    <row r="5092" spans="1:7" x14ac:dyDescent="0.4">
      <c r="A5092">
        <v>91</v>
      </c>
      <c r="B5092" t="s">
        <v>80</v>
      </c>
      <c r="C5092" s="10">
        <v>7.18</v>
      </c>
      <c r="D5092" s="10">
        <v>0.6</v>
      </c>
      <c r="E5092" s="16">
        <v>9.1199999999999992</v>
      </c>
      <c r="F5092">
        <v>977824</v>
      </c>
      <c r="G5092" s="5">
        <v>43103</v>
      </c>
    </row>
    <row r="5093" spans="1:7" x14ac:dyDescent="0.4">
      <c r="A5093">
        <v>92</v>
      </c>
      <c r="B5093" t="s">
        <v>787</v>
      </c>
      <c r="C5093" s="10">
        <v>6.99</v>
      </c>
      <c r="D5093" s="10">
        <v>0.57999999999999996</v>
      </c>
      <c r="E5093" s="16">
        <v>9.0500000000000007</v>
      </c>
      <c r="F5093">
        <v>3259886</v>
      </c>
      <c r="G5093" s="5">
        <v>43103</v>
      </c>
    </row>
    <row r="5094" spans="1:7" x14ac:dyDescent="0.4">
      <c r="A5094">
        <v>93</v>
      </c>
      <c r="B5094" t="s">
        <v>1617</v>
      </c>
      <c r="C5094" s="10">
        <v>79.33</v>
      </c>
      <c r="D5094" s="10">
        <v>6.58</v>
      </c>
      <c r="E5094" s="16">
        <v>9.0399999999999991</v>
      </c>
      <c r="F5094">
        <v>6786074</v>
      </c>
      <c r="G5094" s="5">
        <v>43103</v>
      </c>
    </row>
    <row r="5095" spans="1:7" x14ac:dyDescent="0.4">
      <c r="A5095">
        <v>94</v>
      </c>
      <c r="B5095" t="s">
        <v>1327</v>
      </c>
      <c r="C5095" s="10">
        <v>3.5</v>
      </c>
      <c r="D5095" s="10">
        <v>0.28999999999999998</v>
      </c>
      <c r="E5095" s="16">
        <v>9.0299999999999994</v>
      </c>
      <c r="F5095">
        <v>3048722</v>
      </c>
      <c r="G5095" s="5">
        <v>43103</v>
      </c>
    </row>
    <row r="5096" spans="1:7" x14ac:dyDescent="0.4">
      <c r="A5096">
        <v>95</v>
      </c>
      <c r="B5096" t="s">
        <v>2100</v>
      </c>
      <c r="C5096" s="10">
        <v>13.29</v>
      </c>
      <c r="D5096" s="10">
        <v>1.1000000000000001</v>
      </c>
      <c r="E5096" s="16">
        <v>9.02</v>
      </c>
      <c r="F5096">
        <v>1657087</v>
      </c>
      <c r="G5096" s="5">
        <v>43103</v>
      </c>
    </row>
    <row r="5097" spans="1:7" x14ac:dyDescent="0.4">
      <c r="A5097">
        <v>96</v>
      </c>
      <c r="B5097" t="s">
        <v>1358</v>
      </c>
      <c r="C5097" s="10">
        <v>2.2999999999999998</v>
      </c>
      <c r="D5097" s="10">
        <v>0.19</v>
      </c>
      <c r="E5097" s="16">
        <v>9</v>
      </c>
      <c r="F5097">
        <v>72440</v>
      </c>
      <c r="G5097" s="5">
        <v>43103</v>
      </c>
    </row>
    <row r="5098" spans="1:7" x14ac:dyDescent="0.4">
      <c r="A5098">
        <v>97</v>
      </c>
      <c r="B5098" t="s">
        <v>2101</v>
      </c>
      <c r="C5098" s="10">
        <v>58.21</v>
      </c>
      <c r="D5098" s="10">
        <v>4.79</v>
      </c>
      <c r="E5098" s="16">
        <v>8.9700000000000006</v>
      </c>
      <c r="F5098">
        <v>330028</v>
      </c>
      <c r="G5098" s="5">
        <v>43103</v>
      </c>
    </row>
    <row r="5099" spans="1:7" x14ac:dyDescent="0.4">
      <c r="A5099">
        <v>98</v>
      </c>
      <c r="B5099" t="s">
        <v>1549</v>
      </c>
      <c r="C5099" s="10">
        <v>2.57</v>
      </c>
      <c r="D5099" s="10">
        <v>0.21</v>
      </c>
      <c r="E5099" s="16">
        <v>8.9</v>
      </c>
      <c r="F5099">
        <v>3704570</v>
      </c>
      <c r="G5099" s="5">
        <v>43103</v>
      </c>
    </row>
    <row r="5100" spans="1:7" x14ac:dyDescent="0.4">
      <c r="A5100">
        <v>99</v>
      </c>
      <c r="B5100" t="s">
        <v>1430</v>
      </c>
      <c r="C5100" s="10">
        <v>2.94</v>
      </c>
      <c r="D5100" s="10">
        <v>0.24</v>
      </c>
      <c r="E5100" s="16">
        <v>8.89</v>
      </c>
      <c r="F5100">
        <v>89005</v>
      </c>
      <c r="G5100" s="5">
        <v>43103</v>
      </c>
    </row>
    <row r="5101" spans="1:7" x14ac:dyDescent="0.4">
      <c r="A5101">
        <v>100</v>
      </c>
      <c r="B5101" t="s">
        <v>1235</v>
      </c>
      <c r="C5101" s="10">
        <v>21.38</v>
      </c>
      <c r="D5101" s="10">
        <v>1.74</v>
      </c>
      <c r="E5101" s="16">
        <v>8.86</v>
      </c>
      <c r="F5101">
        <v>2973999</v>
      </c>
      <c r="G5101" s="5">
        <v>43103</v>
      </c>
    </row>
    <row r="5102" spans="1:7" x14ac:dyDescent="0.4">
      <c r="A5102">
        <v>1</v>
      </c>
      <c r="B5102" t="s">
        <v>2088</v>
      </c>
      <c r="C5102" s="10">
        <v>18.32</v>
      </c>
      <c r="D5102" s="10">
        <v>5.89</v>
      </c>
      <c r="E5102" s="16">
        <v>47.39</v>
      </c>
      <c r="F5102">
        <v>10292414</v>
      </c>
      <c r="G5102" s="5">
        <v>43103</v>
      </c>
    </row>
    <row r="5103" spans="1:7" x14ac:dyDescent="0.4">
      <c r="A5103">
        <v>2</v>
      </c>
      <c r="B5103" t="s">
        <v>940</v>
      </c>
      <c r="C5103" s="10">
        <v>4.6399999999999997</v>
      </c>
      <c r="D5103" s="10">
        <v>0.92</v>
      </c>
      <c r="E5103" s="16">
        <v>24.73</v>
      </c>
      <c r="F5103">
        <v>5871335</v>
      </c>
      <c r="G5103" s="5">
        <v>43103</v>
      </c>
    </row>
    <row r="5104" spans="1:7" x14ac:dyDescent="0.4">
      <c r="A5104">
        <v>3</v>
      </c>
      <c r="B5104" t="s">
        <v>1551</v>
      </c>
      <c r="C5104" s="10">
        <v>47.65</v>
      </c>
      <c r="D5104" s="10">
        <v>8.7799999999999994</v>
      </c>
      <c r="E5104" s="16">
        <v>22.59</v>
      </c>
      <c r="F5104">
        <v>18983160</v>
      </c>
      <c r="G5104" s="5">
        <v>43103</v>
      </c>
    </row>
    <row r="5105" spans="1:7" x14ac:dyDescent="0.4">
      <c r="A5105">
        <v>4</v>
      </c>
      <c r="B5105" t="s">
        <v>1962</v>
      </c>
      <c r="C5105" s="10">
        <v>2.56</v>
      </c>
      <c r="D5105" s="10">
        <v>0.45</v>
      </c>
      <c r="E5105" s="16">
        <v>21.33</v>
      </c>
      <c r="F5105">
        <v>516197</v>
      </c>
      <c r="G5105" s="5">
        <v>43103</v>
      </c>
    </row>
    <row r="5106" spans="1:7" x14ac:dyDescent="0.4">
      <c r="A5106">
        <v>5</v>
      </c>
      <c r="B5106" t="s">
        <v>1348</v>
      </c>
      <c r="C5106" s="10">
        <v>3.69</v>
      </c>
      <c r="D5106" s="10">
        <v>0.63</v>
      </c>
      <c r="E5106" s="16">
        <v>20.59</v>
      </c>
      <c r="F5106">
        <v>598515</v>
      </c>
      <c r="G5106" s="5">
        <v>43103</v>
      </c>
    </row>
    <row r="5107" spans="1:7" x14ac:dyDescent="0.4">
      <c r="A5107">
        <v>6</v>
      </c>
      <c r="B5107" t="s">
        <v>949</v>
      </c>
      <c r="C5107" s="10">
        <v>11.4</v>
      </c>
      <c r="D5107" s="10">
        <v>1.85</v>
      </c>
      <c r="E5107" s="16">
        <v>19.37</v>
      </c>
      <c r="F5107">
        <v>1449483</v>
      </c>
      <c r="G5107" s="5">
        <v>43103</v>
      </c>
    </row>
    <row r="5108" spans="1:7" x14ac:dyDescent="0.4">
      <c r="A5108">
        <v>7</v>
      </c>
      <c r="B5108" t="s">
        <v>339</v>
      </c>
      <c r="C5108" s="10">
        <v>12.7</v>
      </c>
      <c r="D5108" s="10">
        <v>1.95</v>
      </c>
      <c r="E5108" s="16">
        <v>18.14</v>
      </c>
      <c r="F5108">
        <v>27202</v>
      </c>
      <c r="G5108" s="5">
        <v>43103</v>
      </c>
    </row>
    <row r="5109" spans="1:7" x14ac:dyDescent="0.4">
      <c r="A5109">
        <v>8</v>
      </c>
      <c r="B5109" t="s">
        <v>259</v>
      </c>
      <c r="C5109" s="10">
        <v>4.3</v>
      </c>
      <c r="D5109" s="10">
        <v>0.65</v>
      </c>
      <c r="E5109" s="16">
        <v>17.809999999999999</v>
      </c>
      <c r="F5109">
        <v>1529670</v>
      </c>
      <c r="G5109" s="5">
        <v>43103</v>
      </c>
    </row>
    <row r="5110" spans="1:7" x14ac:dyDescent="0.4">
      <c r="A5110">
        <v>9</v>
      </c>
      <c r="B5110" t="s">
        <v>82</v>
      </c>
      <c r="C5110" s="10">
        <v>5.04</v>
      </c>
      <c r="D5110" s="10">
        <v>0.72</v>
      </c>
      <c r="E5110" s="16">
        <v>16.670000000000002</v>
      </c>
      <c r="F5110">
        <v>280099</v>
      </c>
      <c r="G5110" s="5">
        <v>43103</v>
      </c>
    </row>
    <row r="5111" spans="1:7" x14ac:dyDescent="0.4">
      <c r="A5111">
        <v>10</v>
      </c>
      <c r="B5111" t="s">
        <v>757</v>
      </c>
      <c r="C5111" s="10">
        <v>13.38</v>
      </c>
      <c r="D5111" s="10">
        <v>1.85</v>
      </c>
      <c r="E5111" s="16">
        <v>16.05</v>
      </c>
      <c r="F5111">
        <v>10521284</v>
      </c>
      <c r="G5111" s="5">
        <v>43103</v>
      </c>
    </row>
    <row r="5112" spans="1:7" x14ac:dyDescent="0.4">
      <c r="A5112">
        <v>11</v>
      </c>
      <c r="B5112" t="s">
        <v>713</v>
      </c>
      <c r="C5112" s="10">
        <v>6.17</v>
      </c>
      <c r="D5112" s="10">
        <v>0.85</v>
      </c>
      <c r="E5112" s="16">
        <v>16.010000000000002</v>
      </c>
      <c r="F5112">
        <v>35534</v>
      </c>
      <c r="G5112" s="5">
        <v>43103</v>
      </c>
    </row>
    <row r="5113" spans="1:7" x14ac:dyDescent="0.4">
      <c r="A5113">
        <v>12</v>
      </c>
      <c r="B5113" t="s">
        <v>1096</v>
      </c>
      <c r="C5113" s="10">
        <v>4.57</v>
      </c>
      <c r="D5113" s="10">
        <v>0.62</v>
      </c>
      <c r="E5113" s="16">
        <v>15.7</v>
      </c>
      <c r="F5113">
        <v>2176799</v>
      </c>
      <c r="G5113" s="5">
        <v>43103</v>
      </c>
    </row>
    <row r="5114" spans="1:7" x14ac:dyDescent="0.4">
      <c r="A5114">
        <v>13</v>
      </c>
      <c r="B5114" t="s">
        <v>201</v>
      </c>
      <c r="C5114" s="10">
        <v>10.61</v>
      </c>
      <c r="D5114" s="10">
        <v>1.43</v>
      </c>
      <c r="E5114" s="16">
        <v>15.58</v>
      </c>
      <c r="F5114">
        <v>79194</v>
      </c>
      <c r="G5114" s="5">
        <v>43103</v>
      </c>
    </row>
    <row r="5115" spans="1:7" x14ac:dyDescent="0.4">
      <c r="A5115">
        <v>14</v>
      </c>
      <c r="B5115" t="s">
        <v>775</v>
      </c>
      <c r="C5115" s="10">
        <v>44.58</v>
      </c>
      <c r="D5115" s="10">
        <v>5.94</v>
      </c>
      <c r="E5115" s="16">
        <v>15.37</v>
      </c>
      <c r="F5115">
        <v>268642</v>
      </c>
      <c r="G5115" s="5">
        <v>43103</v>
      </c>
    </row>
    <row r="5116" spans="1:7" x14ac:dyDescent="0.4">
      <c r="A5116">
        <v>15</v>
      </c>
      <c r="B5116" t="s">
        <v>2109</v>
      </c>
      <c r="C5116" s="10">
        <v>5.74</v>
      </c>
      <c r="D5116" s="10">
        <v>0.73</v>
      </c>
      <c r="E5116" s="16">
        <v>14.57</v>
      </c>
      <c r="F5116">
        <v>6335</v>
      </c>
      <c r="G5116" s="5">
        <v>43103</v>
      </c>
    </row>
    <row r="5117" spans="1:7" x14ac:dyDescent="0.4">
      <c r="A5117">
        <v>16</v>
      </c>
      <c r="B5117" t="s">
        <v>41</v>
      </c>
      <c r="C5117" s="10">
        <v>5</v>
      </c>
      <c r="D5117" s="10">
        <v>0.63</v>
      </c>
      <c r="E5117" s="16">
        <v>14.42</v>
      </c>
      <c r="F5117">
        <v>1952489</v>
      </c>
      <c r="G5117" s="5">
        <v>43103</v>
      </c>
    </row>
    <row r="5118" spans="1:7" x14ac:dyDescent="0.4">
      <c r="A5118">
        <v>17</v>
      </c>
      <c r="B5118" t="s">
        <v>1075</v>
      </c>
      <c r="C5118" s="10">
        <v>14.3</v>
      </c>
      <c r="D5118" s="10">
        <v>1.8</v>
      </c>
      <c r="E5118" s="16">
        <v>14.4</v>
      </c>
      <c r="F5118">
        <v>201875</v>
      </c>
      <c r="G5118" s="5">
        <v>43103</v>
      </c>
    </row>
    <row r="5119" spans="1:7" x14ac:dyDescent="0.4">
      <c r="A5119">
        <v>18</v>
      </c>
      <c r="B5119" t="s">
        <v>1011</v>
      </c>
      <c r="C5119" s="10">
        <v>2.72</v>
      </c>
      <c r="D5119" s="10">
        <v>0.33</v>
      </c>
      <c r="E5119" s="16">
        <v>13.81</v>
      </c>
      <c r="F5119">
        <v>1544072</v>
      </c>
      <c r="G5119" s="5">
        <v>43103</v>
      </c>
    </row>
    <row r="5120" spans="1:7" x14ac:dyDescent="0.4">
      <c r="A5120">
        <v>19</v>
      </c>
      <c r="B5120" t="s">
        <v>189</v>
      </c>
      <c r="C5120" s="10">
        <v>2.9</v>
      </c>
      <c r="D5120" s="10">
        <v>0.35</v>
      </c>
      <c r="E5120" s="16">
        <v>13.73</v>
      </c>
      <c r="F5120">
        <v>512968</v>
      </c>
      <c r="G5120" s="5">
        <v>43103</v>
      </c>
    </row>
    <row r="5121" spans="1:7" x14ac:dyDescent="0.4">
      <c r="A5121">
        <v>20</v>
      </c>
      <c r="B5121" t="s">
        <v>166</v>
      </c>
      <c r="C5121" s="10">
        <v>4.38</v>
      </c>
      <c r="D5121" s="10">
        <v>0.52</v>
      </c>
      <c r="E5121" s="16">
        <v>13.47</v>
      </c>
      <c r="F5121">
        <v>1806893</v>
      </c>
      <c r="G5121" s="5">
        <v>43103</v>
      </c>
    </row>
    <row r="5122" spans="1:7" x14ac:dyDescent="0.4">
      <c r="A5122">
        <v>21</v>
      </c>
      <c r="B5122" t="s">
        <v>1720</v>
      </c>
      <c r="C5122" s="10">
        <v>5.5</v>
      </c>
      <c r="D5122" s="10">
        <v>0.63</v>
      </c>
      <c r="E5122" s="16">
        <v>12.94</v>
      </c>
      <c r="F5122">
        <v>148991</v>
      </c>
      <c r="G5122" s="5">
        <v>43103</v>
      </c>
    </row>
    <row r="5123" spans="1:7" x14ac:dyDescent="0.4">
      <c r="A5123">
        <v>22</v>
      </c>
      <c r="B5123" t="s">
        <v>26</v>
      </c>
      <c r="C5123" s="10">
        <v>3.8</v>
      </c>
      <c r="D5123" s="10">
        <v>0.43</v>
      </c>
      <c r="E5123" s="16">
        <v>12.76</v>
      </c>
      <c r="F5123">
        <v>180020</v>
      </c>
      <c r="G5123" s="5">
        <v>43103</v>
      </c>
    </row>
    <row r="5124" spans="1:7" x14ac:dyDescent="0.4">
      <c r="A5124">
        <v>23</v>
      </c>
      <c r="B5124" t="s">
        <v>2116</v>
      </c>
      <c r="C5124" s="10">
        <v>13.53</v>
      </c>
      <c r="D5124" s="10">
        <v>1.51</v>
      </c>
      <c r="E5124" s="16">
        <v>12.56</v>
      </c>
      <c r="F5124">
        <v>23031795</v>
      </c>
      <c r="G5124" s="5">
        <v>43103</v>
      </c>
    </row>
    <row r="5125" spans="1:7" x14ac:dyDescent="0.4">
      <c r="A5125">
        <v>24</v>
      </c>
      <c r="B5125" t="s">
        <v>1168</v>
      </c>
      <c r="C5125" s="10">
        <v>3.14</v>
      </c>
      <c r="D5125" s="10">
        <v>0.34</v>
      </c>
      <c r="E5125" s="16">
        <v>12.14</v>
      </c>
      <c r="F5125">
        <v>1266092</v>
      </c>
      <c r="G5125" s="5">
        <v>43103</v>
      </c>
    </row>
    <row r="5126" spans="1:7" x14ac:dyDescent="0.4">
      <c r="A5126">
        <v>25</v>
      </c>
      <c r="B5126" t="s">
        <v>159</v>
      </c>
      <c r="C5126" s="10">
        <v>2.97</v>
      </c>
      <c r="D5126" s="10">
        <v>0.32</v>
      </c>
      <c r="E5126" s="16">
        <v>12.08</v>
      </c>
      <c r="F5126">
        <v>367740</v>
      </c>
      <c r="G5126" s="5">
        <v>43103</v>
      </c>
    </row>
    <row r="5127" spans="1:7" x14ac:dyDescent="0.4">
      <c r="A5127">
        <v>26</v>
      </c>
      <c r="B5127" t="s">
        <v>1568</v>
      </c>
      <c r="C5127" s="10">
        <v>4.16</v>
      </c>
      <c r="D5127" s="10">
        <v>0.44</v>
      </c>
      <c r="E5127" s="16">
        <v>11.83</v>
      </c>
      <c r="F5127">
        <v>5477037</v>
      </c>
      <c r="G5127" s="5">
        <v>43103</v>
      </c>
    </row>
    <row r="5128" spans="1:7" x14ac:dyDescent="0.4">
      <c r="A5128">
        <v>27</v>
      </c>
      <c r="B5128" t="s">
        <v>568</v>
      </c>
      <c r="C5128" s="10">
        <v>2.98</v>
      </c>
      <c r="D5128" s="10">
        <v>0.3</v>
      </c>
      <c r="E5128" s="16">
        <v>11.19</v>
      </c>
      <c r="F5128">
        <v>44677269</v>
      </c>
      <c r="G5128" s="5">
        <v>43103</v>
      </c>
    </row>
    <row r="5129" spans="1:7" x14ac:dyDescent="0.4">
      <c r="A5129">
        <v>28</v>
      </c>
      <c r="B5129" t="s">
        <v>504</v>
      </c>
      <c r="C5129" s="10">
        <v>7.1</v>
      </c>
      <c r="D5129" s="10">
        <v>0.7</v>
      </c>
      <c r="E5129" s="16">
        <v>10.94</v>
      </c>
      <c r="F5129">
        <v>134135</v>
      </c>
      <c r="G5129" s="5">
        <v>43103</v>
      </c>
    </row>
    <row r="5130" spans="1:7" x14ac:dyDescent="0.4">
      <c r="A5130">
        <v>29</v>
      </c>
      <c r="B5130" t="s">
        <v>496</v>
      </c>
      <c r="C5130" s="10">
        <v>40.17</v>
      </c>
      <c r="D5130" s="10">
        <v>3.96</v>
      </c>
      <c r="E5130" s="16">
        <v>10.94</v>
      </c>
      <c r="F5130">
        <v>1693000</v>
      </c>
      <c r="G5130" s="5">
        <v>43103</v>
      </c>
    </row>
    <row r="5131" spans="1:7" x14ac:dyDescent="0.4">
      <c r="A5131">
        <v>30</v>
      </c>
      <c r="B5131" t="s">
        <v>2117</v>
      </c>
      <c r="C5131" s="10">
        <v>69.11</v>
      </c>
      <c r="D5131" s="10">
        <v>6.73</v>
      </c>
      <c r="E5131" s="16">
        <v>10.79</v>
      </c>
      <c r="F5131">
        <v>689269</v>
      </c>
      <c r="G5131" s="5">
        <v>43103</v>
      </c>
    </row>
    <row r="5132" spans="1:7" x14ac:dyDescent="0.4">
      <c r="A5132">
        <v>31</v>
      </c>
      <c r="B5132" t="s">
        <v>1344</v>
      </c>
      <c r="C5132" s="10">
        <v>6.18</v>
      </c>
      <c r="D5132" s="10">
        <v>0.6</v>
      </c>
      <c r="E5132" s="16">
        <v>10.75</v>
      </c>
      <c r="F5132">
        <v>509877</v>
      </c>
      <c r="G5132" s="5">
        <v>43103</v>
      </c>
    </row>
    <row r="5133" spans="1:7" x14ac:dyDescent="0.4">
      <c r="A5133">
        <v>32</v>
      </c>
      <c r="B5133" t="s">
        <v>490</v>
      </c>
      <c r="C5133" s="10">
        <v>71.55</v>
      </c>
      <c r="D5133" s="10">
        <v>6.9</v>
      </c>
      <c r="E5133" s="16">
        <v>10.67</v>
      </c>
      <c r="F5133">
        <v>4343268</v>
      </c>
      <c r="G5133" s="5">
        <v>43103</v>
      </c>
    </row>
    <row r="5134" spans="1:7" x14ac:dyDescent="0.4">
      <c r="A5134">
        <v>33</v>
      </c>
      <c r="B5134" t="s">
        <v>942</v>
      </c>
      <c r="C5134" s="10">
        <v>2.71</v>
      </c>
      <c r="D5134" s="10">
        <v>0.25</v>
      </c>
      <c r="E5134" s="16">
        <v>10.37</v>
      </c>
      <c r="F5134">
        <v>30369</v>
      </c>
      <c r="G5134" s="5">
        <v>43103</v>
      </c>
    </row>
    <row r="5135" spans="1:7" x14ac:dyDescent="0.4">
      <c r="A5135">
        <v>34</v>
      </c>
      <c r="B5135" t="s">
        <v>1169</v>
      </c>
      <c r="C5135" s="10">
        <v>13.63</v>
      </c>
      <c r="D5135" s="10">
        <v>1.27</v>
      </c>
      <c r="E5135" s="16">
        <v>10.28</v>
      </c>
      <c r="F5135">
        <v>536763</v>
      </c>
      <c r="G5135" s="5">
        <v>43103</v>
      </c>
    </row>
    <row r="5136" spans="1:7" x14ac:dyDescent="0.4">
      <c r="A5136">
        <v>35</v>
      </c>
      <c r="B5136" t="s">
        <v>173</v>
      </c>
      <c r="C5136" s="10">
        <v>4.55</v>
      </c>
      <c r="D5136" s="10">
        <v>0.4</v>
      </c>
      <c r="E5136" s="16">
        <v>9.64</v>
      </c>
      <c r="F5136">
        <v>139097</v>
      </c>
      <c r="G5136" s="5">
        <v>43103</v>
      </c>
    </row>
    <row r="5137" spans="1:7" x14ac:dyDescent="0.4">
      <c r="A5137">
        <v>36</v>
      </c>
      <c r="B5137" t="s">
        <v>1166</v>
      </c>
      <c r="C5137" s="10">
        <v>12.75</v>
      </c>
      <c r="D5137" s="10">
        <v>1.1200000000000001</v>
      </c>
      <c r="E5137" s="16">
        <v>9.6300000000000008</v>
      </c>
      <c r="F5137">
        <v>203109</v>
      </c>
      <c r="G5137" s="5">
        <v>43103</v>
      </c>
    </row>
    <row r="5138" spans="1:7" x14ac:dyDescent="0.4">
      <c r="A5138">
        <v>37</v>
      </c>
      <c r="B5138" t="s">
        <v>2094</v>
      </c>
      <c r="C5138" s="10">
        <v>3.2</v>
      </c>
      <c r="D5138" s="10">
        <v>0.28000000000000003</v>
      </c>
      <c r="E5138" s="16">
        <v>9.59</v>
      </c>
      <c r="F5138">
        <v>968668</v>
      </c>
      <c r="G5138" s="5">
        <v>43103</v>
      </c>
    </row>
    <row r="5139" spans="1:7" x14ac:dyDescent="0.4">
      <c r="A5139">
        <v>38</v>
      </c>
      <c r="B5139" t="s">
        <v>1676</v>
      </c>
      <c r="C5139" s="10">
        <v>4</v>
      </c>
      <c r="D5139" s="10">
        <v>0.35</v>
      </c>
      <c r="E5139" s="16">
        <v>9.59</v>
      </c>
      <c r="F5139">
        <v>16450</v>
      </c>
      <c r="G5139" s="5">
        <v>43103</v>
      </c>
    </row>
    <row r="5140" spans="1:7" x14ac:dyDescent="0.4">
      <c r="A5140">
        <v>39</v>
      </c>
      <c r="B5140" t="s">
        <v>446</v>
      </c>
      <c r="C5140" s="10">
        <v>48.2</v>
      </c>
      <c r="D5140" s="10">
        <v>4.2</v>
      </c>
      <c r="E5140" s="16">
        <v>9.5500000000000007</v>
      </c>
      <c r="F5140">
        <v>13787</v>
      </c>
      <c r="G5140" s="5">
        <v>43103</v>
      </c>
    </row>
    <row r="5141" spans="1:7" x14ac:dyDescent="0.4">
      <c r="A5141">
        <v>40</v>
      </c>
      <c r="B5141" t="s">
        <v>1382</v>
      </c>
      <c r="C5141" s="10">
        <v>3.34</v>
      </c>
      <c r="D5141" s="10">
        <v>0.28999999999999998</v>
      </c>
      <c r="E5141" s="16">
        <v>9.51</v>
      </c>
      <c r="F5141">
        <v>239825</v>
      </c>
      <c r="G5141" s="5">
        <v>43103</v>
      </c>
    </row>
    <row r="5142" spans="1:7" x14ac:dyDescent="0.4">
      <c r="A5142">
        <v>41</v>
      </c>
      <c r="B5142" t="s">
        <v>2118</v>
      </c>
      <c r="C5142" s="10">
        <v>8.86</v>
      </c>
      <c r="D5142" s="10">
        <v>0.76</v>
      </c>
      <c r="E5142" s="16">
        <v>9.3800000000000008</v>
      </c>
      <c r="F5142">
        <v>9870561</v>
      </c>
      <c r="G5142" s="5">
        <v>43103</v>
      </c>
    </row>
    <row r="5143" spans="1:7" x14ac:dyDescent="0.4">
      <c r="A5143">
        <v>42</v>
      </c>
      <c r="B5143" t="s">
        <v>1353</v>
      </c>
      <c r="C5143" s="10">
        <v>2.35</v>
      </c>
      <c r="D5143" s="10">
        <v>0.2</v>
      </c>
      <c r="E5143" s="16">
        <v>9.3000000000000007</v>
      </c>
      <c r="F5143">
        <v>39568</v>
      </c>
      <c r="G5143" s="5">
        <v>43103</v>
      </c>
    </row>
    <row r="5144" spans="1:7" x14ac:dyDescent="0.4">
      <c r="A5144">
        <v>43</v>
      </c>
      <c r="B5144" t="s">
        <v>1872</v>
      </c>
      <c r="C5144" s="10">
        <v>2.52</v>
      </c>
      <c r="D5144" s="10">
        <v>0.21</v>
      </c>
      <c r="E5144" s="16">
        <v>9.09</v>
      </c>
      <c r="F5144">
        <v>40216</v>
      </c>
      <c r="G5144" s="5">
        <v>43103</v>
      </c>
    </row>
    <row r="5145" spans="1:7" x14ac:dyDescent="0.4">
      <c r="A5145">
        <v>44</v>
      </c>
      <c r="B5145" t="s">
        <v>215</v>
      </c>
      <c r="C5145" s="10">
        <v>22.64</v>
      </c>
      <c r="D5145" s="10">
        <v>1.86</v>
      </c>
      <c r="E5145" s="16">
        <v>8.9499999999999993</v>
      </c>
      <c r="F5145">
        <v>152252</v>
      </c>
      <c r="G5145" s="5">
        <v>43103</v>
      </c>
    </row>
    <row r="5146" spans="1:7" x14ac:dyDescent="0.4">
      <c r="A5146">
        <v>45</v>
      </c>
      <c r="B5146" t="s">
        <v>2119</v>
      </c>
      <c r="C5146" s="10">
        <v>55.13</v>
      </c>
      <c r="D5146" s="10">
        <v>4.5</v>
      </c>
      <c r="E5146" s="16">
        <v>8.89</v>
      </c>
      <c r="F5146">
        <v>846397</v>
      </c>
      <c r="G5146" s="5">
        <v>43103</v>
      </c>
    </row>
    <row r="5147" spans="1:7" x14ac:dyDescent="0.4">
      <c r="A5147">
        <v>46</v>
      </c>
      <c r="B5147" t="s">
        <v>902</v>
      </c>
      <c r="C5147" s="10">
        <v>118.94</v>
      </c>
      <c r="D5147" s="10">
        <v>9.58</v>
      </c>
      <c r="E5147" s="16">
        <v>8.76</v>
      </c>
      <c r="F5147">
        <v>1538228</v>
      </c>
      <c r="G5147" s="5">
        <v>43103</v>
      </c>
    </row>
    <row r="5148" spans="1:7" x14ac:dyDescent="0.4">
      <c r="A5148">
        <v>47</v>
      </c>
      <c r="B5148" t="s">
        <v>824</v>
      </c>
      <c r="C5148" s="10">
        <v>4.49</v>
      </c>
      <c r="D5148" s="10">
        <v>0.36</v>
      </c>
      <c r="E5148" s="16">
        <v>8.7200000000000006</v>
      </c>
      <c r="F5148">
        <v>74729</v>
      </c>
      <c r="G5148" s="5">
        <v>43103</v>
      </c>
    </row>
    <row r="5149" spans="1:7" x14ac:dyDescent="0.4">
      <c r="A5149">
        <v>48</v>
      </c>
      <c r="B5149" t="s">
        <v>1511</v>
      </c>
      <c r="C5149" s="10">
        <v>4.5</v>
      </c>
      <c r="D5149" s="10">
        <v>0.36</v>
      </c>
      <c r="E5149" s="16">
        <v>8.6999999999999993</v>
      </c>
      <c r="F5149">
        <v>849109</v>
      </c>
      <c r="G5149" s="5">
        <v>43103</v>
      </c>
    </row>
    <row r="5150" spans="1:7" x14ac:dyDescent="0.4">
      <c r="A5150">
        <v>49</v>
      </c>
      <c r="B5150" t="s">
        <v>522</v>
      </c>
      <c r="C5150" s="10">
        <v>5.05</v>
      </c>
      <c r="D5150" s="10">
        <v>0.4</v>
      </c>
      <c r="E5150" s="16">
        <v>8.6</v>
      </c>
      <c r="F5150">
        <v>4447588</v>
      </c>
      <c r="G5150" s="5">
        <v>43103</v>
      </c>
    </row>
    <row r="5151" spans="1:7" x14ac:dyDescent="0.4">
      <c r="A5151">
        <v>50</v>
      </c>
      <c r="B5151" t="s">
        <v>434</v>
      </c>
      <c r="C5151" s="10">
        <v>2.29</v>
      </c>
      <c r="D5151" s="10">
        <v>0.18</v>
      </c>
      <c r="E5151" s="16">
        <v>8.5299999999999994</v>
      </c>
      <c r="F5151">
        <v>794440</v>
      </c>
      <c r="G5151" s="5">
        <v>43103</v>
      </c>
    </row>
    <row r="5152" spans="1:7" x14ac:dyDescent="0.4">
      <c r="A5152">
        <v>51</v>
      </c>
      <c r="B5152" t="s">
        <v>1334</v>
      </c>
      <c r="C5152" s="10">
        <v>5.5</v>
      </c>
      <c r="D5152" s="10">
        <v>0.43</v>
      </c>
      <c r="E5152" s="16">
        <v>8.48</v>
      </c>
      <c r="F5152">
        <v>24942</v>
      </c>
      <c r="G5152" s="5">
        <v>43103</v>
      </c>
    </row>
    <row r="5153" spans="1:7" x14ac:dyDescent="0.4">
      <c r="A5153">
        <v>52</v>
      </c>
      <c r="B5153" t="s">
        <v>2111</v>
      </c>
      <c r="C5153" s="10">
        <v>5.98</v>
      </c>
      <c r="D5153" s="10">
        <v>0.46</v>
      </c>
      <c r="E5153" s="16">
        <v>8.41</v>
      </c>
      <c r="F5153">
        <v>24601</v>
      </c>
      <c r="G5153" s="5">
        <v>43103</v>
      </c>
    </row>
    <row r="5154" spans="1:7" x14ac:dyDescent="0.4">
      <c r="A5154">
        <v>53</v>
      </c>
      <c r="B5154" t="s">
        <v>1097</v>
      </c>
      <c r="C5154" s="10">
        <v>4.01</v>
      </c>
      <c r="D5154" s="10">
        <v>0.31</v>
      </c>
      <c r="E5154" s="16">
        <v>8.3800000000000008</v>
      </c>
      <c r="F5154">
        <v>190496</v>
      </c>
      <c r="G5154" s="5">
        <v>43103</v>
      </c>
    </row>
    <row r="5155" spans="1:7" x14ac:dyDescent="0.4">
      <c r="A5155">
        <v>54</v>
      </c>
      <c r="B5155" t="s">
        <v>2120</v>
      </c>
      <c r="C5155" s="10">
        <v>7.15</v>
      </c>
      <c r="D5155" s="10">
        <v>0.55000000000000004</v>
      </c>
      <c r="E5155" s="16">
        <v>8.33</v>
      </c>
      <c r="F5155">
        <v>111662</v>
      </c>
      <c r="G5155" s="5">
        <v>43103</v>
      </c>
    </row>
    <row r="5156" spans="1:7" x14ac:dyDescent="0.4">
      <c r="A5156">
        <v>55</v>
      </c>
      <c r="B5156" t="s">
        <v>2106</v>
      </c>
      <c r="C5156" s="10">
        <v>2.5099999999999998</v>
      </c>
      <c r="D5156" s="10">
        <v>0.19</v>
      </c>
      <c r="E5156" s="16">
        <v>8.19</v>
      </c>
      <c r="F5156">
        <v>34530</v>
      </c>
      <c r="G5156" s="5">
        <v>43103</v>
      </c>
    </row>
    <row r="5157" spans="1:7" x14ac:dyDescent="0.4">
      <c r="A5157">
        <v>56</v>
      </c>
      <c r="B5157" t="s">
        <v>1301</v>
      </c>
      <c r="C5157" s="10">
        <v>5.18</v>
      </c>
      <c r="D5157" s="10">
        <v>0.39</v>
      </c>
      <c r="E5157" s="16">
        <v>8.14</v>
      </c>
      <c r="F5157">
        <v>259122</v>
      </c>
      <c r="G5157" s="5">
        <v>43103</v>
      </c>
    </row>
    <row r="5158" spans="1:7" x14ac:dyDescent="0.4">
      <c r="A5158">
        <v>57</v>
      </c>
      <c r="B5158" t="s">
        <v>2121</v>
      </c>
      <c r="C5158" s="10">
        <v>92.08</v>
      </c>
      <c r="D5158" s="10">
        <v>6.92</v>
      </c>
      <c r="E5158" s="16">
        <v>8.1300000000000008</v>
      </c>
      <c r="F5158">
        <v>1556099</v>
      </c>
      <c r="G5158" s="5">
        <v>43103</v>
      </c>
    </row>
    <row r="5159" spans="1:7" x14ac:dyDescent="0.4">
      <c r="A5159">
        <v>58</v>
      </c>
      <c r="B5159" t="s">
        <v>606</v>
      </c>
      <c r="C5159" s="10">
        <v>43.3</v>
      </c>
      <c r="D5159" s="10">
        <v>3.25</v>
      </c>
      <c r="E5159" s="16">
        <v>8.11</v>
      </c>
      <c r="F5159">
        <v>235396</v>
      </c>
      <c r="G5159" s="5">
        <v>43103</v>
      </c>
    </row>
    <row r="5160" spans="1:7" x14ac:dyDescent="0.4">
      <c r="A5160">
        <v>59</v>
      </c>
      <c r="B5160" t="s">
        <v>1104</v>
      </c>
      <c r="C5160" s="10">
        <v>9.34</v>
      </c>
      <c r="D5160" s="10">
        <v>0.7</v>
      </c>
      <c r="E5160" s="16">
        <v>8.1</v>
      </c>
      <c r="F5160">
        <v>77509</v>
      </c>
      <c r="G5160" s="5">
        <v>43103</v>
      </c>
    </row>
    <row r="5161" spans="1:7" x14ac:dyDescent="0.4">
      <c r="A5161">
        <v>60</v>
      </c>
      <c r="B5161" t="s">
        <v>903</v>
      </c>
      <c r="C5161" s="10">
        <v>17.920000000000002</v>
      </c>
      <c r="D5161" s="10">
        <v>1.34</v>
      </c>
      <c r="E5161" s="16">
        <v>8.08</v>
      </c>
      <c r="F5161">
        <v>2949272</v>
      </c>
      <c r="G5161" s="5">
        <v>43103</v>
      </c>
    </row>
    <row r="5162" spans="1:7" x14ac:dyDescent="0.4">
      <c r="A5162">
        <v>61</v>
      </c>
      <c r="B5162" t="s">
        <v>1243</v>
      </c>
      <c r="C5162" s="10">
        <v>35.729999999999997</v>
      </c>
      <c r="D5162" s="10">
        <v>2.67</v>
      </c>
      <c r="E5162" s="16">
        <v>8.08</v>
      </c>
      <c r="F5162">
        <v>676983</v>
      </c>
      <c r="G5162" s="5">
        <v>43103</v>
      </c>
    </row>
    <row r="5163" spans="1:7" x14ac:dyDescent="0.4">
      <c r="A5163">
        <v>62</v>
      </c>
      <c r="B5163" t="s">
        <v>1140</v>
      </c>
      <c r="C5163" s="10">
        <v>3.94</v>
      </c>
      <c r="D5163" s="10">
        <v>0.28999999999999998</v>
      </c>
      <c r="E5163" s="16">
        <v>7.95</v>
      </c>
      <c r="F5163">
        <v>749665</v>
      </c>
      <c r="G5163" s="5">
        <v>43103</v>
      </c>
    </row>
    <row r="5164" spans="1:7" x14ac:dyDescent="0.4">
      <c r="A5164">
        <v>63</v>
      </c>
      <c r="B5164" t="s">
        <v>1061</v>
      </c>
      <c r="C5164" s="10">
        <v>12.95</v>
      </c>
      <c r="D5164" s="10">
        <v>0.95</v>
      </c>
      <c r="E5164" s="16">
        <v>7.92</v>
      </c>
      <c r="F5164">
        <v>652662</v>
      </c>
      <c r="G5164" s="5">
        <v>43103</v>
      </c>
    </row>
    <row r="5165" spans="1:7" x14ac:dyDescent="0.4">
      <c r="A5165">
        <v>64</v>
      </c>
      <c r="B5165" t="s">
        <v>1383</v>
      </c>
      <c r="C5165" s="10">
        <v>4.83</v>
      </c>
      <c r="D5165" s="10">
        <v>0.35</v>
      </c>
      <c r="E5165" s="16">
        <v>7.81</v>
      </c>
      <c r="F5165">
        <v>961803</v>
      </c>
      <c r="G5165" s="5">
        <v>43103</v>
      </c>
    </row>
    <row r="5166" spans="1:7" x14ac:dyDescent="0.4">
      <c r="A5166">
        <v>65</v>
      </c>
      <c r="B5166" t="s">
        <v>1951</v>
      </c>
      <c r="C5166" s="10">
        <v>55.83</v>
      </c>
      <c r="D5166" s="10">
        <v>4.04</v>
      </c>
      <c r="E5166" s="16">
        <v>7.8</v>
      </c>
      <c r="F5166">
        <v>1967736</v>
      </c>
      <c r="G5166" s="5">
        <v>43103</v>
      </c>
    </row>
    <row r="5167" spans="1:7" x14ac:dyDescent="0.4">
      <c r="A5167">
        <v>66</v>
      </c>
      <c r="B5167" t="s">
        <v>2122</v>
      </c>
      <c r="C5167" s="10">
        <v>47.08</v>
      </c>
      <c r="D5167" s="10">
        <v>3.4</v>
      </c>
      <c r="E5167" s="16">
        <v>7.78</v>
      </c>
      <c r="F5167">
        <v>1089950</v>
      </c>
      <c r="G5167" s="5">
        <v>43103</v>
      </c>
    </row>
    <row r="5168" spans="1:7" x14ac:dyDescent="0.4">
      <c r="A5168">
        <v>67</v>
      </c>
      <c r="B5168" t="s">
        <v>503</v>
      </c>
      <c r="C5168" s="10">
        <v>14.43</v>
      </c>
      <c r="D5168" s="10">
        <v>1.04</v>
      </c>
      <c r="E5168" s="16">
        <v>7.77</v>
      </c>
      <c r="F5168">
        <v>9284</v>
      </c>
      <c r="G5168" s="5">
        <v>43103</v>
      </c>
    </row>
    <row r="5169" spans="1:7" x14ac:dyDescent="0.4">
      <c r="A5169">
        <v>68</v>
      </c>
      <c r="B5169" t="s">
        <v>958</v>
      </c>
      <c r="C5169" s="10">
        <v>17.09</v>
      </c>
      <c r="D5169" s="10">
        <v>1.23</v>
      </c>
      <c r="E5169" s="16">
        <v>7.76</v>
      </c>
      <c r="F5169">
        <v>164406</v>
      </c>
      <c r="G5169" s="5">
        <v>43103</v>
      </c>
    </row>
    <row r="5170" spans="1:7" x14ac:dyDescent="0.4">
      <c r="A5170">
        <v>69</v>
      </c>
      <c r="B5170" t="s">
        <v>2123</v>
      </c>
      <c r="C5170" s="10">
        <v>13.25</v>
      </c>
      <c r="D5170" s="10">
        <v>0.95</v>
      </c>
      <c r="E5170" s="16">
        <v>7.72</v>
      </c>
      <c r="F5170">
        <v>258748</v>
      </c>
      <c r="G5170" s="5">
        <v>43103</v>
      </c>
    </row>
    <row r="5171" spans="1:7" x14ac:dyDescent="0.4">
      <c r="A5171">
        <v>70</v>
      </c>
      <c r="B5171" t="s">
        <v>2124</v>
      </c>
      <c r="C5171" s="10">
        <v>7.75</v>
      </c>
      <c r="D5171" s="10">
        <v>0.55000000000000004</v>
      </c>
      <c r="E5171" s="16">
        <v>7.64</v>
      </c>
      <c r="F5171">
        <v>107842</v>
      </c>
      <c r="G5171" s="5">
        <v>43103</v>
      </c>
    </row>
    <row r="5172" spans="1:7" x14ac:dyDescent="0.4">
      <c r="A5172">
        <v>71</v>
      </c>
      <c r="B5172" t="s">
        <v>1250</v>
      </c>
      <c r="C5172" s="10">
        <v>11.21</v>
      </c>
      <c r="D5172" s="10">
        <v>0.79</v>
      </c>
      <c r="E5172" s="16">
        <v>7.58</v>
      </c>
      <c r="F5172">
        <v>49629</v>
      </c>
      <c r="G5172" s="5">
        <v>43103</v>
      </c>
    </row>
    <row r="5173" spans="1:7" x14ac:dyDescent="0.4">
      <c r="A5173">
        <v>72</v>
      </c>
      <c r="B5173" t="s">
        <v>123</v>
      </c>
      <c r="C5173" s="10">
        <v>4.4000000000000004</v>
      </c>
      <c r="D5173" s="10">
        <v>0.31</v>
      </c>
      <c r="E5173" s="16">
        <v>7.58</v>
      </c>
      <c r="F5173">
        <v>12611</v>
      </c>
      <c r="G5173" s="5">
        <v>43103</v>
      </c>
    </row>
    <row r="5174" spans="1:7" x14ac:dyDescent="0.4">
      <c r="A5174">
        <v>73</v>
      </c>
      <c r="B5174" t="s">
        <v>854</v>
      </c>
      <c r="C5174" s="10">
        <v>14.35</v>
      </c>
      <c r="D5174" s="10">
        <v>1</v>
      </c>
      <c r="E5174" s="16">
        <v>7.49</v>
      </c>
      <c r="F5174">
        <v>7369</v>
      </c>
      <c r="G5174" s="5">
        <v>43103</v>
      </c>
    </row>
    <row r="5175" spans="1:7" x14ac:dyDescent="0.4">
      <c r="A5175">
        <v>74</v>
      </c>
      <c r="B5175" t="s">
        <v>832</v>
      </c>
      <c r="C5175" s="10">
        <v>44.5</v>
      </c>
      <c r="D5175" s="10">
        <v>3.09</v>
      </c>
      <c r="E5175" s="16">
        <v>7.46</v>
      </c>
      <c r="F5175">
        <v>2672</v>
      </c>
      <c r="G5175" s="5">
        <v>43103</v>
      </c>
    </row>
    <row r="5176" spans="1:7" x14ac:dyDescent="0.4">
      <c r="A5176">
        <v>75</v>
      </c>
      <c r="B5176" t="s">
        <v>2089</v>
      </c>
      <c r="C5176" s="10">
        <v>6.5</v>
      </c>
      <c r="D5176" s="10">
        <v>0.45</v>
      </c>
      <c r="E5176" s="16">
        <v>7.44</v>
      </c>
      <c r="F5176">
        <v>280692</v>
      </c>
      <c r="G5176" s="5">
        <v>43103</v>
      </c>
    </row>
    <row r="5177" spans="1:7" x14ac:dyDescent="0.4">
      <c r="A5177">
        <v>76</v>
      </c>
      <c r="B5177" t="s">
        <v>864</v>
      </c>
      <c r="C5177" s="10">
        <v>9.1</v>
      </c>
      <c r="D5177" s="10">
        <v>0.63</v>
      </c>
      <c r="E5177" s="16">
        <v>7.44</v>
      </c>
      <c r="F5177">
        <v>1004367</v>
      </c>
      <c r="G5177" s="5">
        <v>43103</v>
      </c>
    </row>
    <row r="5178" spans="1:7" x14ac:dyDescent="0.4">
      <c r="A5178">
        <v>77</v>
      </c>
      <c r="B5178" t="s">
        <v>786</v>
      </c>
      <c r="C5178" s="10">
        <v>100.95</v>
      </c>
      <c r="D5178" s="10">
        <v>6.95</v>
      </c>
      <c r="E5178" s="16">
        <v>7.39</v>
      </c>
      <c r="F5178">
        <v>105622</v>
      </c>
      <c r="G5178" s="5">
        <v>43103</v>
      </c>
    </row>
    <row r="5179" spans="1:7" x14ac:dyDescent="0.4">
      <c r="A5179">
        <v>78</v>
      </c>
      <c r="B5179" t="s">
        <v>324</v>
      </c>
      <c r="C5179" s="10">
        <v>10.08</v>
      </c>
      <c r="D5179" s="10">
        <v>0.69</v>
      </c>
      <c r="E5179" s="16">
        <v>7.35</v>
      </c>
      <c r="F5179">
        <v>104406</v>
      </c>
      <c r="G5179" s="5">
        <v>43103</v>
      </c>
    </row>
    <row r="5180" spans="1:7" x14ac:dyDescent="0.4">
      <c r="A5180">
        <v>79</v>
      </c>
      <c r="B5180" t="s">
        <v>1004</v>
      </c>
      <c r="C5180" s="10">
        <v>2.2200000000000002</v>
      </c>
      <c r="D5180" s="10">
        <v>0.15</v>
      </c>
      <c r="E5180" s="16">
        <v>7.25</v>
      </c>
      <c r="F5180">
        <v>1912667</v>
      </c>
      <c r="G5180" s="5">
        <v>43103</v>
      </c>
    </row>
    <row r="5181" spans="1:7" x14ac:dyDescent="0.4">
      <c r="A5181">
        <v>80</v>
      </c>
      <c r="B5181" t="s">
        <v>387</v>
      </c>
      <c r="C5181" s="10">
        <v>3.7</v>
      </c>
      <c r="D5181" s="10">
        <v>0.25</v>
      </c>
      <c r="E5181" s="16">
        <v>7.25</v>
      </c>
      <c r="F5181">
        <v>13400</v>
      </c>
      <c r="G5181" s="5">
        <v>43103</v>
      </c>
    </row>
    <row r="5182" spans="1:7" x14ac:dyDescent="0.4">
      <c r="A5182">
        <v>81</v>
      </c>
      <c r="B5182" t="s">
        <v>2125</v>
      </c>
      <c r="C5182" s="10">
        <v>2.4</v>
      </c>
      <c r="D5182" s="10">
        <v>0.16</v>
      </c>
      <c r="E5182" s="16">
        <v>7.14</v>
      </c>
      <c r="F5182">
        <v>114841</v>
      </c>
      <c r="G5182" s="5">
        <v>43103</v>
      </c>
    </row>
    <row r="5183" spans="1:7" x14ac:dyDescent="0.4">
      <c r="A5183">
        <v>82</v>
      </c>
      <c r="B5183" t="s">
        <v>631</v>
      </c>
      <c r="C5183" s="10">
        <v>6.61</v>
      </c>
      <c r="D5183" s="10">
        <v>0.44</v>
      </c>
      <c r="E5183" s="16">
        <v>7.13</v>
      </c>
      <c r="F5183">
        <v>19595654</v>
      </c>
      <c r="G5183" s="5">
        <v>43103</v>
      </c>
    </row>
    <row r="5184" spans="1:7" x14ac:dyDescent="0.4">
      <c r="A5184">
        <v>83</v>
      </c>
      <c r="B5184" t="s">
        <v>2126</v>
      </c>
      <c r="C5184" s="10">
        <v>50.4</v>
      </c>
      <c r="D5184" s="10">
        <v>3.34</v>
      </c>
      <c r="E5184" s="16">
        <v>7.1</v>
      </c>
      <c r="F5184">
        <v>2121914</v>
      </c>
      <c r="G5184" s="5">
        <v>43103</v>
      </c>
    </row>
    <row r="5185" spans="1:7" x14ac:dyDescent="0.4">
      <c r="A5185">
        <v>84</v>
      </c>
      <c r="B5185" t="s">
        <v>535</v>
      </c>
      <c r="C5185" s="10">
        <v>26.54</v>
      </c>
      <c r="D5185" s="10">
        <v>1.74</v>
      </c>
      <c r="E5185" s="16">
        <v>7.02</v>
      </c>
      <c r="F5185">
        <v>3067837</v>
      </c>
      <c r="G5185" s="5">
        <v>43103</v>
      </c>
    </row>
    <row r="5186" spans="1:7" x14ac:dyDescent="0.4">
      <c r="A5186">
        <v>85</v>
      </c>
      <c r="B5186" t="s">
        <v>1170</v>
      </c>
      <c r="C5186" s="10">
        <v>5.82</v>
      </c>
      <c r="D5186" s="10">
        <v>0.38</v>
      </c>
      <c r="E5186" s="16">
        <v>6.99</v>
      </c>
      <c r="F5186">
        <v>2043172</v>
      </c>
      <c r="G5186" s="5">
        <v>43103</v>
      </c>
    </row>
    <row r="5187" spans="1:7" x14ac:dyDescent="0.4">
      <c r="A5187">
        <v>86</v>
      </c>
      <c r="B5187" t="s">
        <v>910</v>
      </c>
      <c r="C5187" s="10">
        <v>5.99</v>
      </c>
      <c r="D5187" s="10">
        <v>0.39</v>
      </c>
      <c r="E5187" s="16">
        <v>6.96</v>
      </c>
      <c r="F5187">
        <v>134815</v>
      </c>
      <c r="G5187" s="5">
        <v>43103</v>
      </c>
    </row>
    <row r="5188" spans="1:7" x14ac:dyDescent="0.4">
      <c r="A5188">
        <v>87</v>
      </c>
      <c r="B5188" t="s">
        <v>2127</v>
      </c>
      <c r="C5188" s="10">
        <v>120.21</v>
      </c>
      <c r="D5188" s="10">
        <v>7.82</v>
      </c>
      <c r="E5188" s="16">
        <v>6.96</v>
      </c>
      <c r="F5188">
        <v>1484536</v>
      </c>
      <c r="G5188" s="5">
        <v>43103</v>
      </c>
    </row>
    <row r="5189" spans="1:7" x14ac:dyDescent="0.4">
      <c r="A5189">
        <v>88</v>
      </c>
      <c r="B5189" t="s">
        <v>923</v>
      </c>
      <c r="C5189" s="10">
        <v>8.5</v>
      </c>
      <c r="D5189" s="10">
        <v>0.55000000000000004</v>
      </c>
      <c r="E5189" s="16">
        <v>6.92</v>
      </c>
      <c r="F5189">
        <v>2424080</v>
      </c>
      <c r="G5189" s="5">
        <v>43103</v>
      </c>
    </row>
    <row r="5190" spans="1:7" x14ac:dyDescent="0.4">
      <c r="A5190">
        <v>89</v>
      </c>
      <c r="B5190" t="s">
        <v>2041</v>
      </c>
      <c r="C5190" s="10">
        <v>9</v>
      </c>
      <c r="D5190" s="10">
        <v>0.57999999999999996</v>
      </c>
      <c r="E5190" s="16">
        <v>6.89</v>
      </c>
      <c r="F5190">
        <v>1149701</v>
      </c>
      <c r="G5190" s="5">
        <v>43103</v>
      </c>
    </row>
    <row r="5191" spans="1:7" x14ac:dyDescent="0.4">
      <c r="A5191">
        <v>90</v>
      </c>
      <c r="B5191" t="s">
        <v>2128</v>
      </c>
      <c r="C5191" s="10">
        <v>20.38</v>
      </c>
      <c r="D5191" s="10">
        <v>1.31</v>
      </c>
      <c r="E5191" s="16">
        <v>6.87</v>
      </c>
      <c r="F5191">
        <v>14530</v>
      </c>
      <c r="G5191" s="5">
        <v>43103</v>
      </c>
    </row>
    <row r="5192" spans="1:7" x14ac:dyDescent="0.4">
      <c r="A5192">
        <v>91</v>
      </c>
      <c r="B5192" t="s">
        <v>2087</v>
      </c>
      <c r="C5192" s="10">
        <v>6.59</v>
      </c>
      <c r="D5192" s="10">
        <v>0.42</v>
      </c>
      <c r="E5192" s="16">
        <v>6.81</v>
      </c>
      <c r="F5192">
        <v>1337484</v>
      </c>
      <c r="G5192" s="5">
        <v>43103</v>
      </c>
    </row>
    <row r="5193" spans="1:7" x14ac:dyDescent="0.4">
      <c r="A5193">
        <v>92</v>
      </c>
      <c r="B5193" t="s">
        <v>570</v>
      </c>
      <c r="C5193" s="10">
        <v>11.19</v>
      </c>
      <c r="D5193" s="10">
        <v>0.71</v>
      </c>
      <c r="E5193" s="16">
        <v>6.77</v>
      </c>
      <c r="F5193">
        <v>865713</v>
      </c>
      <c r="G5193" s="5">
        <v>43103</v>
      </c>
    </row>
    <row r="5194" spans="1:7" x14ac:dyDescent="0.4">
      <c r="A5194">
        <v>93</v>
      </c>
      <c r="B5194" t="s">
        <v>172</v>
      </c>
      <c r="C5194" s="10">
        <v>15.81</v>
      </c>
      <c r="D5194" s="10">
        <v>1</v>
      </c>
      <c r="E5194" s="16">
        <v>6.75</v>
      </c>
      <c r="F5194">
        <v>62450</v>
      </c>
      <c r="G5194" s="5">
        <v>43103</v>
      </c>
    </row>
    <row r="5195" spans="1:7" x14ac:dyDescent="0.4">
      <c r="A5195">
        <v>94</v>
      </c>
      <c r="B5195" t="s">
        <v>409</v>
      </c>
      <c r="C5195" s="10">
        <v>245.12</v>
      </c>
      <c r="D5195" s="10">
        <v>15.49</v>
      </c>
      <c r="E5195" s="16">
        <v>6.75</v>
      </c>
      <c r="F5195">
        <v>1959484</v>
      </c>
      <c r="G5195" s="5">
        <v>43103</v>
      </c>
    </row>
    <row r="5196" spans="1:7" x14ac:dyDescent="0.4">
      <c r="A5196">
        <v>95</v>
      </c>
      <c r="B5196" t="s">
        <v>1657</v>
      </c>
      <c r="C5196" s="10">
        <v>24.3</v>
      </c>
      <c r="D5196" s="10">
        <v>1.53</v>
      </c>
      <c r="E5196" s="16">
        <v>6.72</v>
      </c>
      <c r="F5196">
        <v>6058302</v>
      </c>
      <c r="G5196" s="5">
        <v>43103</v>
      </c>
    </row>
    <row r="5197" spans="1:7" x14ac:dyDescent="0.4">
      <c r="A5197">
        <v>96</v>
      </c>
      <c r="B5197" t="s">
        <v>858</v>
      </c>
      <c r="C5197" s="10">
        <v>17.489999999999998</v>
      </c>
      <c r="D5197" s="10">
        <v>1.1000000000000001</v>
      </c>
      <c r="E5197" s="16">
        <v>6.71</v>
      </c>
      <c r="F5197">
        <v>23180</v>
      </c>
      <c r="G5197" s="5">
        <v>43103</v>
      </c>
    </row>
    <row r="5198" spans="1:7" x14ac:dyDescent="0.4">
      <c r="A5198">
        <v>97</v>
      </c>
      <c r="B5198" t="s">
        <v>265</v>
      </c>
      <c r="C5198" s="10">
        <v>7.57</v>
      </c>
      <c r="D5198" s="10">
        <v>0.47</v>
      </c>
      <c r="E5198" s="16">
        <v>6.62</v>
      </c>
      <c r="F5198">
        <v>396552</v>
      </c>
      <c r="G5198" s="5">
        <v>43103</v>
      </c>
    </row>
    <row r="5199" spans="1:7" x14ac:dyDescent="0.4">
      <c r="A5199">
        <v>98</v>
      </c>
      <c r="B5199" t="s">
        <v>438</v>
      </c>
      <c r="C5199" s="10">
        <v>7.58</v>
      </c>
      <c r="D5199" s="10">
        <v>0.47</v>
      </c>
      <c r="E5199" s="16">
        <v>6.61</v>
      </c>
      <c r="F5199">
        <v>303893</v>
      </c>
      <c r="G5199" s="5">
        <v>43103</v>
      </c>
    </row>
    <row r="5200" spans="1:7" x14ac:dyDescent="0.4">
      <c r="A5200">
        <v>99</v>
      </c>
      <c r="B5200" t="s">
        <v>1787</v>
      </c>
      <c r="C5200" s="10">
        <v>212.47</v>
      </c>
      <c r="D5200" s="10">
        <v>13.12</v>
      </c>
      <c r="E5200" s="16">
        <v>6.58</v>
      </c>
      <c r="F5200">
        <v>22401958</v>
      </c>
      <c r="G5200" s="5">
        <v>43103</v>
      </c>
    </row>
    <row r="5201" spans="1:7" x14ac:dyDescent="0.4">
      <c r="A5201">
        <v>100</v>
      </c>
      <c r="B5201" t="s">
        <v>68</v>
      </c>
      <c r="C5201" s="10">
        <v>14.28</v>
      </c>
      <c r="D5201" s="10">
        <v>0.88</v>
      </c>
      <c r="E5201" s="16">
        <v>6.57</v>
      </c>
      <c r="F5201">
        <v>160531</v>
      </c>
      <c r="G5201" s="5">
        <v>43103</v>
      </c>
    </row>
    <row r="5202" spans="1:7" hidden="1" x14ac:dyDescent="0.4"/>
    <row r="5203" spans="1:7" hidden="1" x14ac:dyDescent="0.4"/>
    <row r="5204" spans="1:7" hidden="1" x14ac:dyDescent="0.4"/>
    <row r="5205" spans="1:7" hidden="1" x14ac:dyDescent="0.4"/>
    <row r="5206" spans="1:7" hidden="1" x14ac:dyDescent="0.4"/>
    <row r="5207" spans="1:7" hidden="1" x14ac:dyDescent="0.4"/>
    <row r="5208" spans="1:7" hidden="1" x14ac:dyDescent="0.4"/>
    <row r="5209" spans="1:7" hidden="1" x14ac:dyDescent="0.4"/>
    <row r="5210" spans="1:7" hidden="1" x14ac:dyDescent="0.4"/>
    <row r="5211" spans="1:7" hidden="1" x14ac:dyDescent="0.4"/>
    <row r="5212" spans="1:7" hidden="1" x14ac:dyDescent="0.4"/>
    <row r="5213" spans="1:7" hidden="1" x14ac:dyDescent="0.4"/>
    <row r="5214" spans="1:7" hidden="1" x14ac:dyDescent="0.4"/>
    <row r="5215" spans="1:7" hidden="1" x14ac:dyDescent="0.4"/>
    <row r="5216" spans="1:7" hidden="1" x14ac:dyDescent="0.4"/>
    <row r="5217" hidden="1" x14ac:dyDescent="0.4"/>
    <row r="5218" hidden="1" x14ac:dyDescent="0.4"/>
    <row r="5219" hidden="1" x14ac:dyDescent="0.4"/>
    <row r="5220" hidden="1" x14ac:dyDescent="0.4"/>
    <row r="5221" hidden="1" x14ac:dyDescent="0.4"/>
    <row r="5222" hidden="1" x14ac:dyDescent="0.4"/>
    <row r="5223" hidden="1" x14ac:dyDescent="0.4"/>
    <row r="5224" hidden="1" x14ac:dyDescent="0.4"/>
    <row r="5225" hidden="1" x14ac:dyDescent="0.4"/>
    <row r="5226" hidden="1" x14ac:dyDescent="0.4"/>
    <row r="5227" hidden="1" x14ac:dyDescent="0.4"/>
    <row r="5228" hidden="1" x14ac:dyDescent="0.4"/>
    <row r="5229" hidden="1" x14ac:dyDescent="0.4"/>
    <row r="5230" hidden="1" x14ac:dyDescent="0.4"/>
    <row r="5231" hidden="1" x14ac:dyDescent="0.4"/>
    <row r="5232" hidden="1" x14ac:dyDescent="0.4"/>
    <row r="5233" hidden="1" x14ac:dyDescent="0.4"/>
    <row r="5234" hidden="1" x14ac:dyDescent="0.4"/>
    <row r="5235" hidden="1" x14ac:dyDescent="0.4"/>
    <row r="5236" hidden="1" x14ac:dyDescent="0.4"/>
    <row r="5237" hidden="1" x14ac:dyDescent="0.4"/>
    <row r="5238" hidden="1" x14ac:dyDescent="0.4"/>
    <row r="5239" hidden="1" x14ac:dyDescent="0.4"/>
    <row r="5240" hidden="1" x14ac:dyDescent="0.4"/>
    <row r="5241" hidden="1" x14ac:dyDescent="0.4"/>
    <row r="5242" hidden="1" x14ac:dyDescent="0.4"/>
    <row r="5243" hidden="1" x14ac:dyDescent="0.4"/>
    <row r="5244" hidden="1" x14ac:dyDescent="0.4"/>
    <row r="5245" hidden="1" x14ac:dyDescent="0.4"/>
    <row r="5246" hidden="1" x14ac:dyDescent="0.4"/>
    <row r="5247" hidden="1" x14ac:dyDescent="0.4"/>
    <row r="5248" hidden="1" x14ac:dyDescent="0.4"/>
    <row r="5249" hidden="1" x14ac:dyDescent="0.4"/>
    <row r="5250" hidden="1" x14ac:dyDescent="0.4"/>
    <row r="5251" hidden="1" x14ac:dyDescent="0.4"/>
    <row r="5252" hidden="1" x14ac:dyDescent="0.4"/>
    <row r="5253" hidden="1" x14ac:dyDescent="0.4"/>
    <row r="5254" hidden="1" x14ac:dyDescent="0.4"/>
    <row r="5255" hidden="1" x14ac:dyDescent="0.4"/>
    <row r="5256" hidden="1" x14ac:dyDescent="0.4"/>
    <row r="5257" hidden="1" x14ac:dyDescent="0.4"/>
    <row r="5258" hidden="1" x14ac:dyDescent="0.4"/>
    <row r="5259" hidden="1" x14ac:dyDescent="0.4"/>
    <row r="5260" hidden="1" x14ac:dyDescent="0.4"/>
    <row r="5261" hidden="1" x14ac:dyDescent="0.4"/>
    <row r="5262" hidden="1" x14ac:dyDescent="0.4"/>
    <row r="5263" hidden="1" x14ac:dyDescent="0.4"/>
    <row r="5264" hidden="1" x14ac:dyDescent="0.4"/>
    <row r="5265" hidden="1" x14ac:dyDescent="0.4"/>
    <row r="5266" hidden="1" x14ac:dyDescent="0.4"/>
    <row r="5267" hidden="1" x14ac:dyDescent="0.4"/>
    <row r="5268" hidden="1" x14ac:dyDescent="0.4"/>
    <row r="5269" hidden="1" x14ac:dyDescent="0.4"/>
    <row r="5270" hidden="1" x14ac:dyDescent="0.4"/>
    <row r="5271" hidden="1" x14ac:dyDescent="0.4"/>
    <row r="5272" hidden="1" x14ac:dyDescent="0.4"/>
    <row r="5273" hidden="1" x14ac:dyDescent="0.4"/>
    <row r="5274" hidden="1" x14ac:dyDescent="0.4"/>
    <row r="5275" hidden="1" x14ac:dyDescent="0.4"/>
    <row r="5276" hidden="1" x14ac:dyDescent="0.4"/>
    <row r="5277" hidden="1" x14ac:dyDescent="0.4"/>
    <row r="5278" hidden="1" x14ac:dyDescent="0.4"/>
    <row r="5279" hidden="1" x14ac:dyDescent="0.4"/>
    <row r="5280" hidden="1" x14ac:dyDescent="0.4"/>
    <row r="5281" hidden="1" x14ac:dyDescent="0.4"/>
    <row r="5282" hidden="1" x14ac:dyDescent="0.4"/>
    <row r="5283" hidden="1" x14ac:dyDescent="0.4"/>
    <row r="5284" hidden="1" x14ac:dyDescent="0.4"/>
    <row r="5285" hidden="1" x14ac:dyDescent="0.4"/>
    <row r="5286" hidden="1" x14ac:dyDescent="0.4"/>
    <row r="5287" hidden="1" x14ac:dyDescent="0.4"/>
    <row r="5288" hidden="1" x14ac:dyDescent="0.4"/>
    <row r="5289" hidden="1" x14ac:dyDescent="0.4"/>
    <row r="5290" hidden="1" x14ac:dyDescent="0.4"/>
    <row r="5291" hidden="1" x14ac:dyDescent="0.4"/>
    <row r="5292" hidden="1" x14ac:dyDescent="0.4"/>
    <row r="5293" hidden="1" x14ac:dyDescent="0.4"/>
    <row r="5294" hidden="1" x14ac:dyDescent="0.4"/>
    <row r="5295" hidden="1" x14ac:dyDescent="0.4"/>
    <row r="5296" hidden="1" x14ac:dyDescent="0.4"/>
    <row r="5297" hidden="1" x14ac:dyDescent="0.4"/>
    <row r="5298" hidden="1" x14ac:dyDescent="0.4"/>
    <row r="5299" hidden="1" x14ac:dyDescent="0.4"/>
    <row r="5300" hidden="1" x14ac:dyDescent="0.4"/>
    <row r="5301" hidden="1" x14ac:dyDescent="0.4"/>
    <row r="5302" hidden="1" x14ac:dyDescent="0.4"/>
    <row r="5303" hidden="1" x14ac:dyDescent="0.4"/>
    <row r="5304" hidden="1" x14ac:dyDescent="0.4"/>
    <row r="5305" hidden="1" x14ac:dyDescent="0.4"/>
    <row r="5306" hidden="1" x14ac:dyDescent="0.4"/>
    <row r="5307" hidden="1" x14ac:dyDescent="0.4"/>
    <row r="5308" hidden="1" x14ac:dyDescent="0.4"/>
    <row r="5309" hidden="1" x14ac:dyDescent="0.4"/>
    <row r="5310" hidden="1" x14ac:dyDescent="0.4"/>
    <row r="5311" hidden="1" x14ac:dyDescent="0.4"/>
    <row r="5312" hidden="1" x14ac:dyDescent="0.4"/>
    <row r="5313" hidden="1" x14ac:dyDescent="0.4"/>
    <row r="5314" hidden="1" x14ac:dyDescent="0.4"/>
    <row r="5315" hidden="1" x14ac:dyDescent="0.4"/>
    <row r="5316" hidden="1" x14ac:dyDescent="0.4"/>
    <row r="5317" hidden="1" x14ac:dyDescent="0.4"/>
    <row r="5318" hidden="1" x14ac:dyDescent="0.4"/>
    <row r="5319" hidden="1" x14ac:dyDescent="0.4"/>
    <row r="5320" hidden="1" x14ac:dyDescent="0.4"/>
    <row r="5321" hidden="1" x14ac:dyDescent="0.4"/>
    <row r="5322" hidden="1" x14ac:dyDescent="0.4"/>
    <row r="5323" hidden="1" x14ac:dyDescent="0.4"/>
    <row r="5324" hidden="1" x14ac:dyDescent="0.4"/>
    <row r="5325" hidden="1" x14ac:dyDescent="0.4"/>
    <row r="5326" hidden="1" x14ac:dyDescent="0.4"/>
    <row r="5327" hidden="1" x14ac:dyDescent="0.4"/>
    <row r="5328" hidden="1" x14ac:dyDescent="0.4"/>
    <row r="5329" hidden="1" x14ac:dyDescent="0.4"/>
    <row r="5330" hidden="1" x14ac:dyDescent="0.4"/>
    <row r="5331" hidden="1" x14ac:dyDescent="0.4"/>
    <row r="5332" hidden="1" x14ac:dyDescent="0.4"/>
    <row r="5333" hidden="1" x14ac:dyDescent="0.4"/>
    <row r="5334" hidden="1" x14ac:dyDescent="0.4"/>
    <row r="5335" hidden="1" x14ac:dyDescent="0.4"/>
    <row r="5336" hidden="1" x14ac:dyDescent="0.4"/>
    <row r="5337" hidden="1" x14ac:dyDescent="0.4"/>
    <row r="5338" hidden="1" x14ac:dyDescent="0.4"/>
    <row r="5339" hidden="1" x14ac:dyDescent="0.4"/>
    <row r="5340" hidden="1" x14ac:dyDescent="0.4"/>
    <row r="5341" hidden="1" x14ac:dyDescent="0.4"/>
    <row r="5342" hidden="1" x14ac:dyDescent="0.4"/>
    <row r="5343" hidden="1" x14ac:dyDescent="0.4"/>
    <row r="5344" hidden="1" x14ac:dyDescent="0.4"/>
    <row r="5345" hidden="1" x14ac:dyDescent="0.4"/>
    <row r="5346" hidden="1" x14ac:dyDescent="0.4"/>
    <row r="5347" hidden="1" x14ac:dyDescent="0.4"/>
    <row r="5348" hidden="1" x14ac:dyDescent="0.4"/>
    <row r="5349" hidden="1" x14ac:dyDescent="0.4"/>
    <row r="5350" hidden="1" x14ac:dyDescent="0.4"/>
    <row r="5351" hidden="1" x14ac:dyDescent="0.4"/>
    <row r="5352" hidden="1" x14ac:dyDescent="0.4"/>
    <row r="5353" hidden="1" x14ac:dyDescent="0.4"/>
    <row r="5354" hidden="1" x14ac:dyDescent="0.4"/>
    <row r="5355" hidden="1" x14ac:dyDescent="0.4"/>
    <row r="5356" hidden="1" x14ac:dyDescent="0.4"/>
    <row r="5357" hidden="1" x14ac:dyDescent="0.4"/>
    <row r="5358" hidden="1" x14ac:dyDescent="0.4"/>
    <row r="5359" hidden="1" x14ac:dyDescent="0.4"/>
    <row r="5360" hidden="1" x14ac:dyDescent="0.4"/>
    <row r="5361" hidden="1" x14ac:dyDescent="0.4"/>
    <row r="5362" hidden="1" x14ac:dyDescent="0.4"/>
    <row r="5363" hidden="1" x14ac:dyDescent="0.4"/>
    <row r="5364" hidden="1" x14ac:dyDescent="0.4"/>
    <row r="5365" hidden="1" x14ac:dyDescent="0.4"/>
    <row r="5366" hidden="1" x14ac:dyDescent="0.4"/>
    <row r="5367" hidden="1" x14ac:dyDescent="0.4"/>
    <row r="5368" hidden="1" x14ac:dyDescent="0.4"/>
    <row r="5369" hidden="1" x14ac:dyDescent="0.4"/>
    <row r="5370" hidden="1" x14ac:dyDescent="0.4"/>
    <row r="5371" hidden="1" x14ac:dyDescent="0.4"/>
    <row r="5372" hidden="1" x14ac:dyDescent="0.4"/>
    <row r="5373" hidden="1" x14ac:dyDescent="0.4"/>
    <row r="5374" hidden="1" x14ac:dyDescent="0.4"/>
    <row r="5375" hidden="1" x14ac:dyDescent="0.4"/>
    <row r="5376" hidden="1" x14ac:dyDescent="0.4"/>
    <row r="5377" hidden="1" x14ac:dyDescent="0.4"/>
    <row r="5378" hidden="1" x14ac:dyDescent="0.4"/>
    <row r="5379" hidden="1" x14ac:dyDescent="0.4"/>
    <row r="5380" hidden="1" x14ac:dyDescent="0.4"/>
    <row r="5381" hidden="1" x14ac:dyDescent="0.4"/>
    <row r="5382" hidden="1" x14ac:dyDescent="0.4"/>
    <row r="5383" hidden="1" x14ac:dyDescent="0.4"/>
    <row r="5384" hidden="1" x14ac:dyDescent="0.4"/>
    <row r="5385" hidden="1" x14ac:dyDescent="0.4"/>
    <row r="5386" hidden="1" x14ac:dyDescent="0.4"/>
    <row r="5387" hidden="1" x14ac:dyDescent="0.4"/>
    <row r="5388" hidden="1" x14ac:dyDescent="0.4"/>
    <row r="5389" hidden="1" x14ac:dyDescent="0.4"/>
    <row r="5390" hidden="1" x14ac:dyDescent="0.4"/>
    <row r="5391" hidden="1" x14ac:dyDescent="0.4"/>
    <row r="5392" hidden="1" x14ac:dyDescent="0.4"/>
    <row r="5393" hidden="1" x14ac:dyDescent="0.4"/>
    <row r="5394" hidden="1" x14ac:dyDescent="0.4"/>
    <row r="5395" hidden="1" x14ac:dyDescent="0.4"/>
    <row r="5396" hidden="1" x14ac:dyDescent="0.4"/>
    <row r="5397" hidden="1" x14ac:dyDescent="0.4"/>
    <row r="5398" hidden="1" x14ac:dyDescent="0.4"/>
    <row r="5399" hidden="1" x14ac:dyDescent="0.4"/>
    <row r="5400" hidden="1" x14ac:dyDescent="0.4"/>
    <row r="5401" hidden="1" x14ac:dyDescent="0.4"/>
    <row r="5402" hidden="1" x14ac:dyDescent="0.4"/>
    <row r="5403" hidden="1" x14ac:dyDescent="0.4"/>
    <row r="5404" hidden="1" x14ac:dyDescent="0.4"/>
    <row r="5405" hidden="1" x14ac:dyDescent="0.4"/>
    <row r="5406" hidden="1" x14ac:dyDescent="0.4"/>
    <row r="5407" hidden="1" x14ac:dyDescent="0.4"/>
    <row r="5408" hidden="1" x14ac:dyDescent="0.4"/>
    <row r="5409" hidden="1" x14ac:dyDescent="0.4"/>
    <row r="5410" hidden="1" x14ac:dyDescent="0.4"/>
    <row r="5411" hidden="1" x14ac:dyDescent="0.4"/>
    <row r="5412" hidden="1" x14ac:dyDescent="0.4"/>
    <row r="5413" hidden="1" x14ac:dyDescent="0.4"/>
    <row r="5414" hidden="1" x14ac:dyDescent="0.4"/>
    <row r="5415" hidden="1" x14ac:dyDescent="0.4"/>
    <row r="5416" hidden="1" x14ac:dyDescent="0.4"/>
    <row r="5417" hidden="1" x14ac:dyDescent="0.4"/>
    <row r="5418" hidden="1" x14ac:dyDescent="0.4"/>
    <row r="5419" hidden="1" x14ac:dyDescent="0.4"/>
    <row r="5420" hidden="1" x14ac:dyDescent="0.4"/>
    <row r="5421" hidden="1" x14ac:dyDescent="0.4"/>
    <row r="5422" hidden="1" x14ac:dyDescent="0.4"/>
    <row r="5423" hidden="1" x14ac:dyDescent="0.4"/>
    <row r="5424" hidden="1" x14ac:dyDescent="0.4"/>
    <row r="5425" hidden="1" x14ac:dyDescent="0.4"/>
    <row r="5426" hidden="1" x14ac:dyDescent="0.4"/>
    <row r="5427" hidden="1" x14ac:dyDescent="0.4"/>
    <row r="5428" hidden="1" x14ac:dyDescent="0.4"/>
    <row r="5429" hidden="1" x14ac:dyDescent="0.4"/>
    <row r="5430" hidden="1" x14ac:dyDescent="0.4"/>
    <row r="5431" hidden="1" x14ac:dyDescent="0.4"/>
    <row r="5432" hidden="1" x14ac:dyDescent="0.4"/>
    <row r="5433" hidden="1" x14ac:dyDescent="0.4"/>
    <row r="5434" hidden="1" x14ac:dyDescent="0.4"/>
    <row r="5435" hidden="1" x14ac:dyDescent="0.4"/>
    <row r="5436" hidden="1" x14ac:dyDescent="0.4"/>
    <row r="5437" hidden="1" x14ac:dyDescent="0.4"/>
    <row r="5438" hidden="1" x14ac:dyDescent="0.4"/>
    <row r="5439" hidden="1" x14ac:dyDescent="0.4"/>
    <row r="5440" hidden="1" x14ac:dyDescent="0.4"/>
    <row r="5441" hidden="1" x14ac:dyDescent="0.4"/>
    <row r="5442" hidden="1" x14ac:dyDescent="0.4"/>
    <row r="5443" hidden="1" x14ac:dyDescent="0.4"/>
    <row r="5444" hidden="1" x14ac:dyDescent="0.4"/>
    <row r="5445" hidden="1" x14ac:dyDescent="0.4"/>
    <row r="5446" hidden="1" x14ac:dyDescent="0.4"/>
    <row r="5447" hidden="1" x14ac:dyDescent="0.4"/>
    <row r="5448" hidden="1" x14ac:dyDescent="0.4"/>
    <row r="5449" hidden="1" x14ac:dyDescent="0.4"/>
    <row r="5450" hidden="1" x14ac:dyDescent="0.4"/>
    <row r="5451" hidden="1" x14ac:dyDescent="0.4"/>
    <row r="5452" hidden="1" x14ac:dyDescent="0.4"/>
    <row r="5453" hidden="1" x14ac:dyDescent="0.4"/>
    <row r="5454" hidden="1" x14ac:dyDescent="0.4"/>
    <row r="5455" hidden="1" x14ac:dyDescent="0.4"/>
    <row r="5456" hidden="1" x14ac:dyDescent="0.4"/>
    <row r="5457" hidden="1" x14ac:dyDescent="0.4"/>
    <row r="5458" hidden="1" x14ac:dyDescent="0.4"/>
    <row r="5459" hidden="1" x14ac:dyDescent="0.4"/>
    <row r="5460" hidden="1" x14ac:dyDescent="0.4"/>
    <row r="5461" hidden="1" x14ac:dyDescent="0.4"/>
    <row r="5462" hidden="1" x14ac:dyDescent="0.4"/>
    <row r="5463" hidden="1" x14ac:dyDescent="0.4"/>
    <row r="5464" hidden="1" x14ac:dyDescent="0.4"/>
    <row r="5465" hidden="1" x14ac:dyDescent="0.4"/>
    <row r="5466" hidden="1" x14ac:dyDescent="0.4"/>
    <row r="5467" hidden="1" x14ac:dyDescent="0.4"/>
    <row r="5468" hidden="1" x14ac:dyDescent="0.4"/>
    <row r="5469" hidden="1" x14ac:dyDescent="0.4"/>
    <row r="5470" hidden="1" x14ac:dyDescent="0.4"/>
    <row r="5471" hidden="1" x14ac:dyDescent="0.4"/>
    <row r="5472" hidden="1" x14ac:dyDescent="0.4"/>
    <row r="5473" hidden="1" x14ac:dyDescent="0.4"/>
    <row r="5474" hidden="1" x14ac:dyDescent="0.4"/>
    <row r="5475" hidden="1" x14ac:dyDescent="0.4"/>
    <row r="5476" hidden="1" x14ac:dyDescent="0.4"/>
    <row r="5477" hidden="1" x14ac:dyDescent="0.4"/>
    <row r="5478" hidden="1" x14ac:dyDescent="0.4"/>
    <row r="5479" hidden="1" x14ac:dyDescent="0.4"/>
    <row r="5480" hidden="1" x14ac:dyDescent="0.4"/>
    <row r="5481" hidden="1" x14ac:dyDescent="0.4"/>
    <row r="5482" hidden="1" x14ac:dyDescent="0.4"/>
    <row r="5483" hidden="1" x14ac:dyDescent="0.4"/>
    <row r="5484" hidden="1" x14ac:dyDescent="0.4"/>
    <row r="5485" hidden="1" x14ac:dyDescent="0.4"/>
    <row r="5486" hidden="1" x14ac:dyDescent="0.4"/>
    <row r="5487" hidden="1" x14ac:dyDescent="0.4"/>
    <row r="5488" hidden="1" x14ac:dyDescent="0.4"/>
    <row r="5489" hidden="1" x14ac:dyDescent="0.4"/>
    <row r="5490" hidden="1" x14ac:dyDescent="0.4"/>
    <row r="5491" hidden="1" x14ac:dyDescent="0.4"/>
    <row r="5492" hidden="1" x14ac:dyDescent="0.4"/>
    <row r="5493" hidden="1" x14ac:dyDescent="0.4"/>
    <row r="5494" hidden="1" x14ac:dyDescent="0.4"/>
    <row r="5495" hidden="1" x14ac:dyDescent="0.4"/>
    <row r="5496" hidden="1" x14ac:dyDescent="0.4"/>
    <row r="5497" hidden="1" x14ac:dyDescent="0.4"/>
    <row r="5498" hidden="1" x14ac:dyDescent="0.4"/>
    <row r="5499" hidden="1" x14ac:dyDescent="0.4"/>
    <row r="5500" hidden="1" x14ac:dyDescent="0.4"/>
    <row r="5501" hidden="1" x14ac:dyDescent="0.4"/>
    <row r="5502" hidden="1" x14ac:dyDescent="0.4"/>
    <row r="5503" hidden="1" x14ac:dyDescent="0.4"/>
    <row r="5504" hidden="1" x14ac:dyDescent="0.4"/>
    <row r="5505" hidden="1" x14ac:dyDescent="0.4"/>
    <row r="5506" hidden="1" x14ac:dyDescent="0.4"/>
    <row r="5507" hidden="1" x14ac:dyDescent="0.4"/>
    <row r="5508" hidden="1" x14ac:dyDescent="0.4"/>
    <row r="5509" hidden="1" x14ac:dyDescent="0.4"/>
    <row r="5510" hidden="1" x14ac:dyDescent="0.4"/>
    <row r="5511" hidden="1" x14ac:dyDescent="0.4"/>
    <row r="5512" hidden="1" x14ac:dyDescent="0.4"/>
    <row r="5513" hidden="1" x14ac:dyDescent="0.4"/>
    <row r="5514" hidden="1" x14ac:dyDescent="0.4"/>
    <row r="5515" hidden="1" x14ac:dyDescent="0.4"/>
    <row r="5516" hidden="1" x14ac:dyDescent="0.4"/>
    <row r="5517" hidden="1" x14ac:dyDescent="0.4"/>
    <row r="5518" hidden="1" x14ac:dyDescent="0.4"/>
    <row r="5519" hidden="1" x14ac:dyDescent="0.4"/>
    <row r="5520" hidden="1" x14ac:dyDescent="0.4"/>
    <row r="5521" hidden="1" x14ac:dyDescent="0.4"/>
    <row r="5522" hidden="1" x14ac:dyDescent="0.4"/>
    <row r="5523" hidden="1" x14ac:dyDescent="0.4"/>
    <row r="5524" hidden="1" x14ac:dyDescent="0.4"/>
    <row r="5525" hidden="1" x14ac:dyDescent="0.4"/>
    <row r="5526" hidden="1" x14ac:dyDescent="0.4"/>
    <row r="5527" hidden="1" x14ac:dyDescent="0.4"/>
    <row r="5528" hidden="1" x14ac:dyDescent="0.4"/>
    <row r="5529" hidden="1" x14ac:dyDescent="0.4"/>
    <row r="5530" hidden="1" x14ac:dyDescent="0.4"/>
    <row r="5531" hidden="1" x14ac:dyDescent="0.4"/>
    <row r="5532" hidden="1" x14ac:dyDescent="0.4"/>
    <row r="5533" hidden="1" x14ac:dyDescent="0.4"/>
    <row r="5534" hidden="1" x14ac:dyDescent="0.4"/>
    <row r="5535" hidden="1" x14ac:dyDescent="0.4"/>
    <row r="5536" hidden="1" x14ac:dyDescent="0.4"/>
    <row r="5537" hidden="1" x14ac:dyDescent="0.4"/>
    <row r="5538" hidden="1" x14ac:dyDescent="0.4"/>
    <row r="5539" hidden="1" x14ac:dyDescent="0.4"/>
    <row r="5540" hidden="1" x14ac:dyDescent="0.4"/>
    <row r="5541" hidden="1" x14ac:dyDescent="0.4"/>
    <row r="5542" hidden="1" x14ac:dyDescent="0.4"/>
    <row r="5543" hidden="1" x14ac:dyDescent="0.4"/>
    <row r="5544" hidden="1" x14ac:dyDescent="0.4"/>
    <row r="5545" hidden="1" x14ac:dyDescent="0.4"/>
    <row r="5546" hidden="1" x14ac:dyDescent="0.4"/>
    <row r="5547" hidden="1" x14ac:dyDescent="0.4"/>
    <row r="5548" hidden="1" x14ac:dyDescent="0.4"/>
    <row r="5549" hidden="1" x14ac:dyDescent="0.4"/>
    <row r="5550" hidden="1" x14ac:dyDescent="0.4"/>
    <row r="5551" hidden="1" x14ac:dyDescent="0.4"/>
    <row r="5552" hidden="1" x14ac:dyDescent="0.4"/>
    <row r="5553" hidden="1" x14ac:dyDescent="0.4"/>
    <row r="5554" hidden="1" x14ac:dyDescent="0.4"/>
    <row r="5555" hidden="1" x14ac:dyDescent="0.4"/>
    <row r="5556" hidden="1" x14ac:dyDescent="0.4"/>
    <row r="5557" hidden="1" x14ac:dyDescent="0.4"/>
    <row r="5558" hidden="1" x14ac:dyDescent="0.4"/>
    <row r="5559" hidden="1" x14ac:dyDescent="0.4"/>
    <row r="5560" hidden="1" x14ac:dyDescent="0.4"/>
    <row r="5561" hidden="1" x14ac:dyDescent="0.4"/>
    <row r="5562" hidden="1" x14ac:dyDescent="0.4"/>
    <row r="5563" hidden="1" x14ac:dyDescent="0.4"/>
    <row r="5564" hidden="1" x14ac:dyDescent="0.4"/>
    <row r="5565" hidden="1" x14ac:dyDescent="0.4"/>
    <row r="5566" hidden="1" x14ac:dyDescent="0.4"/>
    <row r="5567" hidden="1" x14ac:dyDescent="0.4"/>
    <row r="5568" hidden="1" x14ac:dyDescent="0.4"/>
    <row r="5569" hidden="1" x14ac:dyDescent="0.4"/>
    <row r="5570" hidden="1" x14ac:dyDescent="0.4"/>
    <row r="5571" hidden="1" x14ac:dyDescent="0.4"/>
    <row r="5572" hidden="1" x14ac:dyDescent="0.4"/>
    <row r="5573" hidden="1" x14ac:dyDescent="0.4"/>
    <row r="5574" hidden="1" x14ac:dyDescent="0.4"/>
    <row r="5575" hidden="1" x14ac:dyDescent="0.4"/>
    <row r="5576" hidden="1" x14ac:dyDescent="0.4"/>
    <row r="5577" hidden="1" x14ac:dyDescent="0.4"/>
    <row r="5578" hidden="1" x14ac:dyDescent="0.4"/>
    <row r="5579" hidden="1" x14ac:dyDescent="0.4"/>
    <row r="5580" hidden="1" x14ac:dyDescent="0.4"/>
    <row r="5581" hidden="1" x14ac:dyDescent="0.4"/>
    <row r="5582" hidden="1" x14ac:dyDescent="0.4"/>
    <row r="5583" hidden="1" x14ac:dyDescent="0.4"/>
    <row r="5584" hidden="1" x14ac:dyDescent="0.4"/>
    <row r="5585" hidden="1" x14ac:dyDescent="0.4"/>
    <row r="5586" hidden="1" x14ac:dyDescent="0.4"/>
    <row r="5587" hidden="1" x14ac:dyDescent="0.4"/>
    <row r="5588" hidden="1" x14ac:dyDescent="0.4"/>
    <row r="5589" hidden="1" x14ac:dyDescent="0.4"/>
    <row r="5590" hidden="1" x14ac:dyDescent="0.4"/>
    <row r="5591" hidden="1" x14ac:dyDescent="0.4"/>
    <row r="5592" hidden="1" x14ac:dyDescent="0.4"/>
    <row r="5593" hidden="1" x14ac:dyDescent="0.4"/>
    <row r="5594" hidden="1" x14ac:dyDescent="0.4"/>
    <row r="5595" hidden="1" x14ac:dyDescent="0.4"/>
    <row r="5596" hidden="1" x14ac:dyDescent="0.4"/>
    <row r="5597" hidden="1" x14ac:dyDescent="0.4"/>
    <row r="5598" hidden="1" x14ac:dyDescent="0.4"/>
    <row r="5599" hidden="1" x14ac:dyDescent="0.4"/>
    <row r="5600" hidden="1" x14ac:dyDescent="0.4"/>
    <row r="5601" hidden="1" x14ac:dyDescent="0.4"/>
    <row r="5602" hidden="1" x14ac:dyDescent="0.4"/>
    <row r="5603" hidden="1" x14ac:dyDescent="0.4"/>
    <row r="5604" hidden="1" x14ac:dyDescent="0.4"/>
    <row r="5605" hidden="1" x14ac:dyDescent="0.4"/>
    <row r="5606" hidden="1" x14ac:dyDescent="0.4"/>
    <row r="5607" hidden="1" x14ac:dyDescent="0.4"/>
    <row r="5608" hidden="1" x14ac:dyDescent="0.4"/>
    <row r="5609" hidden="1" x14ac:dyDescent="0.4"/>
    <row r="5610" hidden="1" x14ac:dyDescent="0.4"/>
    <row r="5611" hidden="1" x14ac:dyDescent="0.4"/>
    <row r="5612" hidden="1" x14ac:dyDescent="0.4"/>
    <row r="5613" hidden="1" x14ac:dyDescent="0.4"/>
    <row r="5614" hidden="1" x14ac:dyDescent="0.4"/>
    <row r="5615" hidden="1" x14ac:dyDescent="0.4"/>
    <row r="5616" hidden="1" x14ac:dyDescent="0.4"/>
    <row r="5617" hidden="1" x14ac:dyDescent="0.4"/>
    <row r="5618" hidden="1" x14ac:dyDescent="0.4"/>
    <row r="5619" hidden="1" x14ac:dyDescent="0.4"/>
    <row r="5620" hidden="1" x14ac:dyDescent="0.4"/>
    <row r="5621" hidden="1" x14ac:dyDescent="0.4"/>
    <row r="5622" hidden="1" x14ac:dyDescent="0.4"/>
    <row r="5623" hidden="1" x14ac:dyDescent="0.4"/>
    <row r="5624" hidden="1" x14ac:dyDescent="0.4"/>
    <row r="5625" hidden="1" x14ac:dyDescent="0.4"/>
    <row r="5626" hidden="1" x14ac:dyDescent="0.4"/>
    <row r="5627" hidden="1" x14ac:dyDescent="0.4"/>
    <row r="5628" hidden="1" x14ac:dyDescent="0.4"/>
    <row r="5629" hidden="1" x14ac:dyDescent="0.4"/>
    <row r="5630" hidden="1" x14ac:dyDescent="0.4"/>
    <row r="5631" hidden="1" x14ac:dyDescent="0.4"/>
    <row r="5632" hidden="1" x14ac:dyDescent="0.4"/>
    <row r="5633" hidden="1" x14ac:dyDescent="0.4"/>
    <row r="5634" hidden="1" x14ac:dyDescent="0.4"/>
    <row r="5635" hidden="1" x14ac:dyDescent="0.4"/>
    <row r="5636" hidden="1" x14ac:dyDescent="0.4"/>
    <row r="5637" hidden="1" x14ac:dyDescent="0.4"/>
    <row r="5638" hidden="1" x14ac:dyDescent="0.4"/>
    <row r="5639" hidden="1" x14ac:dyDescent="0.4"/>
    <row r="5640" hidden="1" x14ac:dyDescent="0.4"/>
    <row r="5641" hidden="1" x14ac:dyDescent="0.4"/>
    <row r="5642" hidden="1" x14ac:dyDescent="0.4"/>
    <row r="5643" hidden="1" x14ac:dyDescent="0.4"/>
    <row r="5644" hidden="1" x14ac:dyDescent="0.4"/>
    <row r="5645" hidden="1" x14ac:dyDescent="0.4"/>
    <row r="5646" hidden="1" x14ac:dyDescent="0.4"/>
    <row r="5647" hidden="1" x14ac:dyDescent="0.4"/>
    <row r="5648" hidden="1" x14ac:dyDescent="0.4"/>
    <row r="5649" hidden="1" x14ac:dyDescent="0.4"/>
    <row r="5650" hidden="1" x14ac:dyDescent="0.4"/>
    <row r="5651" hidden="1" x14ac:dyDescent="0.4"/>
    <row r="5652" hidden="1" x14ac:dyDescent="0.4"/>
    <row r="5653" hidden="1" x14ac:dyDescent="0.4"/>
    <row r="5654" hidden="1" x14ac:dyDescent="0.4"/>
    <row r="5655" hidden="1" x14ac:dyDescent="0.4"/>
    <row r="5656" hidden="1" x14ac:dyDescent="0.4"/>
    <row r="5657" hidden="1" x14ac:dyDescent="0.4"/>
    <row r="5658" hidden="1" x14ac:dyDescent="0.4"/>
    <row r="5659" hidden="1" x14ac:dyDescent="0.4"/>
    <row r="5660" hidden="1" x14ac:dyDescent="0.4"/>
    <row r="5661" hidden="1" x14ac:dyDescent="0.4"/>
    <row r="5662" hidden="1" x14ac:dyDescent="0.4"/>
    <row r="5663" hidden="1" x14ac:dyDescent="0.4"/>
    <row r="5664" hidden="1" x14ac:dyDescent="0.4"/>
    <row r="5665" hidden="1" x14ac:dyDescent="0.4"/>
    <row r="5666" hidden="1" x14ac:dyDescent="0.4"/>
    <row r="5667" hidden="1" x14ac:dyDescent="0.4"/>
    <row r="5668" hidden="1" x14ac:dyDescent="0.4"/>
    <row r="5669" hidden="1" x14ac:dyDescent="0.4"/>
    <row r="5670" hidden="1" x14ac:dyDescent="0.4"/>
    <row r="5671" hidden="1" x14ac:dyDescent="0.4"/>
    <row r="5672" hidden="1" x14ac:dyDescent="0.4"/>
    <row r="5673" hidden="1" x14ac:dyDescent="0.4"/>
    <row r="5674" hidden="1" x14ac:dyDescent="0.4"/>
    <row r="5675" hidden="1" x14ac:dyDescent="0.4"/>
    <row r="5676" hidden="1" x14ac:dyDescent="0.4"/>
    <row r="5677" hidden="1" x14ac:dyDescent="0.4"/>
    <row r="5678" hidden="1" x14ac:dyDescent="0.4"/>
    <row r="5679" hidden="1" x14ac:dyDescent="0.4"/>
    <row r="5680" hidden="1" x14ac:dyDescent="0.4"/>
    <row r="5681" hidden="1" x14ac:dyDescent="0.4"/>
    <row r="5682" hidden="1" x14ac:dyDescent="0.4"/>
    <row r="5683" hidden="1" x14ac:dyDescent="0.4"/>
    <row r="5684" hidden="1" x14ac:dyDescent="0.4"/>
    <row r="5685" hidden="1" x14ac:dyDescent="0.4"/>
    <row r="5686" hidden="1" x14ac:dyDescent="0.4"/>
    <row r="5687" hidden="1" x14ac:dyDescent="0.4"/>
    <row r="5688" hidden="1" x14ac:dyDescent="0.4"/>
    <row r="5689" hidden="1" x14ac:dyDescent="0.4"/>
    <row r="5690" hidden="1" x14ac:dyDescent="0.4"/>
    <row r="5691" hidden="1" x14ac:dyDescent="0.4"/>
    <row r="5692" hidden="1" x14ac:dyDescent="0.4"/>
    <row r="5693" hidden="1" x14ac:dyDescent="0.4"/>
    <row r="5694" hidden="1" x14ac:dyDescent="0.4"/>
    <row r="5695" hidden="1" x14ac:dyDescent="0.4"/>
    <row r="5696" hidden="1" x14ac:dyDescent="0.4"/>
    <row r="5697" hidden="1" x14ac:dyDescent="0.4"/>
    <row r="5698" hidden="1" x14ac:dyDescent="0.4"/>
    <row r="5699" hidden="1" x14ac:dyDescent="0.4"/>
    <row r="5700" hidden="1" x14ac:dyDescent="0.4"/>
    <row r="5701" hidden="1" x14ac:dyDescent="0.4"/>
    <row r="5702" hidden="1" x14ac:dyDescent="0.4"/>
    <row r="5703" hidden="1" x14ac:dyDescent="0.4"/>
    <row r="5704" hidden="1" x14ac:dyDescent="0.4"/>
    <row r="5705" hidden="1" x14ac:dyDescent="0.4"/>
    <row r="5706" hidden="1" x14ac:dyDescent="0.4"/>
    <row r="5707" hidden="1" x14ac:dyDescent="0.4"/>
    <row r="5708" hidden="1" x14ac:dyDescent="0.4"/>
    <row r="5709" hidden="1" x14ac:dyDescent="0.4"/>
    <row r="5710" hidden="1" x14ac:dyDescent="0.4"/>
    <row r="5711" hidden="1" x14ac:dyDescent="0.4"/>
    <row r="5712" hidden="1" x14ac:dyDescent="0.4"/>
    <row r="5713" hidden="1" x14ac:dyDescent="0.4"/>
    <row r="5714" hidden="1" x14ac:dyDescent="0.4"/>
    <row r="5715" hidden="1" x14ac:dyDescent="0.4"/>
    <row r="5716" hidden="1" x14ac:dyDescent="0.4"/>
    <row r="5717" hidden="1" x14ac:dyDescent="0.4"/>
    <row r="5718" hidden="1" x14ac:dyDescent="0.4"/>
    <row r="5719" hidden="1" x14ac:dyDescent="0.4"/>
    <row r="5720" hidden="1" x14ac:dyDescent="0.4"/>
    <row r="5721" hidden="1" x14ac:dyDescent="0.4"/>
    <row r="5722" hidden="1" x14ac:dyDescent="0.4"/>
    <row r="5723" hidden="1" x14ac:dyDescent="0.4"/>
    <row r="5724" hidden="1" x14ac:dyDescent="0.4"/>
    <row r="5725" hidden="1" x14ac:dyDescent="0.4"/>
    <row r="5726" hidden="1" x14ac:dyDescent="0.4"/>
    <row r="5727" hidden="1" x14ac:dyDescent="0.4"/>
    <row r="5728" hidden="1" x14ac:dyDescent="0.4"/>
    <row r="5729" hidden="1" x14ac:dyDescent="0.4"/>
    <row r="5730" hidden="1" x14ac:dyDescent="0.4"/>
    <row r="5731" hidden="1" x14ac:dyDescent="0.4"/>
    <row r="5732" hidden="1" x14ac:dyDescent="0.4"/>
    <row r="5733" hidden="1" x14ac:dyDescent="0.4"/>
    <row r="5734" hidden="1" x14ac:dyDescent="0.4"/>
    <row r="5735" hidden="1" x14ac:dyDescent="0.4"/>
    <row r="5736" hidden="1" x14ac:dyDescent="0.4"/>
    <row r="5737" hidden="1" x14ac:dyDescent="0.4"/>
    <row r="5738" hidden="1" x14ac:dyDescent="0.4"/>
    <row r="5739" hidden="1" x14ac:dyDescent="0.4"/>
    <row r="5740" hidden="1" x14ac:dyDescent="0.4"/>
    <row r="5741" hidden="1" x14ac:dyDescent="0.4"/>
    <row r="5742" hidden="1" x14ac:dyDescent="0.4"/>
    <row r="5743" hidden="1" x14ac:dyDescent="0.4"/>
    <row r="5744" hidden="1" x14ac:dyDescent="0.4"/>
    <row r="5745" hidden="1" x14ac:dyDescent="0.4"/>
    <row r="5746" hidden="1" x14ac:dyDescent="0.4"/>
    <row r="5747" hidden="1" x14ac:dyDescent="0.4"/>
    <row r="5748" hidden="1" x14ac:dyDescent="0.4"/>
    <row r="5749" hidden="1" x14ac:dyDescent="0.4"/>
    <row r="5750" hidden="1" x14ac:dyDescent="0.4"/>
    <row r="5751" hidden="1" x14ac:dyDescent="0.4"/>
    <row r="5752" hidden="1" x14ac:dyDescent="0.4"/>
    <row r="5753" hidden="1" x14ac:dyDescent="0.4"/>
    <row r="5754" hidden="1" x14ac:dyDescent="0.4"/>
    <row r="5755" hidden="1" x14ac:dyDescent="0.4"/>
    <row r="5756" hidden="1" x14ac:dyDescent="0.4"/>
    <row r="5757" hidden="1" x14ac:dyDescent="0.4"/>
    <row r="5758" hidden="1" x14ac:dyDescent="0.4"/>
    <row r="5759" hidden="1" x14ac:dyDescent="0.4"/>
    <row r="5760" hidden="1" x14ac:dyDescent="0.4"/>
    <row r="5761" hidden="1" x14ac:dyDescent="0.4"/>
    <row r="5762" hidden="1" x14ac:dyDescent="0.4"/>
    <row r="5763" hidden="1" x14ac:dyDescent="0.4"/>
    <row r="5764" hidden="1" x14ac:dyDescent="0.4"/>
    <row r="5765" hidden="1" x14ac:dyDescent="0.4"/>
    <row r="5766" hidden="1" x14ac:dyDescent="0.4"/>
    <row r="5767" hidden="1" x14ac:dyDescent="0.4"/>
    <row r="5768" hidden="1" x14ac:dyDescent="0.4"/>
    <row r="5769" hidden="1" x14ac:dyDescent="0.4"/>
    <row r="5770" hidden="1" x14ac:dyDescent="0.4"/>
    <row r="5771" hidden="1" x14ac:dyDescent="0.4"/>
    <row r="5772" hidden="1" x14ac:dyDescent="0.4"/>
    <row r="5773" hidden="1" x14ac:dyDescent="0.4"/>
    <row r="5774" hidden="1" x14ac:dyDescent="0.4"/>
    <row r="5775" hidden="1" x14ac:dyDescent="0.4"/>
    <row r="5776" hidden="1" x14ac:dyDescent="0.4"/>
    <row r="5777" hidden="1" x14ac:dyDescent="0.4"/>
    <row r="5778" hidden="1" x14ac:dyDescent="0.4"/>
    <row r="5779" hidden="1" x14ac:dyDescent="0.4"/>
    <row r="5780" hidden="1" x14ac:dyDescent="0.4"/>
    <row r="5781" hidden="1" x14ac:dyDescent="0.4"/>
    <row r="5782" hidden="1" x14ac:dyDescent="0.4"/>
    <row r="5783" hidden="1" x14ac:dyDescent="0.4"/>
    <row r="5784" hidden="1" x14ac:dyDescent="0.4"/>
    <row r="5785" hidden="1" x14ac:dyDescent="0.4"/>
    <row r="5786" hidden="1" x14ac:dyDescent="0.4"/>
    <row r="5787" hidden="1" x14ac:dyDescent="0.4"/>
    <row r="5788" hidden="1" x14ac:dyDescent="0.4"/>
    <row r="5789" hidden="1" x14ac:dyDescent="0.4"/>
    <row r="5790" hidden="1" x14ac:dyDescent="0.4"/>
    <row r="5791" hidden="1" x14ac:dyDescent="0.4"/>
    <row r="5792" hidden="1" x14ac:dyDescent="0.4"/>
    <row r="5793" hidden="1" x14ac:dyDescent="0.4"/>
    <row r="5794" hidden="1" x14ac:dyDescent="0.4"/>
    <row r="5795" hidden="1" x14ac:dyDescent="0.4"/>
    <row r="5796" hidden="1" x14ac:dyDescent="0.4"/>
    <row r="5797" hidden="1" x14ac:dyDescent="0.4"/>
    <row r="5798" hidden="1" x14ac:dyDescent="0.4"/>
    <row r="5799" hidden="1" x14ac:dyDescent="0.4"/>
    <row r="5800" hidden="1" x14ac:dyDescent="0.4"/>
    <row r="5801" hidden="1" x14ac:dyDescent="0.4"/>
    <row r="5802" hidden="1" x14ac:dyDescent="0.4"/>
    <row r="5803" hidden="1" x14ac:dyDescent="0.4"/>
    <row r="5804" hidden="1" x14ac:dyDescent="0.4"/>
    <row r="5805" hidden="1" x14ac:dyDescent="0.4"/>
    <row r="5806" hidden="1" x14ac:dyDescent="0.4"/>
    <row r="5807" hidden="1" x14ac:dyDescent="0.4"/>
    <row r="5808" hidden="1" x14ac:dyDescent="0.4"/>
    <row r="5809" hidden="1" x14ac:dyDescent="0.4"/>
    <row r="5810" hidden="1" x14ac:dyDescent="0.4"/>
    <row r="5811" hidden="1" x14ac:dyDescent="0.4"/>
    <row r="5812" hidden="1" x14ac:dyDescent="0.4"/>
    <row r="5813" hidden="1" x14ac:dyDescent="0.4"/>
    <row r="5814" hidden="1" x14ac:dyDescent="0.4"/>
    <row r="5815" hidden="1" x14ac:dyDescent="0.4"/>
    <row r="5816" hidden="1" x14ac:dyDescent="0.4"/>
    <row r="5817" hidden="1" x14ac:dyDescent="0.4"/>
    <row r="5818" hidden="1" x14ac:dyDescent="0.4"/>
    <row r="5819" hidden="1" x14ac:dyDescent="0.4"/>
    <row r="5820" hidden="1" x14ac:dyDescent="0.4"/>
    <row r="5821" hidden="1" x14ac:dyDescent="0.4"/>
    <row r="5822" hidden="1" x14ac:dyDescent="0.4"/>
    <row r="5823" hidden="1" x14ac:dyDescent="0.4"/>
    <row r="5824" hidden="1" x14ac:dyDescent="0.4"/>
    <row r="5825" hidden="1" x14ac:dyDescent="0.4"/>
    <row r="5826" hidden="1" x14ac:dyDescent="0.4"/>
    <row r="5827" hidden="1" x14ac:dyDescent="0.4"/>
    <row r="5828" hidden="1" x14ac:dyDescent="0.4"/>
    <row r="5829" hidden="1" x14ac:dyDescent="0.4"/>
    <row r="5830" hidden="1" x14ac:dyDescent="0.4"/>
    <row r="5831" hidden="1" x14ac:dyDescent="0.4"/>
    <row r="5832" hidden="1" x14ac:dyDescent="0.4"/>
    <row r="5833" hidden="1" x14ac:dyDescent="0.4"/>
    <row r="5834" hidden="1" x14ac:dyDescent="0.4"/>
    <row r="5835" hidden="1" x14ac:dyDescent="0.4"/>
    <row r="5836" hidden="1" x14ac:dyDescent="0.4"/>
    <row r="5837" hidden="1" x14ac:dyDescent="0.4"/>
    <row r="5838" hidden="1" x14ac:dyDescent="0.4"/>
    <row r="5839" hidden="1" x14ac:dyDescent="0.4"/>
    <row r="5840" hidden="1" x14ac:dyDescent="0.4"/>
    <row r="5841" hidden="1" x14ac:dyDescent="0.4"/>
    <row r="5842" hidden="1" x14ac:dyDescent="0.4"/>
    <row r="5843" hidden="1" x14ac:dyDescent="0.4"/>
    <row r="5844" hidden="1" x14ac:dyDescent="0.4"/>
    <row r="5845" hidden="1" x14ac:dyDescent="0.4"/>
    <row r="5846" hidden="1" x14ac:dyDescent="0.4"/>
    <row r="5847" hidden="1" x14ac:dyDescent="0.4"/>
    <row r="5848" hidden="1" x14ac:dyDescent="0.4"/>
    <row r="5849" hidden="1" x14ac:dyDescent="0.4"/>
    <row r="5850" hidden="1" x14ac:dyDescent="0.4"/>
    <row r="5851" hidden="1" x14ac:dyDescent="0.4"/>
    <row r="5852" hidden="1" x14ac:dyDescent="0.4"/>
    <row r="5853" hidden="1" x14ac:dyDescent="0.4"/>
    <row r="5854" hidden="1" x14ac:dyDescent="0.4"/>
    <row r="5855" hidden="1" x14ac:dyDescent="0.4"/>
    <row r="5856" hidden="1" x14ac:dyDescent="0.4"/>
    <row r="5857" hidden="1" x14ac:dyDescent="0.4"/>
    <row r="5858" hidden="1" x14ac:dyDescent="0.4"/>
    <row r="5859" hidden="1" x14ac:dyDescent="0.4"/>
    <row r="5860" hidden="1" x14ac:dyDescent="0.4"/>
    <row r="5861" hidden="1" x14ac:dyDescent="0.4"/>
    <row r="5862" hidden="1" x14ac:dyDescent="0.4"/>
    <row r="5863" hidden="1" x14ac:dyDescent="0.4"/>
    <row r="5864" hidden="1" x14ac:dyDescent="0.4"/>
    <row r="5865" hidden="1" x14ac:dyDescent="0.4"/>
    <row r="5866" hidden="1" x14ac:dyDescent="0.4"/>
    <row r="5867" hidden="1" x14ac:dyDescent="0.4"/>
    <row r="5868" hidden="1" x14ac:dyDescent="0.4"/>
    <row r="5869" hidden="1" x14ac:dyDescent="0.4"/>
    <row r="5870" hidden="1" x14ac:dyDescent="0.4"/>
    <row r="5871" hidden="1" x14ac:dyDescent="0.4"/>
    <row r="5872" hidden="1" x14ac:dyDescent="0.4"/>
    <row r="5873" hidden="1" x14ac:dyDescent="0.4"/>
    <row r="5874" hidden="1" x14ac:dyDescent="0.4"/>
    <row r="5875" hidden="1" x14ac:dyDescent="0.4"/>
    <row r="5876" hidden="1" x14ac:dyDescent="0.4"/>
    <row r="5877" hidden="1" x14ac:dyDescent="0.4"/>
    <row r="5878" hidden="1" x14ac:dyDescent="0.4"/>
    <row r="5879" hidden="1" x14ac:dyDescent="0.4"/>
    <row r="5880" hidden="1" x14ac:dyDescent="0.4"/>
    <row r="5881" hidden="1" x14ac:dyDescent="0.4"/>
    <row r="5882" hidden="1" x14ac:dyDescent="0.4"/>
    <row r="5883" hidden="1" x14ac:dyDescent="0.4"/>
    <row r="5884" hidden="1" x14ac:dyDescent="0.4"/>
    <row r="5885" hidden="1" x14ac:dyDescent="0.4"/>
    <row r="5886" hidden="1" x14ac:dyDescent="0.4"/>
    <row r="5887" hidden="1" x14ac:dyDescent="0.4"/>
    <row r="5888" hidden="1" x14ac:dyDescent="0.4"/>
    <row r="5889" hidden="1" x14ac:dyDescent="0.4"/>
    <row r="5890" hidden="1" x14ac:dyDescent="0.4"/>
    <row r="5891" hidden="1" x14ac:dyDescent="0.4"/>
    <row r="5892" hidden="1" x14ac:dyDescent="0.4"/>
    <row r="5893" hidden="1" x14ac:dyDescent="0.4"/>
    <row r="5894" hidden="1" x14ac:dyDescent="0.4"/>
    <row r="5895" hidden="1" x14ac:dyDescent="0.4"/>
    <row r="5896" hidden="1" x14ac:dyDescent="0.4"/>
    <row r="5897" hidden="1" x14ac:dyDescent="0.4"/>
    <row r="5898" hidden="1" x14ac:dyDescent="0.4"/>
    <row r="5899" hidden="1" x14ac:dyDescent="0.4"/>
    <row r="5900" hidden="1" x14ac:dyDescent="0.4"/>
    <row r="5901" hidden="1" x14ac:dyDescent="0.4"/>
    <row r="5902" hidden="1" x14ac:dyDescent="0.4"/>
    <row r="5903" hidden="1" x14ac:dyDescent="0.4"/>
    <row r="5904" hidden="1" x14ac:dyDescent="0.4"/>
    <row r="5905" hidden="1" x14ac:dyDescent="0.4"/>
    <row r="5906" hidden="1" x14ac:dyDescent="0.4"/>
    <row r="5907" hidden="1" x14ac:dyDescent="0.4"/>
    <row r="5908" hidden="1" x14ac:dyDescent="0.4"/>
    <row r="5909" hidden="1" x14ac:dyDescent="0.4"/>
    <row r="5910" hidden="1" x14ac:dyDescent="0.4"/>
    <row r="5911" hidden="1" x14ac:dyDescent="0.4"/>
    <row r="5912" hidden="1" x14ac:dyDescent="0.4"/>
    <row r="5913" hidden="1" x14ac:dyDescent="0.4"/>
    <row r="5914" hidden="1" x14ac:dyDescent="0.4"/>
    <row r="5915" hidden="1" x14ac:dyDescent="0.4"/>
    <row r="5916" hidden="1" x14ac:dyDescent="0.4"/>
    <row r="5917" hidden="1" x14ac:dyDescent="0.4"/>
    <row r="5918" hidden="1" x14ac:dyDescent="0.4"/>
    <row r="5919" hidden="1" x14ac:dyDescent="0.4"/>
    <row r="5920" hidden="1" x14ac:dyDescent="0.4"/>
    <row r="5921" hidden="1" x14ac:dyDescent="0.4"/>
    <row r="5922" hidden="1" x14ac:dyDescent="0.4"/>
    <row r="5923" hidden="1" x14ac:dyDescent="0.4"/>
    <row r="5924" hidden="1" x14ac:dyDescent="0.4"/>
    <row r="5925" hidden="1" x14ac:dyDescent="0.4"/>
    <row r="5926" hidden="1" x14ac:dyDescent="0.4"/>
    <row r="5927" hidden="1" x14ac:dyDescent="0.4"/>
    <row r="5928" hidden="1" x14ac:dyDescent="0.4"/>
    <row r="5929" hidden="1" x14ac:dyDescent="0.4"/>
    <row r="5930" hidden="1" x14ac:dyDescent="0.4"/>
    <row r="5931" hidden="1" x14ac:dyDescent="0.4"/>
    <row r="5932" hidden="1" x14ac:dyDescent="0.4"/>
    <row r="5933" hidden="1" x14ac:dyDescent="0.4"/>
    <row r="5934" hidden="1" x14ac:dyDescent="0.4"/>
    <row r="5935" hidden="1" x14ac:dyDescent="0.4"/>
    <row r="5936" hidden="1" x14ac:dyDescent="0.4"/>
    <row r="5937" hidden="1" x14ac:dyDescent="0.4"/>
    <row r="5938" hidden="1" x14ac:dyDescent="0.4"/>
    <row r="5939" hidden="1" x14ac:dyDescent="0.4"/>
    <row r="5940" hidden="1" x14ac:dyDescent="0.4"/>
    <row r="5941" hidden="1" x14ac:dyDescent="0.4"/>
    <row r="5942" hidden="1" x14ac:dyDescent="0.4"/>
    <row r="5943" hidden="1" x14ac:dyDescent="0.4"/>
    <row r="5944" hidden="1" x14ac:dyDescent="0.4"/>
    <row r="5945" hidden="1" x14ac:dyDescent="0.4"/>
    <row r="5946" hidden="1" x14ac:dyDescent="0.4"/>
    <row r="5947" hidden="1" x14ac:dyDescent="0.4"/>
    <row r="5948" hidden="1" x14ac:dyDescent="0.4"/>
    <row r="5949" hidden="1" x14ac:dyDescent="0.4"/>
    <row r="5950" hidden="1" x14ac:dyDescent="0.4"/>
    <row r="5951" hidden="1" x14ac:dyDescent="0.4"/>
    <row r="5952" hidden="1" x14ac:dyDescent="0.4"/>
    <row r="5953" hidden="1" x14ac:dyDescent="0.4"/>
    <row r="5954" hidden="1" x14ac:dyDescent="0.4"/>
    <row r="5955" hidden="1" x14ac:dyDescent="0.4"/>
    <row r="5956" hidden="1" x14ac:dyDescent="0.4"/>
    <row r="5957" hidden="1" x14ac:dyDescent="0.4"/>
    <row r="5958" hidden="1" x14ac:dyDescent="0.4"/>
    <row r="5959" hidden="1" x14ac:dyDescent="0.4"/>
    <row r="5960" hidden="1" x14ac:dyDescent="0.4"/>
    <row r="5961" hidden="1" x14ac:dyDescent="0.4"/>
    <row r="5962" hidden="1" x14ac:dyDescent="0.4"/>
    <row r="5963" hidden="1" x14ac:dyDescent="0.4"/>
    <row r="5964" hidden="1" x14ac:dyDescent="0.4"/>
    <row r="5965" hidden="1" x14ac:dyDescent="0.4"/>
    <row r="5966" hidden="1" x14ac:dyDescent="0.4"/>
    <row r="5967" hidden="1" x14ac:dyDescent="0.4"/>
    <row r="5968" hidden="1" x14ac:dyDescent="0.4"/>
    <row r="5969" hidden="1" x14ac:dyDescent="0.4"/>
    <row r="5970" hidden="1" x14ac:dyDescent="0.4"/>
    <row r="5971" hidden="1" x14ac:dyDescent="0.4"/>
    <row r="5972" hidden="1" x14ac:dyDescent="0.4"/>
    <row r="5973" hidden="1" x14ac:dyDescent="0.4"/>
    <row r="5974" hidden="1" x14ac:dyDescent="0.4"/>
    <row r="5975" hidden="1" x14ac:dyDescent="0.4"/>
    <row r="5976" hidden="1" x14ac:dyDescent="0.4"/>
    <row r="5977" hidden="1" x14ac:dyDescent="0.4"/>
    <row r="5978" hidden="1" x14ac:dyDescent="0.4"/>
    <row r="5979" hidden="1" x14ac:dyDescent="0.4"/>
    <row r="5980" hidden="1" x14ac:dyDescent="0.4"/>
    <row r="5981" hidden="1" x14ac:dyDescent="0.4"/>
    <row r="5982" hidden="1" x14ac:dyDescent="0.4"/>
    <row r="5983" hidden="1" x14ac:dyDescent="0.4"/>
    <row r="5984" hidden="1" x14ac:dyDescent="0.4"/>
    <row r="5985" hidden="1" x14ac:dyDescent="0.4"/>
    <row r="5986" hidden="1" x14ac:dyDescent="0.4"/>
    <row r="5987" hidden="1" x14ac:dyDescent="0.4"/>
    <row r="5988" hidden="1" x14ac:dyDescent="0.4"/>
    <row r="5989" hidden="1" x14ac:dyDescent="0.4"/>
    <row r="5990" hidden="1" x14ac:dyDescent="0.4"/>
    <row r="5991" hidden="1" x14ac:dyDescent="0.4"/>
    <row r="5992" hidden="1" x14ac:dyDescent="0.4"/>
    <row r="5993" hidden="1" x14ac:dyDescent="0.4"/>
    <row r="5994" hidden="1" x14ac:dyDescent="0.4"/>
    <row r="5995" hidden="1" x14ac:dyDescent="0.4"/>
    <row r="5996" hidden="1" x14ac:dyDescent="0.4"/>
    <row r="5997" hidden="1" x14ac:dyDescent="0.4"/>
    <row r="5998" hidden="1" x14ac:dyDescent="0.4"/>
    <row r="5999" hidden="1" x14ac:dyDescent="0.4"/>
    <row r="6000" hidden="1" x14ac:dyDescent="0.4"/>
    <row r="6001" hidden="1" x14ac:dyDescent="0.4"/>
    <row r="6002" hidden="1" x14ac:dyDescent="0.4"/>
    <row r="6003" hidden="1" x14ac:dyDescent="0.4"/>
    <row r="6004" hidden="1" x14ac:dyDescent="0.4"/>
    <row r="6005" hidden="1" x14ac:dyDescent="0.4"/>
    <row r="6006" hidden="1" x14ac:dyDescent="0.4"/>
    <row r="6007" hidden="1" x14ac:dyDescent="0.4"/>
    <row r="6008" hidden="1" x14ac:dyDescent="0.4"/>
    <row r="6009" hidden="1" x14ac:dyDescent="0.4"/>
    <row r="6010" hidden="1" x14ac:dyDescent="0.4"/>
    <row r="6011" hidden="1" x14ac:dyDescent="0.4"/>
    <row r="6012" hidden="1" x14ac:dyDescent="0.4"/>
    <row r="6013" hidden="1" x14ac:dyDescent="0.4"/>
    <row r="6014" hidden="1" x14ac:dyDescent="0.4"/>
    <row r="6015" hidden="1" x14ac:dyDescent="0.4"/>
    <row r="6016" hidden="1" x14ac:dyDescent="0.4"/>
    <row r="6017" hidden="1" x14ac:dyDescent="0.4"/>
    <row r="6018" hidden="1" x14ac:dyDescent="0.4"/>
    <row r="6019" hidden="1" x14ac:dyDescent="0.4"/>
    <row r="6020" hidden="1" x14ac:dyDescent="0.4"/>
    <row r="6021" hidden="1" x14ac:dyDescent="0.4"/>
    <row r="6022" hidden="1" x14ac:dyDescent="0.4"/>
    <row r="6023" hidden="1" x14ac:dyDescent="0.4"/>
    <row r="6024" hidden="1" x14ac:dyDescent="0.4"/>
    <row r="6025" hidden="1" x14ac:dyDescent="0.4"/>
    <row r="6026" hidden="1" x14ac:dyDescent="0.4"/>
    <row r="6027" hidden="1" x14ac:dyDescent="0.4"/>
    <row r="6028" hidden="1" x14ac:dyDescent="0.4"/>
    <row r="6029" hidden="1" x14ac:dyDescent="0.4"/>
    <row r="6030" hidden="1" x14ac:dyDescent="0.4"/>
    <row r="6031" hidden="1" x14ac:dyDescent="0.4"/>
    <row r="6032" hidden="1" x14ac:dyDescent="0.4"/>
    <row r="6033" hidden="1" x14ac:dyDescent="0.4"/>
    <row r="6034" hidden="1" x14ac:dyDescent="0.4"/>
    <row r="6035" hidden="1" x14ac:dyDescent="0.4"/>
    <row r="6036" hidden="1" x14ac:dyDescent="0.4"/>
    <row r="6037" hidden="1" x14ac:dyDescent="0.4"/>
    <row r="6038" hidden="1" x14ac:dyDescent="0.4"/>
    <row r="6039" hidden="1" x14ac:dyDescent="0.4"/>
    <row r="6040" hidden="1" x14ac:dyDescent="0.4"/>
    <row r="6041" hidden="1" x14ac:dyDescent="0.4"/>
    <row r="6042" hidden="1" x14ac:dyDescent="0.4"/>
    <row r="6043" hidden="1" x14ac:dyDescent="0.4"/>
    <row r="6044" hidden="1" x14ac:dyDescent="0.4"/>
    <row r="6045" hidden="1" x14ac:dyDescent="0.4"/>
    <row r="6046" hidden="1" x14ac:dyDescent="0.4"/>
    <row r="6047" hidden="1" x14ac:dyDescent="0.4"/>
    <row r="6048" hidden="1" x14ac:dyDescent="0.4"/>
    <row r="6049" hidden="1" x14ac:dyDescent="0.4"/>
    <row r="6050" hidden="1" x14ac:dyDescent="0.4"/>
    <row r="6051" hidden="1" x14ac:dyDescent="0.4"/>
    <row r="6052" hidden="1" x14ac:dyDescent="0.4"/>
    <row r="6053" hidden="1" x14ac:dyDescent="0.4"/>
    <row r="6054" hidden="1" x14ac:dyDescent="0.4"/>
    <row r="6055" hidden="1" x14ac:dyDescent="0.4"/>
    <row r="6056" hidden="1" x14ac:dyDescent="0.4"/>
    <row r="6057" hidden="1" x14ac:dyDescent="0.4"/>
    <row r="6058" hidden="1" x14ac:dyDescent="0.4"/>
    <row r="6059" hidden="1" x14ac:dyDescent="0.4"/>
    <row r="6060" hidden="1" x14ac:dyDescent="0.4"/>
    <row r="6061" hidden="1" x14ac:dyDescent="0.4"/>
    <row r="6062" hidden="1" x14ac:dyDescent="0.4"/>
    <row r="6063" hidden="1" x14ac:dyDescent="0.4"/>
    <row r="6064" hidden="1" x14ac:dyDescent="0.4"/>
    <row r="6065" hidden="1" x14ac:dyDescent="0.4"/>
    <row r="6066" hidden="1" x14ac:dyDescent="0.4"/>
    <row r="6067" hidden="1" x14ac:dyDescent="0.4"/>
    <row r="6068" hidden="1" x14ac:dyDescent="0.4"/>
    <row r="6069" hidden="1" x14ac:dyDescent="0.4"/>
    <row r="6070" hidden="1" x14ac:dyDescent="0.4"/>
    <row r="6071" hidden="1" x14ac:dyDescent="0.4"/>
    <row r="6072" hidden="1" x14ac:dyDescent="0.4"/>
    <row r="6073" hidden="1" x14ac:dyDescent="0.4"/>
    <row r="6074" hidden="1" x14ac:dyDescent="0.4"/>
    <row r="6075" hidden="1" x14ac:dyDescent="0.4"/>
    <row r="6076" hidden="1" x14ac:dyDescent="0.4"/>
    <row r="6077" hidden="1" x14ac:dyDescent="0.4"/>
    <row r="6078" hidden="1" x14ac:dyDescent="0.4"/>
    <row r="6079" hidden="1" x14ac:dyDescent="0.4"/>
    <row r="6080" hidden="1" x14ac:dyDescent="0.4"/>
    <row r="6081" hidden="1" x14ac:dyDescent="0.4"/>
    <row r="6082" hidden="1" x14ac:dyDescent="0.4"/>
    <row r="6083" hidden="1" x14ac:dyDescent="0.4"/>
    <row r="6084" hidden="1" x14ac:dyDescent="0.4"/>
    <row r="6085" hidden="1" x14ac:dyDescent="0.4"/>
    <row r="6086" hidden="1" x14ac:dyDescent="0.4"/>
    <row r="6087" hidden="1" x14ac:dyDescent="0.4"/>
    <row r="6088" hidden="1" x14ac:dyDescent="0.4"/>
    <row r="6089" hidden="1" x14ac:dyDescent="0.4"/>
    <row r="6090" hidden="1" x14ac:dyDescent="0.4"/>
    <row r="6091" hidden="1" x14ac:dyDescent="0.4"/>
    <row r="6092" hidden="1" x14ac:dyDescent="0.4"/>
    <row r="6093" hidden="1" x14ac:dyDescent="0.4"/>
    <row r="6094" hidden="1" x14ac:dyDescent="0.4"/>
    <row r="6095" hidden="1" x14ac:dyDescent="0.4"/>
    <row r="6096" hidden="1" x14ac:dyDescent="0.4"/>
    <row r="6097" hidden="1" x14ac:dyDescent="0.4"/>
    <row r="6098" hidden="1" x14ac:dyDescent="0.4"/>
    <row r="6099" hidden="1" x14ac:dyDescent="0.4"/>
    <row r="6100" hidden="1" x14ac:dyDescent="0.4"/>
    <row r="6101" hidden="1" x14ac:dyDescent="0.4"/>
    <row r="6102" hidden="1" x14ac:dyDescent="0.4"/>
    <row r="6103" hidden="1" x14ac:dyDescent="0.4"/>
    <row r="6104" hidden="1" x14ac:dyDescent="0.4"/>
    <row r="6105" hidden="1" x14ac:dyDescent="0.4"/>
    <row r="6106" hidden="1" x14ac:dyDescent="0.4"/>
    <row r="6107" hidden="1" x14ac:dyDescent="0.4"/>
    <row r="6108" hidden="1" x14ac:dyDescent="0.4"/>
    <row r="6109" hidden="1" x14ac:dyDescent="0.4"/>
    <row r="6110" hidden="1" x14ac:dyDescent="0.4"/>
    <row r="6111" hidden="1" x14ac:dyDescent="0.4"/>
    <row r="6112" hidden="1" x14ac:dyDescent="0.4"/>
    <row r="6113" hidden="1" x14ac:dyDescent="0.4"/>
    <row r="6114" hidden="1" x14ac:dyDescent="0.4"/>
    <row r="6115" hidden="1" x14ac:dyDescent="0.4"/>
    <row r="6116" hidden="1" x14ac:dyDescent="0.4"/>
    <row r="6117" hidden="1" x14ac:dyDescent="0.4"/>
    <row r="6118" hidden="1" x14ac:dyDescent="0.4"/>
    <row r="6119" hidden="1" x14ac:dyDescent="0.4"/>
    <row r="6120" hidden="1" x14ac:dyDescent="0.4"/>
    <row r="6121" hidden="1" x14ac:dyDescent="0.4"/>
    <row r="6122" hidden="1" x14ac:dyDescent="0.4"/>
    <row r="6123" hidden="1" x14ac:dyDescent="0.4"/>
    <row r="6124" hidden="1" x14ac:dyDescent="0.4"/>
    <row r="6125" hidden="1" x14ac:dyDescent="0.4"/>
    <row r="6126" hidden="1" x14ac:dyDescent="0.4"/>
    <row r="6127" hidden="1" x14ac:dyDescent="0.4"/>
    <row r="6128" hidden="1" x14ac:dyDescent="0.4"/>
    <row r="6129" hidden="1" x14ac:dyDescent="0.4"/>
    <row r="6130" hidden="1" x14ac:dyDescent="0.4"/>
    <row r="6131" hidden="1" x14ac:dyDescent="0.4"/>
    <row r="6132" hidden="1" x14ac:dyDescent="0.4"/>
    <row r="6133" hidden="1" x14ac:dyDescent="0.4"/>
    <row r="6134" hidden="1" x14ac:dyDescent="0.4"/>
    <row r="6135" hidden="1" x14ac:dyDescent="0.4"/>
    <row r="6136" hidden="1" x14ac:dyDescent="0.4"/>
    <row r="6137" hidden="1" x14ac:dyDescent="0.4"/>
    <row r="6138" hidden="1" x14ac:dyDescent="0.4"/>
    <row r="6139" hidden="1" x14ac:dyDescent="0.4"/>
    <row r="6140" hidden="1" x14ac:dyDescent="0.4"/>
    <row r="6141" hidden="1" x14ac:dyDescent="0.4"/>
    <row r="6142" hidden="1" x14ac:dyDescent="0.4"/>
    <row r="6143" hidden="1" x14ac:dyDescent="0.4"/>
    <row r="6144" hidden="1" x14ac:dyDescent="0.4"/>
    <row r="6145" hidden="1" x14ac:dyDescent="0.4"/>
    <row r="6146" hidden="1" x14ac:dyDescent="0.4"/>
    <row r="6147" hidden="1" x14ac:dyDescent="0.4"/>
    <row r="6148" hidden="1" x14ac:dyDescent="0.4"/>
    <row r="6149" hidden="1" x14ac:dyDescent="0.4"/>
    <row r="6150" hidden="1" x14ac:dyDescent="0.4"/>
    <row r="6151" hidden="1" x14ac:dyDescent="0.4"/>
    <row r="6152" hidden="1" x14ac:dyDescent="0.4"/>
    <row r="6153" hidden="1" x14ac:dyDescent="0.4"/>
    <row r="6154" hidden="1" x14ac:dyDescent="0.4"/>
    <row r="6155" hidden="1" x14ac:dyDescent="0.4"/>
    <row r="6156" hidden="1" x14ac:dyDescent="0.4"/>
    <row r="6157" hidden="1" x14ac:dyDescent="0.4"/>
    <row r="6158" hidden="1" x14ac:dyDescent="0.4"/>
    <row r="6159" hidden="1" x14ac:dyDescent="0.4"/>
    <row r="6160" hidden="1" x14ac:dyDescent="0.4"/>
    <row r="6161" hidden="1" x14ac:dyDescent="0.4"/>
    <row r="6162" hidden="1" x14ac:dyDescent="0.4"/>
    <row r="6163" hidden="1" x14ac:dyDescent="0.4"/>
    <row r="6164" hidden="1" x14ac:dyDescent="0.4"/>
    <row r="6165" hidden="1" x14ac:dyDescent="0.4"/>
    <row r="6166" hidden="1" x14ac:dyDescent="0.4"/>
    <row r="6167" hidden="1" x14ac:dyDescent="0.4"/>
    <row r="6168" hidden="1" x14ac:dyDescent="0.4"/>
    <row r="6169" hidden="1" x14ac:dyDescent="0.4"/>
    <row r="6170" hidden="1" x14ac:dyDescent="0.4"/>
    <row r="6171" hidden="1" x14ac:dyDescent="0.4"/>
    <row r="6172" hidden="1" x14ac:dyDescent="0.4"/>
    <row r="6173" hidden="1" x14ac:dyDescent="0.4"/>
    <row r="6174" hidden="1" x14ac:dyDescent="0.4"/>
    <row r="6175" hidden="1" x14ac:dyDescent="0.4"/>
    <row r="6176" hidden="1" x14ac:dyDescent="0.4"/>
    <row r="6177" hidden="1" x14ac:dyDescent="0.4"/>
    <row r="6178" hidden="1" x14ac:dyDescent="0.4"/>
    <row r="6179" hidden="1" x14ac:dyDescent="0.4"/>
    <row r="6180" hidden="1" x14ac:dyDescent="0.4"/>
    <row r="6181" hidden="1" x14ac:dyDescent="0.4"/>
    <row r="6182" hidden="1" x14ac:dyDescent="0.4"/>
    <row r="6183" hidden="1" x14ac:dyDescent="0.4"/>
    <row r="6184" hidden="1" x14ac:dyDescent="0.4"/>
    <row r="6185" hidden="1" x14ac:dyDescent="0.4"/>
    <row r="6186" hidden="1" x14ac:dyDescent="0.4"/>
    <row r="6187" hidden="1" x14ac:dyDescent="0.4"/>
    <row r="6188" hidden="1" x14ac:dyDescent="0.4"/>
    <row r="6189" hidden="1" x14ac:dyDescent="0.4"/>
    <row r="6190" hidden="1" x14ac:dyDescent="0.4"/>
    <row r="6191" hidden="1" x14ac:dyDescent="0.4"/>
    <row r="6192" hidden="1" x14ac:dyDescent="0.4"/>
    <row r="6193" hidden="1" x14ac:dyDescent="0.4"/>
    <row r="6194" hidden="1" x14ac:dyDescent="0.4"/>
    <row r="6195" hidden="1" x14ac:dyDescent="0.4"/>
    <row r="6196" hidden="1" x14ac:dyDescent="0.4"/>
    <row r="6197" hidden="1" x14ac:dyDescent="0.4"/>
    <row r="6198" hidden="1" x14ac:dyDescent="0.4"/>
    <row r="6199" hidden="1" x14ac:dyDescent="0.4"/>
    <row r="6200" hidden="1" x14ac:dyDescent="0.4"/>
    <row r="6201" hidden="1" x14ac:dyDescent="0.4"/>
    <row r="6202" hidden="1" x14ac:dyDescent="0.4"/>
    <row r="6203" hidden="1" x14ac:dyDescent="0.4"/>
    <row r="6204" hidden="1" x14ac:dyDescent="0.4"/>
    <row r="6205" hidden="1" x14ac:dyDescent="0.4"/>
    <row r="6206" hidden="1" x14ac:dyDescent="0.4"/>
    <row r="6207" hidden="1" x14ac:dyDescent="0.4"/>
    <row r="6208" hidden="1" x14ac:dyDescent="0.4"/>
    <row r="6209" hidden="1" x14ac:dyDescent="0.4"/>
    <row r="6210" hidden="1" x14ac:dyDescent="0.4"/>
    <row r="6211" hidden="1" x14ac:dyDescent="0.4"/>
    <row r="6212" hidden="1" x14ac:dyDescent="0.4"/>
    <row r="6213" hidden="1" x14ac:dyDescent="0.4"/>
    <row r="6214" hidden="1" x14ac:dyDescent="0.4"/>
    <row r="6215" hidden="1" x14ac:dyDescent="0.4"/>
    <row r="6216" hidden="1" x14ac:dyDescent="0.4"/>
    <row r="6217" hidden="1" x14ac:dyDescent="0.4"/>
    <row r="6218" hidden="1" x14ac:dyDescent="0.4"/>
    <row r="6219" hidden="1" x14ac:dyDescent="0.4"/>
    <row r="6220" hidden="1" x14ac:dyDescent="0.4"/>
    <row r="6221" hidden="1" x14ac:dyDescent="0.4"/>
    <row r="6222" hidden="1" x14ac:dyDescent="0.4"/>
    <row r="6223" hidden="1" x14ac:dyDescent="0.4"/>
    <row r="6224" hidden="1" x14ac:dyDescent="0.4"/>
    <row r="6225" hidden="1" x14ac:dyDescent="0.4"/>
    <row r="6226" hidden="1" x14ac:dyDescent="0.4"/>
    <row r="6227" hidden="1" x14ac:dyDescent="0.4"/>
    <row r="6228" hidden="1" x14ac:dyDescent="0.4"/>
    <row r="6229" hidden="1" x14ac:dyDescent="0.4"/>
    <row r="6230" hidden="1" x14ac:dyDescent="0.4"/>
    <row r="6231" hidden="1" x14ac:dyDescent="0.4"/>
    <row r="6232" hidden="1" x14ac:dyDescent="0.4"/>
    <row r="6233" hidden="1" x14ac:dyDescent="0.4"/>
    <row r="6234" hidden="1" x14ac:dyDescent="0.4"/>
    <row r="6235" hidden="1" x14ac:dyDescent="0.4"/>
    <row r="6236" hidden="1" x14ac:dyDescent="0.4"/>
    <row r="6237" hidden="1" x14ac:dyDescent="0.4"/>
    <row r="6238" hidden="1" x14ac:dyDescent="0.4"/>
    <row r="6239" hidden="1" x14ac:dyDescent="0.4"/>
    <row r="6240" hidden="1" x14ac:dyDescent="0.4"/>
    <row r="6241" hidden="1" x14ac:dyDescent="0.4"/>
    <row r="6242" hidden="1" x14ac:dyDescent="0.4"/>
    <row r="6243" hidden="1" x14ac:dyDescent="0.4"/>
    <row r="6244" hidden="1" x14ac:dyDescent="0.4"/>
    <row r="6245" hidden="1" x14ac:dyDescent="0.4"/>
    <row r="6246" hidden="1" x14ac:dyDescent="0.4"/>
    <row r="6247" hidden="1" x14ac:dyDescent="0.4"/>
    <row r="6248" hidden="1" x14ac:dyDescent="0.4"/>
    <row r="6249" hidden="1" x14ac:dyDescent="0.4"/>
    <row r="6250" hidden="1" x14ac:dyDescent="0.4"/>
    <row r="6251" hidden="1" x14ac:dyDescent="0.4"/>
    <row r="6252" hidden="1" x14ac:dyDescent="0.4"/>
    <row r="6253" hidden="1" x14ac:dyDescent="0.4"/>
    <row r="6254" hidden="1" x14ac:dyDescent="0.4"/>
    <row r="6255" hidden="1" x14ac:dyDescent="0.4"/>
    <row r="6256" hidden="1" x14ac:dyDescent="0.4"/>
    <row r="6257" hidden="1" x14ac:dyDescent="0.4"/>
    <row r="6258" hidden="1" x14ac:dyDescent="0.4"/>
    <row r="6259" hidden="1" x14ac:dyDescent="0.4"/>
    <row r="6260" hidden="1" x14ac:dyDescent="0.4"/>
    <row r="6261" hidden="1" x14ac:dyDescent="0.4"/>
    <row r="6262" hidden="1" x14ac:dyDescent="0.4"/>
    <row r="6263" hidden="1" x14ac:dyDescent="0.4"/>
    <row r="6264" hidden="1" x14ac:dyDescent="0.4"/>
    <row r="6265" hidden="1" x14ac:dyDescent="0.4"/>
    <row r="6266" hidden="1" x14ac:dyDescent="0.4"/>
    <row r="6267" hidden="1" x14ac:dyDescent="0.4"/>
    <row r="6268" hidden="1" x14ac:dyDescent="0.4"/>
    <row r="6269" hidden="1" x14ac:dyDescent="0.4"/>
    <row r="6270" hidden="1" x14ac:dyDescent="0.4"/>
    <row r="6271" hidden="1" x14ac:dyDescent="0.4"/>
    <row r="6272" hidden="1" x14ac:dyDescent="0.4"/>
    <row r="6273" hidden="1" x14ac:dyDescent="0.4"/>
    <row r="6274" hidden="1" x14ac:dyDescent="0.4"/>
    <row r="6275" hidden="1" x14ac:dyDescent="0.4"/>
    <row r="6276" hidden="1" x14ac:dyDescent="0.4"/>
    <row r="6277" hidden="1" x14ac:dyDescent="0.4"/>
    <row r="6278" hidden="1" x14ac:dyDescent="0.4"/>
    <row r="6279" hidden="1" x14ac:dyDescent="0.4"/>
    <row r="6280" hidden="1" x14ac:dyDescent="0.4"/>
    <row r="6281" hidden="1" x14ac:dyDescent="0.4"/>
    <row r="6282" hidden="1" x14ac:dyDescent="0.4"/>
    <row r="6283" hidden="1" x14ac:dyDescent="0.4"/>
    <row r="6284" hidden="1" x14ac:dyDescent="0.4"/>
    <row r="6285" hidden="1" x14ac:dyDescent="0.4"/>
    <row r="6286" hidden="1" x14ac:dyDescent="0.4"/>
    <row r="6287" hidden="1" x14ac:dyDescent="0.4"/>
    <row r="6288" hidden="1" x14ac:dyDescent="0.4"/>
    <row r="6289" hidden="1" x14ac:dyDescent="0.4"/>
    <row r="6290" hidden="1" x14ac:dyDescent="0.4"/>
    <row r="6291" hidden="1" x14ac:dyDescent="0.4"/>
    <row r="6292" hidden="1" x14ac:dyDescent="0.4"/>
    <row r="6293" hidden="1" x14ac:dyDescent="0.4"/>
    <row r="6294" hidden="1" x14ac:dyDescent="0.4"/>
    <row r="6295" hidden="1" x14ac:dyDescent="0.4"/>
    <row r="6296" hidden="1" x14ac:dyDescent="0.4"/>
    <row r="6297" hidden="1" x14ac:dyDescent="0.4"/>
    <row r="6298" hidden="1" x14ac:dyDescent="0.4"/>
    <row r="6299" hidden="1" x14ac:dyDescent="0.4"/>
    <row r="6300" hidden="1" x14ac:dyDescent="0.4"/>
    <row r="6301" hidden="1" x14ac:dyDescent="0.4"/>
    <row r="6302" hidden="1" x14ac:dyDescent="0.4"/>
    <row r="6303" hidden="1" x14ac:dyDescent="0.4"/>
    <row r="6304" hidden="1" x14ac:dyDescent="0.4"/>
    <row r="6305" hidden="1" x14ac:dyDescent="0.4"/>
    <row r="6306" hidden="1" x14ac:dyDescent="0.4"/>
    <row r="6307" hidden="1" x14ac:dyDescent="0.4"/>
    <row r="6308" hidden="1" x14ac:dyDescent="0.4"/>
    <row r="6309" hidden="1" x14ac:dyDescent="0.4"/>
    <row r="6310" hidden="1" x14ac:dyDescent="0.4"/>
    <row r="6311" hidden="1" x14ac:dyDescent="0.4"/>
    <row r="6312" hidden="1" x14ac:dyDescent="0.4"/>
    <row r="6313" hidden="1" x14ac:dyDescent="0.4"/>
    <row r="6314" hidden="1" x14ac:dyDescent="0.4"/>
    <row r="6315" hidden="1" x14ac:dyDescent="0.4"/>
    <row r="6316" hidden="1" x14ac:dyDescent="0.4"/>
    <row r="6317" hidden="1" x14ac:dyDescent="0.4"/>
    <row r="6318" hidden="1" x14ac:dyDescent="0.4"/>
    <row r="6319" hidden="1" x14ac:dyDescent="0.4"/>
    <row r="6320" hidden="1" x14ac:dyDescent="0.4"/>
    <row r="6321" hidden="1" x14ac:dyDescent="0.4"/>
    <row r="6322" hidden="1" x14ac:dyDescent="0.4"/>
    <row r="6323" hidden="1" x14ac:dyDescent="0.4"/>
    <row r="6324" hidden="1" x14ac:dyDescent="0.4"/>
    <row r="6325" hidden="1" x14ac:dyDescent="0.4"/>
    <row r="6326" hidden="1" x14ac:dyDescent="0.4"/>
    <row r="6327" hidden="1" x14ac:dyDescent="0.4"/>
    <row r="6328" hidden="1" x14ac:dyDescent="0.4"/>
    <row r="6329" hidden="1" x14ac:dyDescent="0.4"/>
    <row r="6330" hidden="1" x14ac:dyDescent="0.4"/>
    <row r="6331" hidden="1" x14ac:dyDescent="0.4"/>
    <row r="6332" hidden="1" x14ac:dyDescent="0.4"/>
    <row r="6333" hidden="1" x14ac:dyDescent="0.4"/>
    <row r="6334" hidden="1" x14ac:dyDescent="0.4"/>
    <row r="6335" hidden="1" x14ac:dyDescent="0.4"/>
    <row r="6336" hidden="1" x14ac:dyDescent="0.4"/>
    <row r="6337" hidden="1" x14ac:dyDescent="0.4"/>
    <row r="6338" hidden="1" x14ac:dyDescent="0.4"/>
    <row r="6339" hidden="1" x14ac:dyDescent="0.4"/>
    <row r="6340" hidden="1" x14ac:dyDescent="0.4"/>
    <row r="6341" hidden="1" x14ac:dyDescent="0.4"/>
    <row r="6342" hidden="1" x14ac:dyDescent="0.4"/>
    <row r="6343" hidden="1" x14ac:dyDescent="0.4"/>
    <row r="6344" hidden="1" x14ac:dyDescent="0.4"/>
    <row r="6345" hidden="1" x14ac:dyDescent="0.4"/>
    <row r="6346" hidden="1" x14ac:dyDescent="0.4"/>
    <row r="6347" hidden="1" x14ac:dyDescent="0.4"/>
    <row r="6348" hidden="1" x14ac:dyDescent="0.4"/>
    <row r="6349" hidden="1" x14ac:dyDescent="0.4"/>
    <row r="6350" hidden="1" x14ac:dyDescent="0.4"/>
    <row r="6351" hidden="1" x14ac:dyDescent="0.4"/>
    <row r="6352" hidden="1" x14ac:dyDescent="0.4"/>
    <row r="6353" hidden="1" x14ac:dyDescent="0.4"/>
    <row r="6354" hidden="1" x14ac:dyDescent="0.4"/>
    <row r="6355" hidden="1" x14ac:dyDescent="0.4"/>
    <row r="6356" hidden="1" x14ac:dyDescent="0.4"/>
    <row r="6357" hidden="1" x14ac:dyDescent="0.4"/>
    <row r="6358" hidden="1" x14ac:dyDescent="0.4"/>
    <row r="6359" hidden="1" x14ac:dyDescent="0.4"/>
    <row r="6360" hidden="1" x14ac:dyDescent="0.4"/>
    <row r="6361" hidden="1" x14ac:dyDescent="0.4"/>
    <row r="6362" hidden="1" x14ac:dyDescent="0.4"/>
    <row r="6363" hidden="1" x14ac:dyDescent="0.4"/>
    <row r="6364" hidden="1" x14ac:dyDescent="0.4"/>
    <row r="6365" hidden="1" x14ac:dyDescent="0.4"/>
    <row r="6366" hidden="1" x14ac:dyDescent="0.4"/>
    <row r="6367" hidden="1" x14ac:dyDescent="0.4"/>
    <row r="6368" hidden="1" x14ac:dyDescent="0.4"/>
    <row r="6369" hidden="1" x14ac:dyDescent="0.4"/>
    <row r="6370" hidden="1" x14ac:dyDescent="0.4"/>
    <row r="6371" hidden="1" x14ac:dyDescent="0.4"/>
    <row r="6372" hidden="1" x14ac:dyDescent="0.4"/>
    <row r="6373" hidden="1" x14ac:dyDescent="0.4"/>
    <row r="6374" hidden="1" x14ac:dyDescent="0.4"/>
    <row r="6375" hidden="1" x14ac:dyDescent="0.4"/>
    <row r="6376" hidden="1" x14ac:dyDescent="0.4"/>
    <row r="6377" hidden="1" x14ac:dyDescent="0.4"/>
    <row r="6378" hidden="1" x14ac:dyDescent="0.4"/>
    <row r="6379" hidden="1" x14ac:dyDescent="0.4"/>
    <row r="6380" hidden="1" x14ac:dyDescent="0.4"/>
    <row r="6381" hidden="1" x14ac:dyDescent="0.4"/>
    <row r="6382" hidden="1" x14ac:dyDescent="0.4"/>
    <row r="6383" hidden="1" x14ac:dyDescent="0.4"/>
    <row r="6384" hidden="1" x14ac:dyDescent="0.4"/>
    <row r="6385" hidden="1" x14ac:dyDescent="0.4"/>
    <row r="6386" hidden="1" x14ac:dyDescent="0.4"/>
    <row r="6387" hidden="1" x14ac:dyDescent="0.4"/>
    <row r="6388" hidden="1" x14ac:dyDescent="0.4"/>
    <row r="6389" hidden="1" x14ac:dyDescent="0.4"/>
    <row r="6390" hidden="1" x14ac:dyDescent="0.4"/>
    <row r="6391" hidden="1" x14ac:dyDescent="0.4"/>
    <row r="6392" hidden="1" x14ac:dyDescent="0.4"/>
    <row r="6393" hidden="1" x14ac:dyDescent="0.4"/>
    <row r="6394" hidden="1" x14ac:dyDescent="0.4"/>
    <row r="6395" hidden="1" x14ac:dyDescent="0.4"/>
    <row r="6396" hidden="1" x14ac:dyDescent="0.4"/>
    <row r="6397" hidden="1" x14ac:dyDescent="0.4"/>
    <row r="6398" hidden="1" x14ac:dyDescent="0.4"/>
    <row r="6399" hidden="1" x14ac:dyDescent="0.4"/>
    <row r="6400" hidden="1" x14ac:dyDescent="0.4"/>
    <row r="6401" hidden="1" x14ac:dyDescent="0.4"/>
    <row r="6402" hidden="1" x14ac:dyDescent="0.4"/>
    <row r="6403" hidden="1" x14ac:dyDescent="0.4"/>
    <row r="6404" hidden="1" x14ac:dyDescent="0.4"/>
    <row r="6405" hidden="1" x14ac:dyDescent="0.4"/>
    <row r="6406" hidden="1" x14ac:dyDescent="0.4"/>
    <row r="6407" hidden="1" x14ac:dyDescent="0.4"/>
    <row r="6408" hidden="1" x14ac:dyDescent="0.4"/>
    <row r="6409" hidden="1" x14ac:dyDescent="0.4"/>
    <row r="6410" hidden="1" x14ac:dyDescent="0.4"/>
    <row r="6411" hidden="1" x14ac:dyDescent="0.4"/>
    <row r="6412" hidden="1" x14ac:dyDescent="0.4"/>
    <row r="6413" hidden="1" x14ac:dyDescent="0.4"/>
    <row r="6414" hidden="1" x14ac:dyDescent="0.4"/>
    <row r="6415" hidden="1" x14ac:dyDescent="0.4"/>
    <row r="6416" hidden="1" x14ac:dyDescent="0.4"/>
    <row r="6417" hidden="1" x14ac:dyDescent="0.4"/>
    <row r="6418" hidden="1" x14ac:dyDescent="0.4"/>
    <row r="6419" hidden="1" x14ac:dyDescent="0.4"/>
    <row r="6420" hidden="1" x14ac:dyDescent="0.4"/>
    <row r="6421" hidden="1" x14ac:dyDescent="0.4"/>
    <row r="6422" hidden="1" x14ac:dyDescent="0.4"/>
    <row r="6423" hidden="1" x14ac:dyDescent="0.4"/>
    <row r="6424" hidden="1" x14ac:dyDescent="0.4"/>
    <row r="6425" hidden="1" x14ac:dyDescent="0.4"/>
    <row r="6426" hidden="1" x14ac:dyDescent="0.4"/>
    <row r="6427" hidden="1" x14ac:dyDescent="0.4"/>
    <row r="6428" hidden="1" x14ac:dyDescent="0.4"/>
    <row r="6429" hidden="1" x14ac:dyDescent="0.4"/>
    <row r="6430" hidden="1" x14ac:dyDescent="0.4"/>
    <row r="6431" hidden="1" x14ac:dyDescent="0.4"/>
    <row r="6432" hidden="1" x14ac:dyDescent="0.4"/>
    <row r="6433" hidden="1" x14ac:dyDescent="0.4"/>
    <row r="6434" hidden="1" x14ac:dyDescent="0.4"/>
    <row r="6435" hidden="1" x14ac:dyDescent="0.4"/>
    <row r="6436" hidden="1" x14ac:dyDescent="0.4"/>
    <row r="6437" hidden="1" x14ac:dyDescent="0.4"/>
    <row r="6438" hidden="1" x14ac:dyDescent="0.4"/>
    <row r="6439" hidden="1" x14ac:dyDescent="0.4"/>
    <row r="6440" hidden="1" x14ac:dyDescent="0.4"/>
    <row r="6441" hidden="1" x14ac:dyDescent="0.4"/>
    <row r="6442" hidden="1" x14ac:dyDescent="0.4"/>
    <row r="6443" hidden="1" x14ac:dyDescent="0.4"/>
    <row r="6444" hidden="1" x14ac:dyDescent="0.4"/>
    <row r="6445" hidden="1" x14ac:dyDescent="0.4"/>
    <row r="6446" hidden="1" x14ac:dyDescent="0.4"/>
    <row r="6447" hidden="1" x14ac:dyDescent="0.4"/>
    <row r="6448" hidden="1" x14ac:dyDescent="0.4"/>
    <row r="6449" hidden="1" x14ac:dyDescent="0.4"/>
    <row r="6450" hidden="1" x14ac:dyDescent="0.4"/>
    <row r="6451" hidden="1" x14ac:dyDescent="0.4"/>
    <row r="6452" hidden="1" x14ac:dyDescent="0.4"/>
    <row r="6453" hidden="1" x14ac:dyDescent="0.4"/>
    <row r="6454" hidden="1" x14ac:dyDescent="0.4"/>
    <row r="6455" hidden="1" x14ac:dyDescent="0.4"/>
    <row r="6456" hidden="1" x14ac:dyDescent="0.4"/>
    <row r="6457" hidden="1" x14ac:dyDescent="0.4"/>
    <row r="6458" hidden="1" x14ac:dyDescent="0.4"/>
    <row r="6459" hidden="1" x14ac:dyDescent="0.4"/>
    <row r="6460" hidden="1" x14ac:dyDescent="0.4"/>
    <row r="6461" hidden="1" x14ac:dyDescent="0.4"/>
    <row r="6462" hidden="1" x14ac:dyDescent="0.4"/>
    <row r="6463" hidden="1" x14ac:dyDescent="0.4"/>
    <row r="6464" hidden="1" x14ac:dyDescent="0.4"/>
    <row r="6465" hidden="1" x14ac:dyDescent="0.4"/>
    <row r="6466" hidden="1" x14ac:dyDescent="0.4"/>
    <row r="6467" hidden="1" x14ac:dyDescent="0.4"/>
    <row r="6468" hidden="1" x14ac:dyDescent="0.4"/>
    <row r="6469" hidden="1" x14ac:dyDescent="0.4"/>
    <row r="6470" hidden="1" x14ac:dyDescent="0.4"/>
    <row r="6471" hidden="1" x14ac:dyDescent="0.4"/>
    <row r="6472" hidden="1" x14ac:dyDescent="0.4"/>
    <row r="6473" hidden="1" x14ac:dyDescent="0.4"/>
    <row r="6474" hidden="1" x14ac:dyDescent="0.4"/>
    <row r="6475" hidden="1" x14ac:dyDescent="0.4"/>
    <row r="6476" hidden="1" x14ac:dyDescent="0.4"/>
    <row r="6477" hidden="1" x14ac:dyDescent="0.4"/>
    <row r="6478" hidden="1" x14ac:dyDescent="0.4"/>
    <row r="6479" hidden="1" x14ac:dyDescent="0.4"/>
    <row r="6480" hidden="1" x14ac:dyDescent="0.4"/>
    <row r="6481" hidden="1" x14ac:dyDescent="0.4"/>
    <row r="6482" hidden="1" x14ac:dyDescent="0.4"/>
    <row r="6483" hidden="1" x14ac:dyDescent="0.4"/>
    <row r="6484" hidden="1" x14ac:dyDescent="0.4"/>
    <row r="6485" hidden="1" x14ac:dyDescent="0.4"/>
    <row r="6486" hidden="1" x14ac:dyDescent="0.4"/>
    <row r="6487" hidden="1" x14ac:dyDescent="0.4"/>
    <row r="6488" hidden="1" x14ac:dyDescent="0.4"/>
    <row r="6489" hidden="1" x14ac:dyDescent="0.4"/>
    <row r="6490" hidden="1" x14ac:dyDescent="0.4"/>
    <row r="6491" hidden="1" x14ac:dyDescent="0.4"/>
    <row r="6492" hidden="1" x14ac:dyDescent="0.4"/>
    <row r="6493" hidden="1" x14ac:dyDescent="0.4"/>
    <row r="6494" hidden="1" x14ac:dyDescent="0.4"/>
    <row r="6495" hidden="1" x14ac:dyDescent="0.4"/>
    <row r="6496" hidden="1" x14ac:dyDescent="0.4"/>
    <row r="6497" hidden="1" x14ac:dyDescent="0.4"/>
    <row r="6498" hidden="1" x14ac:dyDescent="0.4"/>
    <row r="6499" hidden="1" x14ac:dyDescent="0.4"/>
    <row r="6500" hidden="1" x14ac:dyDescent="0.4"/>
    <row r="6501" hidden="1" x14ac:dyDescent="0.4"/>
    <row r="6502" hidden="1" x14ac:dyDescent="0.4"/>
    <row r="6503" hidden="1" x14ac:dyDescent="0.4"/>
    <row r="6504" hidden="1" x14ac:dyDescent="0.4"/>
    <row r="6505" hidden="1" x14ac:dyDescent="0.4"/>
    <row r="6506" hidden="1" x14ac:dyDescent="0.4"/>
    <row r="6507" hidden="1" x14ac:dyDescent="0.4"/>
    <row r="6508" hidden="1" x14ac:dyDescent="0.4"/>
    <row r="6509" hidden="1" x14ac:dyDescent="0.4"/>
    <row r="6510" hidden="1" x14ac:dyDescent="0.4"/>
    <row r="6511" hidden="1" x14ac:dyDescent="0.4"/>
    <row r="6512" hidden="1" x14ac:dyDescent="0.4"/>
    <row r="6513" hidden="1" x14ac:dyDescent="0.4"/>
    <row r="6514" hidden="1" x14ac:dyDescent="0.4"/>
    <row r="6515" hidden="1" x14ac:dyDescent="0.4"/>
    <row r="6516" hidden="1" x14ac:dyDescent="0.4"/>
    <row r="6517" hidden="1" x14ac:dyDescent="0.4"/>
    <row r="6518" hidden="1" x14ac:dyDescent="0.4"/>
    <row r="6519" hidden="1" x14ac:dyDescent="0.4"/>
    <row r="6520" hidden="1" x14ac:dyDescent="0.4"/>
    <row r="6521" hidden="1" x14ac:dyDescent="0.4"/>
    <row r="6522" hidden="1" x14ac:dyDescent="0.4"/>
    <row r="6523" hidden="1" x14ac:dyDescent="0.4"/>
    <row r="6524" hidden="1" x14ac:dyDescent="0.4"/>
    <row r="6525" hidden="1" x14ac:dyDescent="0.4"/>
    <row r="6526" hidden="1" x14ac:dyDescent="0.4"/>
    <row r="6527" hidden="1" x14ac:dyDescent="0.4"/>
    <row r="6528" hidden="1" x14ac:dyDescent="0.4"/>
    <row r="6529" hidden="1" x14ac:dyDescent="0.4"/>
    <row r="6530" hidden="1" x14ac:dyDescent="0.4"/>
    <row r="6531" hidden="1" x14ac:dyDescent="0.4"/>
    <row r="6532" hidden="1" x14ac:dyDescent="0.4"/>
    <row r="6533" hidden="1" x14ac:dyDescent="0.4"/>
    <row r="6534" hidden="1" x14ac:dyDescent="0.4"/>
    <row r="6535" hidden="1" x14ac:dyDescent="0.4"/>
    <row r="6536" hidden="1" x14ac:dyDescent="0.4"/>
    <row r="6537" hidden="1" x14ac:dyDescent="0.4"/>
    <row r="6538" hidden="1" x14ac:dyDescent="0.4"/>
    <row r="6539" hidden="1" x14ac:dyDescent="0.4"/>
    <row r="6540" hidden="1" x14ac:dyDescent="0.4"/>
    <row r="6541" hidden="1" x14ac:dyDescent="0.4"/>
    <row r="6542" hidden="1" x14ac:dyDescent="0.4"/>
    <row r="6543" hidden="1" x14ac:dyDescent="0.4"/>
    <row r="6544" hidden="1" x14ac:dyDescent="0.4"/>
    <row r="6545" hidden="1" x14ac:dyDescent="0.4"/>
    <row r="6546" hidden="1" x14ac:dyDescent="0.4"/>
    <row r="6547" hidden="1" x14ac:dyDescent="0.4"/>
    <row r="6548" hidden="1" x14ac:dyDescent="0.4"/>
    <row r="6549" hidden="1" x14ac:dyDescent="0.4"/>
    <row r="6550" hidden="1" x14ac:dyDescent="0.4"/>
    <row r="6551" hidden="1" x14ac:dyDescent="0.4"/>
    <row r="6552" hidden="1" x14ac:dyDescent="0.4"/>
    <row r="6553" hidden="1" x14ac:dyDescent="0.4"/>
    <row r="6554" hidden="1" x14ac:dyDescent="0.4"/>
    <row r="6555" hidden="1" x14ac:dyDescent="0.4"/>
    <row r="6556" hidden="1" x14ac:dyDescent="0.4"/>
    <row r="6557" hidden="1" x14ac:dyDescent="0.4"/>
    <row r="6558" hidden="1" x14ac:dyDescent="0.4"/>
    <row r="6559" hidden="1" x14ac:dyDescent="0.4"/>
    <row r="6560" hidden="1" x14ac:dyDescent="0.4"/>
    <row r="6561" hidden="1" x14ac:dyDescent="0.4"/>
    <row r="6562" hidden="1" x14ac:dyDescent="0.4"/>
    <row r="6563" hidden="1" x14ac:dyDescent="0.4"/>
    <row r="6564" hidden="1" x14ac:dyDescent="0.4"/>
    <row r="6565" hidden="1" x14ac:dyDescent="0.4"/>
    <row r="6566" hidden="1" x14ac:dyDescent="0.4"/>
    <row r="6567" hidden="1" x14ac:dyDescent="0.4"/>
    <row r="6568" hidden="1" x14ac:dyDescent="0.4"/>
    <row r="6569" hidden="1" x14ac:dyDescent="0.4"/>
    <row r="6570" hidden="1" x14ac:dyDescent="0.4"/>
    <row r="6571" hidden="1" x14ac:dyDescent="0.4"/>
    <row r="6572" hidden="1" x14ac:dyDescent="0.4"/>
    <row r="6573" hidden="1" x14ac:dyDescent="0.4"/>
    <row r="6574" hidden="1" x14ac:dyDescent="0.4"/>
    <row r="6575" hidden="1" x14ac:dyDescent="0.4"/>
    <row r="6576" hidden="1" x14ac:dyDescent="0.4"/>
    <row r="6577" hidden="1" x14ac:dyDescent="0.4"/>
    <row r="6578" hidden="1" x14ac:dyDescent="0.4"/>
    <row r="6579" hidden="1" x14ac:dyDescent="0.4"/>
    <row r="6580" hidden="1" x14ac:dyDescent="0.4"/>
    <row r="6581" hidden="1" x14ac:dyDescent="0.4"/>
    <row r="6582" hidden="1" x14ac:dyDescent="0.4"/>
    <row r="6583" hidden="1" x14ac:dyDescent="0.4"/>
    <row r="6584" hidden="1" x14ac:dyDescent="0.4"/>
    <row r="6585" hidden="1" x14ac:dyDescent="0.4"/>
    <row r="6586" hidden="1" x14ac:dyDescent="0.4"/>
    <row r="6587" hidden="1" x14ac:dyDescent="0.4"/>
    <row r="6588" hidden="1" x14ac:dyDescent="0.4"/>
    <row r="6589" hidden="1" x14ac:dyDescent="0.4"/>
    <row r="6590" hidden="1" x14ac:dyDescent="0.4"/>
    <row r="6591" hidden="1" x14ac:dyDescent="0.4"/>
    <row r="6592" hidden="1" x14ac:dyDescent="0.4"/>
    <row r="6593" hidden="1" x14ac:dyDescent="0.4"/>
    <row r="6594" hidden="1" x14ac:dyDescent="0.4"/>
    <row r="6595" hidden="1" x14ac:dyDescent="0.4"/>
    <row r="6596" hidden="1" x14ac:dyDescent="0.4"/>
    <row r="6597" hidden="1" x14ac:dyDescent="0.4"/>
    <row r="6598" hidden="1" x14ac:dyDescent="0.4"/>
    <row r="6599" hidden="1" x14ac:dyDescent="0.4"/>
    <row r="6600" hidden="1" x14ac:dyDescent="0.4"/>
    <row r="6601" hidden="1" x14ac:dyDescent="0.4"/>
    <row r="6602" hidden="1" x14ac:dyDescent="0.4"/>
    <row r="6603" hidden="1" x14ac:dyDescent="0.4"/>
    <row r="6604" hidden="1" x14ac:dyDescent="0.4"/>
    <row r="6605" hidden="1" x14ac:dyDescent="0.4"/>
    <row r="6606" hidden="1" x14ac:dyDescent="0.4"/>
    <row r="6607" hidden="1" x14ac:dyDescent="0.4"/>
    <row r="6608" hidden="1" x14ac:dyDescent="0.4"/>
    <row r="6609" hidden="1" x14ac:dyDescent="0.4"/>
    <row r="6610" hidden="1" x14ac:dyDescent="0.4"/>
    <row r="6611" hidden="1" x14ac:dyDescent="0.4"/>
    <row r="6612" hidden="1" x14ac:dyDescent="0.4"/>
    <row r="6613" hidden="1" x14ac:dyDescent="0.4"/>
    <row r="6614" hidden="1" x14ac:dyDescent="0.4"/>
    <row r="6615" hidden="1" x14ac:dyDescent="0.4"/>
    <row r="6616" hidden="1" x14ac:dyDescent="0.4"/>
    <row r="6617" hidden="1" x14ac:dyDescent="0.4"/>
    <row r="6618" hidden="1" x14ac:dyDescent="0.4"/>
    <row r="6619" hidden="1" x14ac:dyDescent="0.4"/>
    <row r="6620" hidden="1" x14ac:dyDescent="0.4"/>
    <row r="6621" hidden="1" x14ac:dyDescent="0.4"/>
    <row r="6622" hidden="1" x14ac:dyDescent="0.4"/>
    <row r="6623" hidden="1" x14ac:dyDescent="0.4"/>
    <row r="6624" hidden="1" x14ac:dyDescent="0.4"/>
    <row r="6625" hidden="1" x14ac:dyDescent="0.4"/>
    <row r="6626" hidden="1" x14ac:dyDescent="0.4"/>
    <row r="6627" hidden="1" x14ac:dyDescent="0.4"/>
    <row r="6628" hidden="1" x14ac:dyDescent="0.4"/>
    <row r="6629" hidden="1" x14ac:dyDescent="0.4"/>
    <row r="6630" hidden="1" x14ac:dyDescent="0.4"/>
    <row r="6631" hidden="1" x14ac:dyDescent="0.4"/>
    <row r="6632" hidden="1" x14ac:dyDescent="0.4"/>
    <row r="6633" hidden="1" x14ac:dyDescent="0.4"/>
    <row r="6634" hidden="1" x14ac:dyDescent="0.4"/>
    <row r="6635" hidden="1" x14ac:dyDescent="0.4"/>
    <row r="6636" hidden="1" x14ac:dyDescent="0.4"/>
    <row r="6637" hidden="1" x14ac:dyDescent="0.4"/>
    <row r="6638" hidden="1" x14ac:dyDescent="0.4"/>
    <row r="6639" hidden="1" x14ac:dyDescent="0.4"/>
    <row r="6640" hidden="1" x14ac:dyDescent="0.4"/>
    <row r="6641" hidden="1" x14ac:dyDescent="0.4"/>
    <row r="6642" hidden="1" x14ac:dyDescent="0.4"/>
    <row r="6643" hidden="1" x14ac:dyDescent="0.4"/>
    <row r="6644" hidden="1" x14ac:dyDescent="0.4"/>
    <row r="6645" hidden="1" x14ac:dyDescent="0.4"/>
    <row r="6646" hidden="1" x14ac:dyDescent="0.4"/>
    <row r="6647" hidden="1" x14ac:dyDescent="0.4"/>
    <row r="6648" hidden="1" x14ac:dyDescent="0.4"/>
    <row r="6649" hidden="1" x14ac:dyDescent="0.4"/>
    <row r="6650" hidden="1" x14ac:dyDescent="0.4"/>
    <row r="6651" hidden="1" x14ac:dyDescent="0.4"/>
    <row r="6652" hidden="1" x14ac:dyDescent="0.4"/>
    <row r="6653" hidden="1" x14ac:dyDescent="0.4"/>
    <row r="6654" hidden="1" x14ac:dyDescent="0.4"/>
    <row r="6655" hidden="1" x14ac:dyDescent="0.4"/>
    <row r="6656" hidden="1" x14ac:dyDescent="0.4"/>
    <row r="6657" hidden="1" x14ac:dyDescent="0.4"/>
    <row r="6658" hidden="1" x14ac:dyDescent="0.4"/>
    <row r="6659" hidden="1" x14ac:dyDescent="0.4"/>
    <row r="6660" hidden="1" x14ac:dyDescent="0.4"/>
    <row r="6661" hidden="1" x14ac:dyDescent="0.4"/>
    <row r="6662" hidden="1" x14ac:dyDescent="0.4"/>
    <row r="6663" hidden="1" x14ac:dyDescent="0.4"/>
    <row r="6664" hidden="1" x14ac:dyDescent="0.4"/>
    <row r="6665" hidden="1" x14ac:dyDescent="0.4"/>
    <row r="6666" hidden="1" x14ac:dyDescent="0.4"/>
    <row r="6667" hidden="1" x14ac:dyDescent="0.4"/>
    <row r="6668" hidden="1" x14ac:dyDescent="0.4"/>
    <row r="6669" hidden="1" x14ac:dyDescent="0.4"/>
    <row r="6670" hidden="1" x14ac:dyDescent="0.4"/>
    <row r="6671" hidden="1" x14ac:dyDescent="0.4"/>
    <row r="6672" hidden="1" x14ac:dyDescent="0.4"/>
    <row r="6673" hidden="1" x14ac:dyDescent="0.4"/>
    <row r="6674" hidden="1" x14ac:dyDescent="0.4"/>
    <row r="6675" hidden="1" x14ac:dyDescent="0.4"/>
    <row r="6676" hidden="1" x14ac:dyDescent="0.4"/>
    <row r="6677" hidden="1" x14ac:dyDescent="0.4"/>
    <row r="6678" hidden="1" x14ac:dyDescent="0.4"/>
    <row r="6679" hidden="1" x14ac:dyDescent="0.4"/>
    <row r="6680" hidden="1" x14ac:dyDescent="0.4"/>
    <row r="6681" hidden="1" x14ac:dyDescent="0.4"/>
    <row r="6682" hidden="1" x14ac:dyDescent="0.4"/>
    <row r="6683" hidden="1" x14ac:dyDescent="0.4"/>
    <row r="6684" hidden="1" x14ac:dyDescent="0.4"/>
    <row r="6685" hidden="1" x14ac:dyDescent="0.4"/>
    <row r="6686" hidden="1" x14ac:dyDescent="0.4"/>
    <row r="6687" hidden="1" x14ac:dyDescent="0.4"/>
    <row r="6688" hidden="1" x14ac:dyDescent="0.4"/>
    <row r="6689" hidden="1" x14ac:dyDescent="0.4"/>
    <row r="6690" hidden="1" x14ac:dyDescent="0.4"/>
    <row r="6691" hidden="1" x14ac:dyDescent="0.4"/>
    <row r="6692" hidden="1" x14ac:dyDescent="0.4"/>
    <row r="6693" hidden="1" x14ac:dyDescent="0.4"/>
    <row r="6694" hidden="1" x14ac:dyDescent="0.4"/>
    <row r="6695" hidden="1" x14ac:dyDescent="0.4"/>
    <row r="6696" hidden="1" x14ac:dyDescent="0.4"/>
    <row r="6697" hidden="1" x14ac:dyDescent="0.4"/>
    <row r="6698" hidden="1" x14ac:dyDescent="0.4"/>
    <row r="6699" hidden="1" x14ac:dyDescent="0.4"/>
    <row r="6700" hidden="1" x14ac:dyDescent="0.4"/>
    <row r="6701" hidden="1" x14ac:dyDescent="0.4"/>
    <row r="6702" hidden="1" x14ac:dyDescent="0.4"/>
    <row r="6703" hidden="1" x14ac:dyDescent="0.4"/>
    <row r="6704" hidden="1" x14ac:dyDescent="0.4"/>
    <row r="6705" hidden="1" x14ac:dyDescent="0.4"/>
    <row r="6706" hidden="1" x14ac:dyDescent="0.4"/>
    <row r="6707" hidden="1" x14ac:dyDescent="0.4"/>
    <row r="6708" hidden="1" x14ac:dyDescent="0.4"/>
    <row r="6709" hidden="1" x14ac:dyDescent="0.4"/>
    <row r="6710" hidden="1" x14ac:dyDescent="0.4"/>
    <row r="6711" hidden="1" x14ac:dyDescent="0.4"/>
    <row r="6712" hidden="1" x14ac:dyDescent="0.4"/>
    <row r="6713" hidden="1" x14ac:dyDescent="0.4"/>
    <row r="6714" hidden="1" x14ac:dyDescent="0.4"/>
    <row r="6715" hidden="1" x14ac:dyDescent="0.4"/>
    <row r="6716" hidden="1" x14ac:dyDescent="0.4"/>
    <row r="6717" hidden="1" x14ac:dyDescent="0.4"/>
    <row r="6718" hidden="1" x14ac:dyDescent="0.4"/>
    <row r="6719" hidden="1" x14ac:dyDescent="0.4"/>
    <row r="6720" hidden="1" x14ac:dyDescent="0.4"/>
    <row r="6721" hidden="1" x14ac:dyDescent="0.4"/>
    <row r="6722" hidden="1" x14ac:dyDescent="0.4"/>
    <row r="6723" hidden="1" x14ac:dyDescent="0.4"/>
    <row r="6724" hidden="1" x14ac:dyDescent="0.4"/>
    <row r="6725" hidden="1" x14ac:dyDescent="0.4"/>
    <row r="6726" hidden="1" x14ac:dyDescent="0.4"/>
    <row r="6727" hidden="1" x14ac:dyDescent="0.4"/>
    <row r="6728" hidden="1" x14ac:dyDescent="0.4"/>
    <row r="6729" hidden="1" x14ac:dyDescent="0.4"/>
    <row r="6730" hidden="1" x14ac:dyDescent="0.4"/>
    <row r="6731" hidden="1" x14ac:dyDescent="0.4"/>
    <row r="6732" hidden="1" x14ac:dyDescent="0.4"/>
    <row r="6733" hidden="1" x14ac:dyDescent="0.4"/>
    <row r="6734" hidden="1" x14ac:dyDescent="0.4"/>
    <row r="6735" hidden="1" x14ac:dyDescent="0.4"/>
    <row r="6736" hidden="1" x14ac:dyDescent="0.4"/>
    <row r="6737" hidden="1" x14ac:dyDescent="0.4"/>
    <row r="6738" hidden="1" x14ac:dyDescent="0.4"/>
    <row r="6739" hidden="1" x14ac:dyDescent="0.4"/>
    <row r="6740" hidden="1" x14ac:dyDescent="0.4"/>
    <row r="6741" hidden="1" x14ac:dyDescent="0.4"/>
    <row r="6742" hidden="1" x14ac:dyDescent="0.4"/>
    <row r="6743" hidden="1" x14ac:dyDescent="0.4"/>
    <row r="6744" hidden="1" x14ac:dyDescent="0.4"/>
    <row r="6745" hidden="1" x14ac:dyDescent="0.4"/>
    <row r="6746" hidden="1" x14ac:dyDescent="0.4"/>
    <row r="6747" hidden="1" x14ac:dyDescent="0.4"/>
    <row r="6748" hidden="1" x14ac:dyDescent="0.4"/>
    <row r="6749" hidden="1" x14ac:dyDescent="0.4"/>
    <row r="6750" hidden="1" x14ac:dyDescent="0.4"/>
    <row r="6751" hidden="1" x14ac:dyDescent="0.4"/>
    <row r="6752" hidden="1" x14ac:dyDescent="0.4"/>
    <row r="6753" hidden="1" x14ac:dyDescent="0.4"/>
    <row r="6754" hidden="1" x14ac:dyDescent="0.4"/>
    <row r="6755" hidden="1" x14ac:dyDescent="0.4"/>
    <row r="6756" hidden="1" x14ac:dyDescent="0.4"/>
    <row r="6757" hidden="1" x14ac:dyDescent="0.4"/>
    <row r="6758" hidden="1" x14ac:dyDescent="0.4"/>
    <row r="6759" hidden="1" x14ac:dyDescent="0.4"/>
    <row r="6760" hidden="1" x14ac:dyDescent="0.4"/>
    <row r="6761" hidden="1" x14ac:dyDescent="0.4"/>
    <row r="6762" hidden="1" x14ac:dyDescent="0.4"/>
    <row r="6763" hidden="1" x14ac:dyDescent="0.4"/>
    <row r="6764" hidden="1" x14ac:dyDescent="0.4"/>
    <row r="6765" hidden="1" x14ac:dyDescent="0.4"/>
    <row r="6766" hidden="1" x14ac:dyDescent="0.4"/>
    <row r="6767" hidden="1" x14ac:dyDescent="0.4"/>
    <row r="6768" hidden="1" x14ac:dyDescent="0.4"/>
    <row r="6769" hidden="1" x14ac:dyDescent="0.4"/>
    <row r="6770" hidden="1" x14ac:dyDescent="0.4"/>
    <row r="6771" hidden="1" x14ac:dyDescent="0.4"/>
    <row r="6772" hidden="1" x14ac:dyDescent="0.4"/>
    <row r="6773" hidden="1" x14ac:dyDescent="0.4"/>
    <row r="6774" hidden="1" x14ac:dyDescent="0.4"/>
    <row r="6775" hidden="1" x14ac:dyDescent="0.4"/>
    <row r="6776" hidden="1" x14ac:dyDescent="0.4"/>
    <row r="6777" hidden="1" x14ac:dyDescent="0.4"/>
    <row r="6778" hidden="1" x14ac:dyDescent="0.4"/>
    <row r="6779" hidden="1" x14ac:dyDescent="0.4"/>
    <row r="6780" hidden="1" x14ac:dyDescent="0.4"/>
    <row r="6781" hidden="1" x14ac:dyDescent="0.4"/>
    <row r="6782" hidden="1" x14ac:dyDescent="0.4"/>
    <row r="6783" hidden="1" x14ac:dyDescent="0.4"/>
    <row r="6784" hidden="1" x14ac:dyDescent="0.4"/>
    <row r="6785" hidden="1" x14ac:dyDescent="0.4"/>
    <row r="6786" hidden="1" x14ac:dyDescent="0.4"/>
    <row r="6787" hidden="1" x14ac:dyDescent="0.4"/>
    <row r="6788" hidden="1" x14ac:dyDescent="0.4"/>
    <row r="6789" hidden="1" x14ac:dyDescent="0.4"/>
    <row r="6790" hidden="1" x14ac:dyDescent="0.4"/>
    <row r="6791" hidden="1" x14ac:dyDescent="0.4"/>
    <row r="6792" hidden="1" x14ac:dyDescent="0.4"/>
    <row r="6793" hidden="1" x14ac:dyDescent="0.4"/>
    <row r="6794" hidden="1" x14ac:dyDescent="0.4"/>
    <row r="6795" hidden="1" x14ac:dyDescent="0.4"/>
    <row r="6796" hidden="1" x14ac:dyDescent="0.4"/>
    <row r="6797" hidden="1" x14ac:dyDescent="0.4"/>
    <row r="6798" hidden="1" x14ac:dyDescent="0.4"/>
    <row r="6799" hidden="1" x14ac:dyDescent="0.4"/>
    <row r="6800" hidden="1" x14ac:dyDescent="0.4"/>
    <row r="6801" hidden="1" x14ac:dyDescent="0.4"/>
    <row r="6802" hidden="1" x14ac:dyDescent="0.4"/>
    <row r="6803" hidden="1" x14ac:dyDescent="0.4"/>
    <row r="6804" hidden="1" x14ac:dyDescent="0.4"/>
    <row r="6805" hidden="1" x14ac:dyDescent="0.4"/>
    <row r="6806" hidden="1" x14ac:dyDescent="0.4"/>
    <row r="6807" hidden="1" x14ac:dyDescent="0.4"/>
    <row r="6808" hidden="1" x14ac:dyDescent="0.4"/>
    <row r="6809" hidden="1" x14ac:dyDescent="0.4"/>
    <row r="6810" hidden="1" x14ac:dyDescent="0.4"/>
    <row r="6811" hidden="1" x14ac:dyDescent="0.4"/>
    <row r="6812" hidden="1" x14ac:dyDescent="0.4"/>
    <row r="6813" hidden="1" x14ac:dyDescent="0.4"/>
    <row r="6814" hidden="1" x14ac:dyDescent="0.4"/>
    <row r="6815" hidden="1" x14ac:dyDescent="0.4"/>
    <row r="6816" hidden="1" x14ac:dyDescent="0.4"/>
    <row r="6817" hidden="1" x14ac:dyDescent="0.4"/>
    <row r="6818" hidden="1" x14ac:dyDescent="0.4"/>
    <row r="6819" hidden="1" x14ac:dyDescent="0.4"/>
    <row r="6820" hidden="1" x14ac:dyDescent="0.4"/>
    <row r="6821" hidden="1" x14ac:dyDescent="0.4"/>
    <row r="6822" hidden="1" x14ac:dyDescent="0.4"/>
    <row r="6823" hidden="1" x14ac:dyDescent="0.4"/>
    <row r="6824" hidden="1" x14ac:dyDescent="0.4"/>
    <row r="6825" hidden="1" x14ac:dyDescent="0.4"/>
    <row r="6826" hidden="1" x14ac:dyDescent="0.4"/>
    <row r="6827" hidden="1" x14ac:dyDescent="0.4"/>
    <row r="6828" hidden="1" x14ac:dyDescent="0.4"/>
    <row r="6829" hidden="1" x14ac:dyDescent="0.4"/>
    <row r="6830" hidden="1" x14ac:dyDescent="0.4"/>
    <row r="6831" hidden="1" x14ac:dyDescent="0.4"/>
    <row r="6832" hidden="1" x14ac:dyDescent="0.4"/>
    <row r="6833" hidden="1" x14ac:dyDescent="0.4"/>
    <row r="6834" hidden="1" x14ac:dyDescent="0.4"/>
    <row r="6835" hidden="1" x14ac:dyDescent="0.4"/>
    <row r="6836" hidden="1" x14ac:dyDescent="0.4"/>
    <row r="6837" hidden="1" x14ac:dyDescent="0.4"/>
    <row r="6838" hidden="1" x14ac:dyDescent="0.4"/>
    <row r="6839" hidden="1" x14ac:dyDescent="0.4"/>
    <row r="6840" hidden="1" x14ac:dyDescent="0.4"/>
    <row r="6841" hidden="1" x14ac:dyDescent="0.4"/>
    <row r="6842" hidden="1" x14ac:dyDescent="0.4"/>
    <row r="6843" hidden="1" x14ac:dyDescent="0.4"/>
    <row r="6844" hidden="1" x14ac:dyDescent="0.4"/>
    <row r="6845" hidden="1" x14ac:dyDescent="0.4"/>
    <row r="6846" hidden="1" x14ac:dyDescent="0.4"/>
    <row r="6847" hidden="1" x14ac:dyDescent="0.4"/>
    <row r="6848" hidden="1" x14ac:dyDescent="0.4"/>
    <row r="6849" hidden="1" x14ac:dyDescent="0.4"/>
    <row r="6850" hidden="1" x14ac:dyDescent="0.4"/>
    <row r="6851" hidden="1" x14ac:dyDescent="0.4"/>
    <row r="6852" hidden="1" x14ac:dyDescent="0.4"/>
    <row r="6853" hidden="1" x14ac:dyDescent="0.4"/>
    <row r="6854" hidden="1" x14ac:dyDescent="0.4"/>
    <row r="6855" hidden="1" x14ac:dyDescent="0.4"/>
    <row r="6856" hidden="1" x14ac:dyDescent="0.4"/>
    <row r="6857" hidden="1" x14ac:dyDescent="0.4"/>
    <row r="6858" hidden="1" x14ac:dyDescent="0.4"/>
    <row r="6859" hidden="1" x14ac:dyDescent="0.4"/>
    <row r="6860" hidden="1" x14ac:dyDescent="0.4"/>
    <row r="6861" hidden="1" x14ac:dyDescent="0.4"/>
    <row r="6862" hidden="1" x14ac:dyDescent="0.4"/>
    <row r="6863" hidden="1" x14ac:dyDescent="0.4"/>
    <row r="6864" hidden="1" x14ac:dyDescent="0.4"/>
    <row r="6865" hidden="1" x14ac:dyDescent="0.4"/>
    <row r="6866" hidden="1" x14ac:dyDescent="0.4"/>
    <row r="6867" hidden="1" x14ac:dyDescent="0.4"/>
    <row r="6868" hidden="1" x14ac:dyDescent="0.4"/>
    <row r="6869" hidden="1" x14ac:dyDescent="0.4"/>
    <row r="6870" hidden="1" x14ac:dyDescent="0.4"/>
    <row r="6871" hidden="1" x14ac:dyDescent="0.4"/>
    <row r="6872" hidden="1" x14ac:dyDescent="0.4"/>
    <row r="6873" hidden="1" x14ac:dyDescent="0.4"/>
    <row r="6874" hidden="1" x14ac:dyDescent="0.4"/>
    <row r="6875" hidden="1" x14ac:dyDescent="0.4"/>
    <row r="6876" hidden="1" x14ac:dyDescent="0.4"/>
    <row r="6877" hidden="1" x14ac:dyDescent="0.4"/>
    <row r="6878" hidden="1" x14ac:dyDescent="0.4"/>
    <row r="6879" hidden="1" x14ac:dyDescent="0.4"/>
    <row r="6880" hidden="1" x14ac:dyDescent="0.4"/>
    <row r="6881" hidden="1" x14ac:dyDescent="0.4"/>
    <row r="6882" hidden="1" x14ac:dyDescent="0.4"/>
    <row r="6883" hidden="1" x14ac:dyDescent="0.4"/>
    <row r="6884" hidden="1" x14ac:dyDescent="0.4"/>
    <row r="6885" hidden="1" x14ac:dyDescent="0.4"/>
    <row r="6886" hidden="1" x14ac:dyDescent="0.4"/>
    <row r="6887" hidden="1" x14ac:dyDescent="0.4"/>
    <row r="6888" hidden="1" x14ac:dyDescent="0.4"/>
    <row r="6889" hidden="1" x14ac:dyDescent="0.4"/>
    <row r="6890" hidden="1" x14ac:dyDescent="0.4"/>
    <row r="6891" hidden="1" x14ac:dyDescent="0.4"/>
    <row r="6892" hidden="1" x14ac:dyDescent="0.4"/>
    <row r="6893" hidden="1" x14ac:dyDescent="0.4"/>
    <row r="6894" hidden="1" x14ac:dyDescent="0.4"/>
    <row r="6895" hidden="1" x14ac:dyDescent="0.4"/>
    <row r="6896" hidden="1" x14ac:dyDescent="0.4"/>
    <row r="6897" hidden="1" x14ac:dyDescent="0.4"/>
    <row r="6898" hidden="1" x14ac:dyDescent="0.4"/>
    <row r="6899" hidden="1" x14ac:dyDescent="0.4"/>
    <row r="6900" hidden="1" x14ac:dyDescent="0.4"/>
    <row r="6901" hidden="1" x14ac:dyDescent="0.4"/>
    <row r="6902" hidden="1" x14ac:dyDescent="0.4"/>
    <row r="6903" hidden="1" x14ac:dyDescent="0.4"/>
    <row r="6904" hidden="1" x14ac:dyDescent="0.4"/>
    <row r="6905" hidden="1" x14ac:dyDescent="0.4"/>
    <row r="6906" hidden="1" x14ac:dyDescent="0.4"/>
    <row r="6907" hidden="1" x14ac:dyDescent="0.4"/>
    <row r="6908" hidden="1" x14ac:dyDescent="0.4"/>
    <row r="6909" hidden="1" x14ac:dyDescent="0.4"/>
    <row r="6910" hidden="1" x14ac:dyDescent="0.4"/>
    <row r="6911" hidden="1" x14ac:dyDescent="0.4"/>
    <row r="6912" hidden="1" x14ac:dyDescent="0.4"/>
    <row r="6913" hidden="1" x14ac:dyDescent="0.4"/>
    <row r="6914" hidden="1" x14ac:dyDescent="0.4"/>
    <row r="6915" hidden="1" x14ac:dyDescent="0.4"/>
    <row r="6916" hidden="1" x14ac:dyDescent="0.4"/>
    <row r="6917" hidden="1" x14ac:dyDescent="0.4"/>
    <row r="6918" hidden="1" x14ac:dyDescent="0.4"/>
    <row r="6919" hidden="1" x14ac:dyDescent="0.4"/>
    <row r="6920" hidden="1" x14ac:dyDescent="0.4"/>
    <row r="6921" hidden="1" x14ac:dyDescent="0.4"/>
    <row r="6922" hidden="1" x14ac:dyDescent="0.4"/>
    <row r="6923" hidden="1" x14ac:dyDescent="0.4"/>
    <row r="6924" hidden="1" x14ac:dyDescent="0.4"/>
    <row r="6925" hidden="1" x14ac:dyDescent="0.4"/>
    <row r="6926" hidden="1" x14ac:dyDescent="0.4"/>
    <row r="6927" hidden="1" x14ac:dyDescent="0.4"/>
    <row r="6928" hidden="1" x14ac:dyDescent="0.4"/>
    <row r="6929" hidden="1" x14ac:dyDescent="0.4"/>
    <row r="6930" hidden="1" x14ac:dyDescent="0.4"/>
    <row r="6931" hidden="1" x14ac:dyDescent="0.4"/>
    <row r="6932" hidden="1" x14ac:dyDescent="0.4"/>
    <row r="6933" hidden="1" x14ac:dyDescent="0.4"/>
    <row r="6934" hidden="1" x14ac:dyDescent="0.4"/>
    <row r="6935" hidden="1" x14ac:dyDescent="0.4"/>
    <row r="6936" hidden="1" x14ac:dyDescent="0.4"/>
    <row r="6937" hidden="1" x14ac:dyDescent="0.4"/>
    <row r="6938" hidden="1" x14ac:dyDescent="0.4"/>
    <row r="6939" hidden="1" x14ac:dyDescent="0.4"/>
    <row r="6940" hidden="1" x14ac:dyDescent="0.4"/>
    <row r="6941" hidden="1" x14ac:dyDescent="0.4"/>
    <row r="6942" hidden="1" x14ac:dyDescent="0.4"/>
    <row r="6943" hidden="1" x14ac:dyDescent="0.4"/>
    <row r="6944" hidden="1" x14ac:dyDescent="0.4"/>
    <row r="6945" hidden="1" x14ac:dyDescent="0.4"/>
    <row r="6946" hidden="1" x14ac:dyDescent="0.4"/>
    <row r="6947" hidden="1" x14ac:dyDescent="0.4"/>
    <row r="6948" hidden="1" x14ac:dyDescent="0.4"/>
    <row r="6949" hidden="1" x14ac:dyDescent="0.4"/>
    <row r="6950" hidden="1" x14ac:dyDescent="0.4"/>
    <row r="6951" hidden="1" x14ac:dyDescent="0.4"/>
    <row r="6952" hidden="1" x14ac:dyDescent="0.4"/>
    <row r="6953" hidden="1" x14ac:dyDescent="0.4"/>
    <row r="6954" hidden="1" x14ac:dyDescent="0.4"/>
    <row r="6955" hidden="1" x14ac:dyDescent="0.4"/>
    <row r="6956" hidden="1" x14ac:dyDescent="0.4"/>
    <row r="6957" hidden="1" x14ac:dyDescent="0.4"/>
    <row r="6958" hidden="1" x14ac:dyDescent="0.4"/>
    <row r="6959" hidden="1" x14ac:dyDescent="0.4"/>
    <row r="6960" hidden="1" x14ac:dyDescent="0.4"/>
    <row r="6961" hidden="1" x14ac:dyDescent="0.4"/>
    <row r="6962" hidden="1" x14ac:dyDescent="0.4"/>
    <row r="6963" hidden="1" x14ac:dyDescent="0.4"/>
    <row r="6964" hidden="1" x14ac:dyDescent="0.4"/>
    <row r="6965" hidden="1" x14ac:dyDescent="0.4"/>
    <row r="6966" hidden="1" x14ac:dyDescent="0.4"/>
    <row r="6967" hidden="1" x14ac:dyDescent="0.4"/>
    <row r="6968" hidden="1" x14ac:dyDescent="0.4"/>
    <row r="6969" hidden="1" x14ac:dyDescent="0.4"/>
    <row r="6970" hidden="1" x14ac:dyDescent="0.4"/>
    <row r="6971" hidden="1" x14ac:dyDescent="0.4"/>
    <row r="6972" hidden="1" x14ac:dyDescent="0.4"/>
    <row r="6973" hidden="1" x14ac:dyDescent="0.4"/>
    <row r="6974" hidden="1" x14ac:dyDescent="0.4"/>
    <row r="6975" hidden="1" x14ac:dyDescent="0.4"/>
    <row r="6976" hidden="1" x14ac:dyDescent="0.4"/>
    <row r="6977" hidden="1" x14ac:dyDescent="0.4"/>
    <row r="6978" hidden="1" x14ac:dyDescent="0.4"/>
    <row r="6979" hidden="1" x14ac:dyDescent="0.4"/>
    <row r="6980" hidden="1" x14ac:dyDescent="0.4"/>
    <row r="6981" hidden="1" x14ac:dyDescent="0.4"/>
    <row r="6982" hidden="1" x14ac:dyDescent="0.4"/>
    <row r="6983" hidden="1" x14ac:dyDescent="0.4"/>
    <row r="6984" hidden="1" x14ac:dyDescent="0.4"/>
    <row r="6985" hidden="1" x14ac:dyDescent="0.4"/>
    <row r="6986" hidden="1" x14ac:dyDescent="0.4"/>
    <row r="6987" hidden="1" x14ac:dyDescent="0.4"/>
    <row r="6988" hidden="1" x14ac:dyDescent="0.4"/>
    <row r="6989" hidden="1" x14ac:dyDescent="0.4"/>
    <row r="6990" hidden="1" x14ac:dyDescent="0.4"/>
    <row r="6991" hidden="1" x14ac:dyDescent="0.4"/>
    <row r="6992" hidden="1" x14ac:dyDescent="0.4"/>
    <row r="6993" hidden="1" x14ac:dyDescent="0.4"/>
    <row r="6994" hidden="1" x14ac:dyDescent="0.4"/>
    <row r="6995" hidden="1" x14ac:dyDescent="0.4"/>
    <row r="6996" hidden="1" x14ac:dyDescent="0.4"/>
    <row r="6997" hidden="1" x14ac:dyDescent="0.4"/>
    <row r="6998" hidden="1" x14ac:dyDescent="0.4"/>
    <row r="6999" hidden="1" x14ac:dyDescent="0.4"/>
    <row r="7000" hidden="1" x14ac:dyDescent="0.4"/>
    <row r="7001" hidden="1" x14ac:dyDescent="0.4"/>
    <row r="7002" hidden="1" x14ac:dyDescent="0.4"/>
    <row r="7003" hidden="1" x14ac:dyDescent="0.4"/>
    <row r="7004" hidden="1" x14ac:dyDescent="0.4"/>
    <row r="7005" hidden="1" x14ac:dyDescent="0.4"/>
    <row r="7006" hidden="1" x14ac:dyDescent="0.4"/>
    <row r="7007" hidden="1" x14ac:dyDescent="0.4"/>
    <row r="7008" hidden="1" x14ac:dyDescent="0.4"/>
    <row r="7009" hidden="1" x14ac:dyDescent="0.4"/>
    <row r="7010" hidden="1" x14ac:dyDescent="0.4"/>
    <row r="7011" hidden="1" x14ac:dyDescent="0.4"/>
    <row r="7012" hidden="1" x14ac:dyDescent="0.4"/>
    <row r="7013" hidden="1" x14ac:dyDescent="0.4"/>
    <row r="7014" hidden="1" x14ac:dyDescent="0.4"/>
    <row r="7015" hidden="1" x14ac:dyDescent="0.4"/>
    <row r="7016" hidden="1" x14ac:dyDescent="0.4"/>
    <row r="7017" hidden="1" x14ac:dyDescent="0.4"/>
    <row r="7018" hidden="1" x14ac:dyDescent="0.4"/>
    <row r="7019" hidden="1" x14ac:dyDescent="0.4"/>
    <row r="7020" hidden="1" x14ac:dyDescent="0.4"/>
    <row r="7021" hidden="1" x14ac:dyDescent="0.4"/>
    <row r="7022" hidden="1" x14ac:dyDescent="0.4"/>
    <row r="7023" hidden="1" x14ac:dyDescent="0.4"/>
    <row r="7024" hidden="1" x14ac:dyDescent="0.4"/>
    <row r="7025" hidden="1" x14ac:dyDescent="0.4"/>
    <row r="7026" hidden="1" x14ac:dyDescent="0.4"/>
    <row r="7027" hidden="1" x14ac:dyDescent="0.4"/>
    <row r="7028" hidden="1" x14ac:dyDescent="0.4"/>
    <row r="7029" hidden="1" x14ac:dyDescent="0.4"/>
    <row r="7030" hidden="1" x14ac:dyDescent="0.4"/>
    <row r="7031" hidden="1" x14ac:dyDescent="0.4"/>
    <row r="7032" hidden="1" x14ac:dyDescent="0.4"/>
    <row r="7033" hidden="1" x14ac:dyDescent="0.4"/>
    <row r="7034" hidden="1" x14ac:dyDescent="0.4"/>
    <row r="7035" hidden="1" x14ac:dyDescent="0.4"/>
    <row r="7036" hidden="1" x14ac:dyDescent="0.4"/>
    <row r="7037" hidden="1" x14ac:dyDescent="0.4"/>
    <row r="7038" hidden="1" x14ac:dyDescent="0.4"/>
    <row r="7039" hidden="1" x14ac:dyDescent="0.4"/>
    <row r="7040" hidden="1" x14ac:dyDescent="0.4"/>
    <row r="7041" hidden="1" x14ac:dyDescent="0.4"/>
    <row r="7042" hidden="1" x14ac:dyDescent="0.4"/>
    <row r="7043" hidden="1" x14ac:dyDescent="0.4"/>
    <row r="7044" hidden="1" x14ac:dyDescent="0.4"/>
    <row r="7045" hidden="1" x14ac:dyDescent="0.4"/>
    <row r="7046" hidden="1" x14ac:dyDescent="0.4"/>
    <row r="7047" hidden="1" x14ac:dyDescent="0.4"/>
    <row r="7048" hidden="1" x14ac:dyDescent="0.4"/>
    <row r="7049" hidden="1" x14ac:dyDescent="0.4"/>
    <row r="7050" hidden="1" x14ac:dyDescent="0.4"/>
    <row r="7051" hidden="1" x14ac:dyDescent="0.4"/>
    <row r="7052" hidden="1" x14ac:dyDescent="0.4"/>
    <row r="7053" hidden="1" x14ac:dyDescent="0.4"/>
    <row r="7054" hidden="1" x14ac:dyDescent="0.4"/>
    <row r="7055" hidden="1" x14ac:dyDescent="0.4"/>
    <row r="7056" hidden="1" x14ac:dyDescent="0.4"/>
    <row r="7057" hidden="1" x14ac:dyDescent="0.4"/>
    <row r="7058" hidden="1" x14ac:dyDescent="0.4"/>
    <row r="7059" hidden="1" x14ac:dyDescent="0.4"/>
    <row r="7060" hidden="1" x14ac:dyDescent="0.4"/>
    <row r="7061" hidden="1" x14ac:dyDescent="0.4"/>
    <row r="7062" hidden="1" x14ac:dyDescent="0.4"/>
    <row r="7063" hidden="1" x14ac:dyDescent="0.4"/>
    <row r="7064" hidden="1" x14ac:dyDescent="0.4"/>
    <row r="7065" hidden="1" x14ac:dyDescent="0.4"/>
    <row r="7066" hidden="1" x14ac:dyDescent="0.4"/>
    <row r="7067" hidden="1" x14ac:dyDescent="0.4"/>
    <row r="7068" hidden="1" x14ac:dyDescent="0.4"/>
    <row r="7069" hidden="1" x14ac:dyDescent="0.4"/>
    <row r="7070" hidden="1" x14ac:dyDescent="0.4"/>
    <row r="7071" hidden="1" x14ac:dyDescent="0.4"/>
    <row r="7072" hidden="1" x14ac:dyDescent="0.4"/>
    <row r="7073" hidden="1" x14ac:dyDescent="0.4"/>
    <row r="7074" hidden="1" x14ac:dyDescent="0.4"/>
    <row r="7075" hidden="1" x14ac:dyDescent="0.4"/>
    <row r="7076" hidden="1" x14ac:dyDescent="0.4"/>
    <row r="7077" hidden="1" x14ac:dyDescent="0.4"/>
    <row r="7078" hidden="1" x14ac:dyDescent="0.4"/>
    <row r="7079" hidden="1" x14ac:dyDescent="0.4"/>
    <row r="7080" hidden="1" x14ac:dyDescent="0.4"/>
    <row r="7081" hidden="1" x14ac:dyDescent="0.4"/>
    <row r="7082" hidden="1" x14ac:dyDescent="0.4"/>
    <row r="7083" hidden="1" x14ac:dyDescent="0.4"/>
    <row r="7084" hidden="1" x14ac:dyDescent="0.4"/>
    <row r="7085" hidden="1" x14ac:dyDescent="0.4"/>
    <row r="7086" hidden="1" x14ac:dyDescent="0.4"/>
    <row r="7087" hidden="1" x14ac:dyDescent="0.4"/>
    <row r="7088" hidden="1" x14ac:dyDescent="0.4"/>
    <row r="7089" hidden="1" x14ac:dyDescent="0.4"/>
    <row r="7090" hidden="1" x14ac:dyDescent="0.4"/>
    <row r="7091" hidden="1" x14ac:dyDescent="0.4"/>
    <row r="7092" hidden="1" x14ac:dyDescent="0.4"/>
    <row r="7093" hidden="1" x14ac:dyDescent="0.4"/>
    <row r="7094" hidden="1" x14ac:dyDescent="0.4"/>
    <row r="7095" hidden="1" x14ac:dyDescent="0.4"/>
    <row r="7096" hidden="1" x14ac:dyDescent="0.4"/>
    <row r="7097" hidden="1" x14ac:dyDescent="0.4"/>
    <row r="7098" hidden="1" x14ac:dyDescent="0.4"/>
    <row r="7099" hidden="1" x14ac:dyDescent="0.4"/>
    <row r="7100" hidden="1" x14ac:dyDescent="0.4"/>
    <row r="7101" hidden="1" x14ac:dyDescent="0.4"/>
    <row r="7102" hidden="1" x14ac:dyDescent="0.4"/>
    <row r="7103" hidden="1" x14ac:dyDescent="0.4"/>
    <row r="7104" hidden="1" x14ac:dyDescent="0.4"/>
    <row r="7105" hidden="1" x14ac:dyDescent="0.4"/>
    <row r="7106" hidden="1" x14ac:dyDescent="0.4"/>
    <row r="7107" hidden="1" x14ac:dyDescent="0.4"/>
    <row r="7108" hidden="1" x14ac:dyDescent="0.4"/>
    <row r="7109" hidden="1" x14ac:dyDescent="0.4"/>
    <row r="7110" hidden="1" x14ac:dyDescent="0.4"/>
    <row r="7111" hidden="1" x14ac:dyDescent="0.4"/>
    <row r="7112" hidden="1" x14ac:dyDescent="0.4"/>
    <row r="7113" hidden="1" x14ac:dyDescent="0.4"/>
    <row r="7114" hidden="1" x14ac:dyDescent="0.4"/>
    <row r="7115" hidden="1" x14ac:dyDescent="0.4"/>
    <row r="7116" hidden="1" x14ac:dyDescent="0.4"/>
    <row r="7117" hidden="1" x14ac:dyDescent="0.4"/>
    <row r="7118" hidden="1" x14ac:dyDescent="0.4"/>
    <row r="7119" hidden="1" x14ac:dyDescent="0.4"/>
    <row r="7120" hidden="1" x14ac:dyDescent="0.4"/>
    <row r="7121" hidden="1" x14ac:dyDescent="0.4"/>
    <row r="7122" hidden="1" x14ac:dyDescent="0.4"/>
    <row r="7123" hidden="1" x14ac:dyDescent="0.4"/>
    <row r="7124" hidden="1" x14ac:dyDescent="0.4"/>
    <row r="7125" hidden="1" x14ac:dyDescent="0.4"/>
    <row r="7126" hidden="1" x14ac:dyDescent="0.4"/>
    <row r="7127" hidden="1" x14ac:dyDescent="0.4"/>
    <row r="7128" hidden="1" x14ac:dyDescent="0.4"/>
    <row r="7129" hidden="1" x14ac:dyDescent="0.4"/>
    <row r="7130" hidden="1" x14ac:dyDescent="0.4"/>
    <row r="7131" hidden="1" x14ac:dyDescent="0.4"/>
    <row r="7132" hidden="1" x14ac:dyDescent="0.4"/>
    <row r="7133" hidden="1" x14ac:dyDescent="0.4"/>
    <row r="7134" hidden="1" x14ac:dyDescent="0.4"/>
    <row r="7135" hidden="1" x14ac:dyDescent="0.4"/>
    <row r="7136" hidden="1" x14ac:dyDescent="0.4"/>
    <row r="7137" hidden="1" x14ac:dyDescent="0.4"/>
    <row r="7138" hidden="1" x14ac:dyDescent="0.4"/>
    <row r="7139" hidden="1" x14ac:dyDescent="0.4"/>
    <row r="7140" hidden="1" x14ac:dyDescent="0.4"/>
    <row r="7141" hidden="1" x14ac:dyDescent="0.4"/>
    <row r="7142" hidden="1" x14ac:dyDescent="0.4"/>
    <row r="7143" hidden="1" x14ac:dyDescent="0.4"/>
    <row r="7144" hidden="1" x14ac:dyDescent="0.4"/>
    <row r="7145" hidden="1" x14ac:dyDescent="0.4"/>
    <row r="7146" hidden="1" x14ac:dyDescent="0.4"/>
    <row r="7147" hidden="1" x14ac:dyDescent="0.4"/>
    <row r="7148" hidden="1" x14ac:dyDescent="0.4"/>
    <row r="7149" hidden="1" x14ac:dyDescent="0.4"/>
    <row r="7150" hidden="1" x14ac:dyDescent="0.4"/>
    <row r="7151" hidden="1" x14ac:dyDescent="0.4"/>
    <row r="7152" hidden="1" x14ac:dyDescent="0.4"/>
    <row r="7153" hidden="1" x14ac:dyDescent="0.4"/>
    <row r="7154" hidden="1" x14ac:dyDescent="0.4"/>
    <row r="7155" hidden="1" x14ac:dyDescent="0.4"/>
    <row r="7156" hidden="1" x14ac:dyDescent="0.4"/>
    <row r="7157" hidden="1" x14ac:dyDescent="0.4"/>
    <row r="7158" hidden="1" x14ac:dyDescent="0.4"/>
    <row r="7159" hidden="1" x14ac:dyDescent="0.4"/>
    <row r="7160" hidden="1" x14ac:dyDescent="0.4"/>
    <row r="7161" hidden="1" x14ac:dyDescent="0.4"/>
    <row r="7162" hidden="1" x14ac:dyDescent="0.4"/>
    <row r="7163" hidden="1" x14ac:dyDescent="0.4"/>
    <row r="7164" hidden="1" x14ac:dyDescent="0.4"/>
    <row r="7165" hidden="1" x14ac:dyDescent="0.4"/>
    <row r="7166" hidden="1" x14ac:dyDescent="0.4"/>
    <row r="7167" hidden="1" x14ac:dyDescent="0.4"/>
    <row r="7168" hidden="1" x14ac:dyDescent="0.4"/>
    <row r="7169" hidden="1" x14ac:dyDescent="0.4"/>
    <row r="7170" hidden="1" x14ac:dyDescent="0.4"/>
    <row r="7171" hidden="1" x14ac:dyDescent="0.4"/>
    <row r="7172" hidden="1" x14ac:dyDescent="0.4"/>
    <row r="7173" hidden="1" x14ac:dyDescent="0.4"/>
    <row r="7174" hidden="1" x14ac:dyDescent="0.4"/>
    <row r="7175" hidden="1" x14ac:dyDescent="0.4"/>
    <row r="7176" hidden="1" x14ac:dyDescent="0.4"/>
    <row r="7177" hidden="1" x14ac:dyDescent="0.4"/>
    <row r="7178" hidden="1" x14ac:dyDescent="0.4"/>
    <row r="7179" hidden="1" x14ac:dyDescent="0.4"/>
    <row r="7180" hidden="1" x14ac:dyDescent="0.4"/>
    <row r="7181" hidden="1" x14ac:dyDescent="0.4"/>
    <row r="7182" hidden="1" x14ac:dyDescent="0.4"/>
    <row r="7183" hidden="1" x14ac:dyDescent="0.4"/>
    <row r="7184" hidden="1" x14ac:dyDescent="0.4"/>
    <row r="7185" hidden="1" x14ac:dyDescent="0.4"/>
    <row r="7186" hidden="1" x14ac:dyDescent="0.4"/>
    <row r="7187" hidden="1" x14ac:dyDescent="0.4"/>
    <row r="7188" hidden="1" x14ac:dyDescent="0.4"/>
    <row r="7189" hidden="1" x14ac:dyDescent="0.4"/>
    <row r="7190" hidden="1" x14ac:dyDescent="0.4"/>
    <row r="7191" hidden="1" x14ac:dyDescent="0.4"/>
    <row r="7192" hidden="1" x14ac:dyDescent="0.4"/>
    <row r="7193" hidden="1" x14ac:dyDescent="0.4"/>
    <row r="7194" hidden="1" x14ac:dyDescent="0.4"/>
    <row r="7195" hidden="1" x14ac:dyDescent="0.4"/>
    <row r="7196" hidden="1" x14ac:dyDescent="0.4"/>
    <row r="7197" hidden="1" x14ac:dyDescent="0.4"/>
    <row r="7198" hidden="1" x14ac:dyDescent="0.4"/>
    <row r="7199" hidden="1" x14ac:dyDescent="0.4"/>
    <row r="7200" hidden="1" x14ac:dyDescent="0.4"/>
    <row r="7201" hidden="1" x14ac:dyDescent="0.4"/>
    <row r="7202" hidden="1" x14ac:dyDescent="0.4"/>
    <row r="7203" hidden="1" x14ac:dyDescent="0.4"/>
    <row r="7204" hidden="1" x14ac:dyDescent="0.4"/>
    <row r="7205" hidden="1" x14ac:dyDescent="0.4"/>
    <row r="7206" hidden="1" x14ac:dyDescent="0.4"/>
    <row r="7207" hidden="1" x14ac:dyDescent="0.4"/>
    <row r="7208" hidden="1" x14ac:dyDescent="0.4"/>
    <row r="7209" hidden="1" x14ac:dyDescent="0.4"/>
    <row r="7210" hidden="1" x14ac:dyDescent="0.4"/>
    <row r="7211" hidden="1" x14ac:dyDescent="0.4"/>
    <row r="7212" hidden="1" x14ac:dyDescent="0.4"/>
    <row r="7213" hidden="1" x14ac:dyDescent="0.4"/>
    <row r="7214" hidden="1" x14ac:dyDescent="0.4"/>
    <row r="7215" hidden="1" x14ac:dyDescent="0.4"/>
    <row r="7216" hidden="1" x14ac:dyDescent="0.4"/>
    <row r="7217" hidden="1" x14ac:dyDescent="0.4"/>
    <row r="7218" hidden="1" x14ac:dyDescent="0.4"/>
    <row r="7219" hidden="1" x14ac:dyDescent="0.4"/>
    <row r="7220" hidden="1" x14ac:dyDescent="0.4"/>
    <row r="7221" hidden="1" x14ac:dyDescent="0.4"/>
    <row r="7222" hidden="1" x14ac:dyDescent="0.4"/>
    <row r="7223" hidden="1" x14ac:dyDescent="0.4"/>
    <row r="7224" hidden="1" x14ac:dyDescent="0.4"/>
    <row r="7225" hidden="1" x14ac:dyDescent="0.4"/>
    <row r="7226" hidden="1" x14ac:dyDescent="0.4"/>
    <row r="7227" hidden="1" x14ac:dyDescent="0.4"/>
    <row r="7228" hidden="1" x14ac:dyDescent="0.4"/>
    <row r="7229" hidden="1" x14ac:dyDescent="0.4"/>
    <row r="7230" hidden="1" x14ac:dyDescent="0.4"/>
    <row r="7231" hidden="1" x14ac:dyDescent="0.4"/>
    <row r="7232" hidden="1" x14ac:dyDescent="0.4"/>
    <row r="7233" hidden="1" x14ac:dyDescent="0.4"/>
    <row r="7234" hidden="1" x14ac:dyDescent="0.4"/>
    <row r="7235" hidden="1" x14ac:dyDescent="0.4"/>
    <row r="7236" hidden="1" x14ac:dyDescent="0.4"/>
    <row r="7237" hidden="1" x14ac:dyDescent="0.4"/>
    <row r="7238" hidden="1" x14ac:dyDescent="0.4"/>
    <row r="7239" hidden="1" x14ac:dyDescent="0.4"/>
    <row r="7240" hidden="1" x14ac:dyDescent="0.4"/>
    <row r="7241" hidden="1" x14ac:dyDescent="0.4"/>
    <row r="7242" hidden="1" x14ac:dyDescent="0.4"/>
    <row r="7243" hidden="1" x14ac:dyDescent="0.4"/>
    <row r="7244" hidden="1" x14ac:dyDescent="0.4"/>
    <row r="7245" hidden="1" x14ac:dyDescent="0.4"/>
    <row r="7246" hidden="1" x14ac:dyDescent="0.4"/>
    <row r="7247" hidden="1" x14ac:dyDescent="0.4"/>
    <row r="7248" hidden="1" x14ac:dyDescent="0.4"/>
    <row r="7249" hidden="1" x14ac:dyDescent="0.4"/>
    <row r="7250" hidden="1" x14ac:dyDescent="0.4"/>
    <row r="7251" hidden="1" x14ac:dyDescent="0.4"/>
    <row r="7252" hidden="1" x14ac:dyDescent="0.4"/>
    <row r="7253" hidden="1" x14ac:dyDescent="0.4"/>
    <row r="7254" hidden="1" x14ac:dyDescent="0.4"/>
    <row r="7255" hidden="1" x14ac:dyDescent="0.4"/>
    <row r="7256" hidden="1" x14ac:dyDescent="0.4"/>
    <row r="7257" hidden="1" x14ac:dyDescent="0.4"/>
    <row r="7258" hidden="1" x14ac:dyDescent="0.4"/>
    <row r="7259" hidden="1" x14ac:dyDescent="0.4"/>
    <row r="7260" hidden="1" x14ac:dyDescent="0.4"/>
    <row r="7261" hidden="1" x14ac:dyDescent="0.4"/>
    <row r="7262" hidden="1" x14ac:dyDescent="0.4"/>
    <row r="7263" hidden="1" x14ac:dyDescent="0.4"/>
    <row r="7264" hidden="1" x14ac:dyDescent="0.4"/>
    <row r="7265" hidden="1" x14ac:dyDescent="0.4"/>
    <row r="7266" hidden="1" x14ac:dyDescent="0.4"/>
    <row r="7267" hidden="1" x14ac:dyDescent="0.4"/>
    <row r="7268" hidden="1" x14ac:dyDescent="0.4"/>
    <row r="7269" hidden="1" x14ac:dyDescent="0.4"/>
    <row r="7270" hidden="1" x14ac:dyDescent="0.4"/>
    <row r="7271" hidden="1" x14ac:dyDescent="0.4"/>
    <row r="7272" hidden="1" x14ac:dyDescent="0.4"/>
    <row r="7273" hidden="1" x14ac:dyDescent="0.4"/>
    <row r="7274" hidden="1" x14ac:dyDescent="0.4"/>
    <row r="7275" hidden="1" x14ac:dyDescent="0.4"/>
    <row r="7276" hidden="1" x14ac:dyDescent="0.4"/>
    <row r="7277" hidden="1" x14ac:dyDescent="0.4"/>
    <row r="7278" hidden="1" x14ac:dyDescent="0.4"/>
    <row r="7279" hidden="1" x14ac:dyDescent="0.4"/>
    <row r="7280" hidden="1" x14ac:dyDescent="0.4"/>
    <row r="7281" hidden="1" x14ac:dyDescent="0.4"/>
    <row r="7282" hidden="1" x14ac:dyDescent="0.4"/>
    <row r="7283" hidden="1" x14ac:dyDescent="0.4"/>
    <row r="7284" hidden="1" x14ac:dyDescent="0.4"/>
    <row r="7285" hidden="1" x14ac:dyDescent="0.4"/>
    <row r="7286" hidden="1" x14ac:dyDescent="0.4"/>
    <row r="7287" hidden="1" x14ac:dyDescent="0.4"/>
    <row r="7288" hidden="1" x14ac:dyDescent="0.4"/>
    <row r="7289" hidden="1" x14ac:dyDescent="0.4"/>
    <row r="7290" hidden="1" x14ac:dyDescent="0.4"/>
    <row r="7291" hidden="1" x14ac:dyDescent="0.4"/>
    <row r="7292" hidden="1" x14ac:dyDescent="0.4"/>
    <row r="7293" hidden="1" x14ac:dyDescent="0.4"/>
    <row r="7294" hidden="1" x14ac:dyDescent="0.4"/>
    <row r="7295" hidden="1" x14ac:dyDescent="0.4"/>
    <row r="7296" hidden="1" x14ac:dyDescent="0.4"/>
    <row r="7297" hidden="1" x14ac:dyDescent="0.4"/>
    <row r="7298" hidden="1" x14ac:dyDescent="0.4"/>
    <row r="7299" hidden="1" x14ac:dyDescent="0.4"/>
    <row r="7300" hidden="1" x14ac:dyDescent="0.4"/>
    <row r="7301" hidden="1" x14ac:dyDescent="0.4"/>
    <row r="7302" hidden="1" x14ac:dyDescent="0.4"/>
    <row r="7303" hidden="1" x14ac:dyDescent="0.4"/>
    <row r="7304" hidden="1" x14ac:dyDescent="0.4"/>
    <row r="7305" hidden="1" x14ac:dyDescent="0.4"/>
    <row r="7306" hidden="1" x14ac:dyDescent="0.4"/>
    <row r="7307" hidden="1" x14ac:dyDescent="0.4"/>
    <row r="7308" hidden="1" x14ac:dyDescent="0.4"/>
    <row r="7309" hidden="1" x14ac:dyDescent="0.4"/>
    <row r="7310" hidden="1" x14ac:dyDescent="0.4"/>
    <row r="7311" hidden="1" x14ac:dyDescent="0.4"/>
    <row r="7312" hidden="1" x14ac:dyDescent="0.4"/>
    <row r="7313" hidden="1" x14ac:dyDescent="0.4"/>
    <row r="7314" hidden="1" x14ac:dyDescent="0.4"/>
    <row r="7315" hidden="1" x14ac:dyDescent="0.4"/>
    <row r="7316" hidden="1" x14ac:dyDescent="0.4"/>
    <row r="7317" hidden="1" x14ac:dyDescent="0.4"/>
    <row r="7318" hidden="1" x14ac:dyDescent="0.4"/>
    <row r="7319" hidden="1" x14ac:dyDescent="0.4"/>
    <row r="7320" hidden="1" x14ac:dyDescent="0.4"/>
    <row r="7321" hidden="1" x14ac:dyDescent="0.4"/>
    <row r="7322" hidden="1" x14ac:dyDescent="0.4"/>
    <row r="7323" hidden="1" x14ac:dyDescent="0.4"/>
    <row r="7324" hidden="1" x14ac:dyDescent="0.4"/>
    <row r="7325" hidden="1" x14ac:dyDescent="0.4"/>
    <row r="7326" hidden="1" x14ac:dyDescent="0.4"/>
    <row r="7327" hidden="1" x14ac:dyDescent="0.4"/>
    <row r="7328" hidden="1" x14ac:dyDescent="0.4"/>
    <row r="7329" hidden="1" x14ac:dyDescent="0.4"/>
    <row r="7330" hidden="1" x14ac:dyDescent="0.4"/>
    <row r="7331" hidden="1" x14ac:dyDescent="0.4"/>
    <row r="7332" hidden="1" x14ac:dyDescent="0.4"/>
    <row r="7333" hidden="1" x14ac:dyDescent="0.4"/>
    <row r="7334" hidden="1" x14ac:dyDescent="0.4"/>
    <row r="7335" hidden="1" x14ac:dyDescent="0.4"/>
    <row r="7336" hidden="1" x14ac:dyDescent="0.4"/>
    <row r="7337" hidden="1" x14ac:dyDescent="0.4"/>
    <row r="7338" hidden="1" x14ac:dyDescent="0.4"/>
    <row r="7339" hidden="1" x14ac:dyDescent="0.4"/>
    <row r="7340" hidden="1" x14ac:dyDescent="0.4"/>
    <row r="7341" hidden="1" x14ac:dyDescent="0.4"/>
    <row r="7342" hidden="1" x14ac:dyDescent="0.4"/>
    <row r="7343" hidden="1" x14ac:dyDescent="0.4"/>
    <row r="7344" hidden="1" x14ac:dyDescent="0.4"/>
    <row r="7345" hidden="1" x14ac:dyDescent="0.4"/>
    <row r="7346" hidden="1" x14ac:dyDescent="0.4"/>
    <row r="7347" hidden="1" x14ac:dyDescent="0.4"/>
    <row r="7348" hidden="1" x14ac:dyDescent="0.4"/>
    <row r="7349" hidden="1" x14ac:dyDescent="0.4"/>
    <row r="7350" hidden="1" x14ac:dyDescent="0.4"/>
    <row r="7351" hidden="1" x14ac:dyDescent="0.4"/>
    <row r="7352" hidden="1" x14ac:dyDescent="0.4"/>
    <row r="7353" hidden="1" x14ac:dyDescent="0.4"/>
    <row r="7354" hidden="1" x14ac:dyDescent="0.4"/>
    <row r="7355" hidden="1" x14ac:dyDescent="0.4"/>
    <row r="7356" hidden="1" x14ac:dyDescent="0.4"/>
    <row r="7357" hidden="1" x14ac:dyDescent="0.4"/>
    <row r="7358" hidden="1" x14ac:dyDescent="0.4"/>
    <row r="7359" hidden="1" x14ac:dyDescent="0.4"/>
    <row r="7360" hidden="1" x14ac:dyDescent="0.4"/>
    <row r="7361" hidden="1" x14ac:dyDescent="0.4"/>
    <row r="7362" hidden="1" x14ac:dyDescent="0.4"/>
    <row r="7363" hidden="1" x14ac:dyDescent="0.4"/>
    <row r="7364" hidden="1" x14ac:dyDescent="0.4"/>
    <row r="7365" hidden="1" x14ac:dyDescent="0.4"/>
    <row r="7366" hidden="1" x14ac:dyDescent="0.4"/>
    <row r="7367" hidden="1" x14ac:dyDescent="0.4"/>
    <row r="7368" hidden="1" x14ac:dyDescent="0.4"/>
    <row r="7369" hidden="1" x14ac:dyDescent="0.4"/>
    <row r="7370" hidden="1" x14ac:dyDescent="0.4"/>
    <row r="7371" hidden="1" x14ac:dyDescent="0.4"/>
    <row r="7372" hidden="1" x14ac:dyDescent="0.4"/>
    <row r="7373" hidden="1" x14ac:dyDescent="0.4"/>
    <row r="7374" hidden="1" x14ac:dyDescent="0.4"/>
    <row r="7375" hidden="1" x14ac:dyDescent="0.4"/>
    <row r="7376" hidden="1" x14ac:dyDescent="0.4"/>
    <row r="7377" hidden="1" x14ac:dyDescent="0.4"/>
    <row r="7378" hidden="1" x14ac:dyDescent="0.4"/>
    <row r="7379" hidden="1" x14ac:dyDescent="0.4"/>
    <row r="7380" hidden="1" x14ac:dyDescent="0.4"/>
    <row r="7381" hidden="1" x14ac:dyDescent="0.4"/>
    <row r="7382" hidden="1" x14ac:dyDescent="0.4"/>
    <row r="7383" hidden="1" x14ac:dyDescent="0.4"/>
    <row r="7384" hidden="1" x14ac:dyDescent="0.4"/>
    <row r="7385" hidden="1" x14ac:dyDescent="0.4"/>
    <row r="7386" hidden="1" x14ac:dyDescent="0.4"/>
    <row r="7387" hidden="1" x14ac:dyDescent="0.4"/>
    <row r="7388" hidden="1" x14ac:dyDescent="0.4"/>
    <row r="7389" hidden="1" x14ac:dyDescent="0.4"/>
    <row r="7390" hidden="1" x14ac:dyDescent="0.4"/>
    <row r="7391" hidden="1" x14ac:dyDescent="0.4"/>
    <row r="7392" hidden="1" x14ac:dyDescent="0.4"/>
    <row r="7393" hidden="1" x14ac:dyDescent="0.4"/>
    <row r="7394" hidden="1" x14ac:dyDescent="0.4"/>
    <row r="7395" hidden="1" x14ac:dyDescent="0.4"/>
    <row r="7396" hidden="1" x14ac:dyDescent="0.4"/>
    <row r="7397" hidden="1" x14ac:dyDescent="0.4"/>
    <row r="7398" hidden="1" x14ac:dyDescent="0.4"/>
    <row r="7399" hidden="1" x14ac:dyDescent="0.4"/>
    <row r="7400" hidden="1" x14ac:dyDescent="0.4"/>
    <row r="7401" hidden="1" x14ac:dyDescent="0.4"/>
    <row r="7402" hidden="1" x14ac:dyDescent="0.4"/>
    <row r="7403" hidden="1" x14ac:dyDescent="0.4"/>
    <row r="7404" hidden="1" x14ac:dyDescent="0.4"/>
    <row r="7405" hidden="1" x14ac:dyDescent="0.4"/>
    <row r="7406" hidden="1" x14ac:dyDescent="0.4"/>
    <row r="7407" hidden="1" x14ac:dyDescent="0.4"/>
    <row r="7408" hidden="1" x14ac:dyDescent="0.4"/>
    <row r="7409" hidden="1" x14ac:dyDescent="0.4"/>
    <row r="7410" hidden="1" x14ac:dyDescent="0.4"/>
    <row r="7411" hidden="1" x14ac:dyDescent="0.4"/>
    <row r="7412" hidden="1" x14ac:dyDescent="0.4"/>
    <row r="7413" hidden="1" x14ac:dyDescent="0.4"/>
    <row r="7414" hidden="1" x14ac:dyDescent="0.4"/>
    <row r="7415" hidden="1" x14ac:dyDescent="0.4"/>
    <row r="7416" hidden="1" x14ac:dyDescent="0.4"/>
    <row r="7417" hidden="1" x14ac:dyDescent="0.4"/>
    <row r="7418" hidden="1" x14ac:dyDescent="0.4"/>
    <row r="7419" hidden="1" x14ac:dyDescent="0.4"/>
    <row r="7420" hidden="1" x14ac:dyDescent="0.4"/>
    <row r="7421" hidden="1" x14ac:dyDescent="0.4"/>
    <row r="7422" hidden="1" x14ac:dyDescent="0.4"/>
    <row r="7423" hidden="1" x14ac:dyDescent="0.4"/>
    <row r="7424" hidden="1" x14ac:dyDescent="0.4"/>
    <row r="7425" hidden="1" x14ac:dyDescent="0.4"/>
    <row r="7426" hidden="1" x14ac:dyDescent="0.4"/>
    <row r="7427" hidden="1" x14ac:dyDescent="0.4"/>
    <row r="7428" hidden="1" x14ac:dyDescent="0.4"/>
    <row r="7429" hidden="1" x14ac:dyDescent="0.4"/>
    <row r="7430" hidden="1" x14ac:dyDescent="0.4"/>
    <row r="7431" hidden="1" x14ac:dyDescent="0.4"/>
    <row r="7432" hidden="1" x14ac:dyDescent="0.4"/>
    <row r="7433" hidden="1" x14ac:dyDescent="0.4"/>
    <row r="7434" hidden="1" x14ac:dyDescent="0.4"/>
    <row r="7435" hidden="1" x14ac:dyDescent="0.4"/>
    <row r="7436" hidden="1" x14ac:dyDescent="0.4"/>
    <row r="7437" hidden="1" x14ac:dyDescent="0.4"/>
    <row r="7438" hidden="1" x14ac:dyDescent="0.4"/>
    <row r="7439" hidden="1" x14ac:dyDescent="0.4"/>
    <row r="7440" hidden="1" x14ac:dyDescent="0.4"/>
    <row r="7441" hidden="1" x14ac:dyDescent="0.4"/>
    <row r="7442" hidden="1" x14ac:dyDescent="0.4"/>
    <row r="7443" hidden="1" x14ac:dyDescent="0.4"/>
    <row r="7444" hidden="1" x14ac:dyDescent="0.4"/>
    <row r="7445" hidden="1" x14ac:dyDescent="0.4"/>
    <row r="7446" hidden="1" x14ac:dyDescent="0.4"/>
    <row r="7447" hidden="1" x14ac:dyDescent="0.4"/>
    <row r="7448" hidden="1" x14ac:dyDescent="0.4"/>
    <row r="7449" hidden="1" x14ac:dyDescent="0.4"/>
    <row r="7450" hidden="1" x14ac:dyDescent="0.4"/>
    <row r="7451" hidden="1" x14ac:dyDescent="0.4"/>
    <row r="7452" hidden="1" x14ac:dyDescent="0.4"/>
    <row r="7453" hidden="1" x14ac:dyDescent="0.4"/>
    <row r="7454" hidden="1" x14ac:dyDescent="0.4"/>
    <row r="7455" hidden="1" x14ac:dyDescent="0.4"/>
    <row r="7456" hidden="1" x14ac:dyDescent="0.4"/>
    <row r="7457" hidden="1" x14ac:dyDescent="0.4"/>
    <row r="7458" hidden="1" x14ac:dyDescent="0.4"/>
    <row r="7459" hidden="1" x14ac:dyDescent="0.4"/>
    <row r="7460" hidden="1" x14ac:dyDescent="0.4"/>
    <row r="7461" hidden="1" x14ac:dyDescent="0.4"/>
    <row r="7462" hidden="1" x14ac:dyDescent="0.4"/>
    <row r="7463" hidden="1" x14ac:dyDescent="0.4"/>
    <row r="7464" hidden="1" x14ac:dyDescent="0.4"/>
    <row r="7465" hidden="1" x14ac:dyDescent="0.4"/>
    <row r="7466" hidden="1" x14ac:dyDescent="0.4"/>
    <row r="7467" hidden="1" x14ac:dyDescent="0.4"/>
    <row r="7468" hidden="1" x14ac:dyDescent="0.4"/>
    <row r="7469" hidden="1" x14ac:dyDescent="0.4"/>
    <row r="7470" hidden="1" x14ac:dyDescent="0.4"/>
    <row r="7471" hidden="1" x14ac:dyDescent="0.4"/>
    <row r="7472" hidden="1" x14ac:dyDescent="0.4"/>
    <row r="7473" hidden="1" x14ac:dyDescent="0.4"/>
    <row r="7474" hidden="1" x14ac:dyDescent="0.4"/>
    <row r="7475" hidden="1" x14ac:dyDescent="0.4"/>
    <row r="7476" hidden="1" x14ac:dyDescent="0.4"/>
    <row r="7477" hidden="1" x14ac:dyDescent="0.4"/>
    <row r="7478" hidden="1" x14ac:dyDescent="0.4"/>
    <row r="7479" hidden="1" x14ac:dyDescent="0.4"/>
    <row r="7480" hidden="1" x14ac:dyDescent="0.4"/>
    <row r="7481" hidden="1" x14ac:dyDescent="0.4"/>
    <row r="7482" hidden="1" x14ac:dyDescent="0.4"/>
    <row r="7483" hidden="1" x14ac:dyDescent="0.4"/>
    <row r="7484" hidden="1" x14ac:dyDescent="0.4"/>
    <row r="7485" hidden="1" x14ac:dyDescent="0.4"/>
    <row r="7486" hidden="1" x14ac:dyDescent="0.4"/>
    <row r="7487" hidden="1" x14ac:dyDescent="0.4"/>
    <row r="7488" hidden="1" x14ac:dyDescent="0.4"/>
    <row r="7489" hidden="1" x14ac:dyDescent="0.4"/>
    <row r="7490" hidden="1" x14ac:dyDescent="0.4"/>
    <row r="7491" hidden="1" x14ac:dyDescent="0.4"/>
    <row r="7492" hidden="1" x14ac:dyDescent="0.4"/>
    <row r="7493" hidden="1" x14ac:dyDescent="0.4"/>
    <row r="7494" hidden="1" x14ac:dyDescent="0.4"/>
    <row r="7495" hidden="1" x14ac:dyDescent="0.4"/>
    <row r="7496" hidden="1" x14ac:dyDescent="0.4"/>
    <row r="7497" hidden="1" x14ac:dyDescent="0.4"/>
    <row r="7498" hidden="1" x14ac:dyDescent="0.4"/>
    <row r="7499" hidden="1" x14ac:dyDescent="0.4"/>
    <row r="7500" hidden="1" x14ac:dyDescent="0.4"/>
    <row r="7501" hidden="1" x14ac:dyDescent="0.4"/>
    <row r="7502" hidden="1" x14ac:dyDescent="0.4"/>
    <row r="7503" hidden="1" x14ac:dyDescent="0.4"/>
    <row r="7504" hidden="1" x14ac:dyDescent="0.4"/>
    <row r="7505" hidden="1" x14ac:dyDescent="0.4"/>
    <row r="7506" hidden="1" x14ac:dyDescent="0.4"/>
    <row r="7507" hidden="1" x14ac:dyDescent="0.4"/>
    <row r="7508" hidden="1" x14ac:dyDescent="0.4"/>
    <row r="7509" hidden="1" x14ac:dyDescent="0.4"/>
    <row r="7510" hidden="1" x14ac:dyDescent="0.4"/>
    <row r="7511" hidden="1" x14ac:dyDescent="0.4"/>
    <row r="7512" hidden="1" x14ac:dyDescent="0.4"/>
    <row r="7513" hidden="1" x14ac:dyDescent="0.4"/>
    <row r="7514" hidden="1" x14ac:dyDescent="0.4"/>
    <row r="7515" hidden="1" x14ac:dyDescent="0.4"/>
    <row r="7516" hidden="1" x14ac:dyDescent="0.4"/>
    <row r="7517" hidden="1" x14ac:dyDescent="0.4"/>
    <row r="7518" hidden="1" x14ac:dyDescent="0.4"/>
    <row r="7519" hidden="1" x14ac:dyDescent="0.4"/>
    <row r="7520" hidden="1" x14ac:dyDescent="0.4"/>
    <row r="7521" hidden="1" x14ac:dyDescent="0.4"/>
    <row r="7522" hidden="1" x14ac:dyDescent="0.4"/>
    <row r="7523" hidden="1" x14ac:dyDescent="0.4"/>
    <row r="7524" hidden="1" x14ac:dyDescent="0.4"/>
    <row r="7525" hidden="1" x14ac:dyDescent="0.4"/>
    <row r="7526" hidden="1" x14ac:dyDescent="0.4"/>
    <row r="7527" hidden="1" x14ac:dyDescent="0.4"/>
    <row r="7528" hidden="1" x14ac:dyDescent="0.4"/>
    <row r="7529" hidden="1" x14ac:dyDescent="0.4"/>
    <row r="7530" hidden="1" x14ac:dyDescent="0.4"/>
    <row r="7531" hidden="1" x14ac:dyDescent="0.4"/>
    <row r="7532" hidden="1" x14ac:dyDescent="0.4"/>
    <row r="7533" hidden="1" x14ac:dyDescent="0.4"/>
    <row r="7534" hidden="1" x14ac:dyDescent="0.4"/>
    <row r="7535" hidden="1" x14ac:dyDescent="0.4"/>
    <row r="7536" hidden="1" x14ac:dyDescent="0.4"/>
    <row r="7537" hidden="1" x14ac:dyDescent="0.4"/>
    <row r="7538" hidden="1" x14ac:dyDescent="0.4"/>
    <row r="7539" hidden="1" x14ac:dyDescent="0.4"/>
    <row r="7540" hidden="1" x14ac:dyDescent="0.4"/>
    <row r="7541" hidden="1" x14ac:dyDescent="0.4"/>
    <row r="7542" hidden="1" x14ac:dyDescent="0.4"/>
    <row r="7543" hidden="1" x14ac:dyDescent="0.4"/>
    <row r="7544" hidden="1" x14ac:dyDescent="0.4"/>
    <row r="7545" hidden="1" x14ac:dyDescent="0.4"/>
    <row r="7546" hidden="1" x14ac:dyDescent="0.4"/>
    <row r="7547" hidden="1" x14ac:dyDescent="0.4"/>
    <row r="7548" hidden="1" x14ac:dyDescent="0.4"/>
    <row r="7549" hidden="1" x14ac:dyDescent="0.4"/>
    <row r="7550" hidden="1" x14ac:dyDescent="0.4"/>
    <row r="7551" hidden="1" x14ac:dyDescent="0.4"/>
    <row r="7552" hidden="1" x14ac:dyDescent="0.4"/>
    <row r="7553" hidden="1" x14ac:dyDescent="0.4"/>
    <row r="7554" hidden="1" x14ac:dyDescent="0.4"/>
    <row r="7555" hidden="1" x14ac:dyDescent="0.4"/>
    <row r="7556" hidden="1" x14ac:dyDescent="0.4"/>
    <row r="7557" hidden="1" x14ac:dyDescent="0.4"/>
    <row r="7558" hidden="1" x14ac:dyDescent="0.4"/>
    <row r="7559" hidden="1" x14ac:dyDescent="0.4"/>
    <row r="7560" hidden="1" x14ac:dyDescent="0.4"/>
    <row r="7561" hidden="1" x14ac:dyDescent="0.4"/>
    <row r="7562" hidden="1" x14ac:dyDescent="0.4"/>
    <row r="7563" hidden="1" x14ac:dyDescent="0.4"/>
    <row r="7564" hidden="1" x14ac:dyDescent="0.4"/>
    <row r="7565" hidden="1" x14ac:dyDescent="0.4"/>
    <row r="7566" hidden="1" x14ac:dyDescent="0.4"/>
    <row r="7567" hidden="1" x14ac:dyDescent="0.4"/>
    <row r="7568" hidden="1" x14ac:dyDescent="0.4"/>
    <row r="7569" hidden="1" x14ac:dyDescent="0.4"/>
    <row r="7570" hidden="1" x14ac:dyDescent="0.4"/>
    <row r="7571" hidden="1" x14ac:dyDescent="0.4"/>
    <row r="7572" hidden="1" x14ac:dyDescent="0.4"/>
    <row r="7573" hidden="1" x14ac:dyDescent="0.4"/>
    <row r="7574" hidden="1" x14ac:dyDescent="0.4"/>
    <row r="7575" hidden="1" x14ac:dyDescent="0.4"/>
    <row r="7576" hidden="1" x14ac:dyDescent="0.4"/>
    <row r="7577" hidden="1" x14ac:dyDescent="0.4"/>
    <row r="7578" hidden="1" x14ac:dyDescent="0.4"/>
    <row r="7579" hidden="1" x14ac:dyDescent="0.4"/>
    <row r="7580" hidden="1" x14ac:dyDescent="0.4"/>
    <row r="7581" hidden="1" x14ac:dyDescent="0.4"/>
    <row r="7582" hidden="1" x14ac:dyDescent="0.4"/>
    <row r="7583" hidden="1" x14ac:dyDescent="0.4"/>
    <row r="7584" hidden="1" x14ac:dyDescent="0.4"/>
    <row r="7585" hidden="1" x14ac:dyDescent="0.4"/>
    <row r="7586" hidden="1" x14ac:dyDescent="0.4"/>
    <row r="7587" hidden="1" x14ac:dyDescent="0.4"/>
    <row r="7588" hidden="1" x14ac:dyDescent="0.4"/>
    <row r="7589" hidden="1" x14ac:dyDescent="0.4"/>
    <row r="7590" hidden="1" x14ac:dyDescent="0.4"/>
    <row r="7591" hidden="1" x14ac:dyDescent="0.4"/>
    <row r="7592" hidden="1" x14ac:dyDescent="0.4"/>
    <row r="7593" hidden="1" x14ac:dyDescent="0.4"/>
    <row r="7594" hidden="1" x14ac:dyDescent="0.4"/>
    <row r="7595" hidden="1" x14ac:dyDescent="0.4"/>
    <row r="7596" hidden="1" x14ac:dyDescent="0.4"/>
    <row r="7597" hidden="1" x14ac:dyDescent="0.4"/>
    <row r="7598" hidden="1" x14ac:dyDescent="0.4"/>
    <row r="7599" hidden="1" x14ac:dyDescent="0.4"/>
    <row r="7600" hidden="1" x14ac:dyDescent="0.4"/>
    <row r="7601" hidden="1" x14ac:dyDescent="0.4"/>
    <row r="7602" hidden="1" x14ac:dyDescent="0.4"/>
    <row r="7603" hidden="1" x14ac:dyDescent="0.4"/>
    <row r="7604" hidden="1" x14ac:dyDescent="0.4"/>
    <row r="7605" hidden="1" x14ac:dyDescent="0.4"/>
    <row r="7606" hidden="1" x14ac:dyDescent="0.4"/>
    <row r="7607" hidden="1" x14ac:dyDescent="0.4"/>
    <row r="7608" hidden="1" x14ac:dyDescent="0.4"/>
    <row r="7609" hidden="1" x14ac:dyDescent="0.4"/>
    <row r="7610" hidden="1" x14ac:dyDescent="0.4"/>
    <row r="7611" hidden="1" x14ac:dyDescent="0.4"/>
    <row r="7612" hidden="1" x14ac:dyDescent="0.4"/>
    <row r="7613" hidden="1" x14ac:dyDescent="0.4"/>
    <row r="7614" hidden="1" x14ac:dyDescent="0.4"/>
    <row r="7615" hidden="1" x14ac:dyDescent="0.4"/>
    <row r="7616" hidden="1" x14ac:dyDescent="0.4"/>
    <row r="7617" hidden="1" x14ac:dyDescent="0.4"/>
    <row r="7618" hidden="1" x14ac:dyDescent="0.4"/>
    <row r="7619" hidden="1" x14ac:dyDescent="0.4"/>
    <row r="7620" hidden="1" x14ac:dyDescent="0.4"/>
    <row r="7621" hidden="1" x14ac:dyDescent="0.4"/>
    <row r="7622" hidden="1" x14ac:dyDescent="0.4"/>
    <row r="7623" hidden="1" x14ac:dyDescent="0.4"/>
    <row r="7624" hidden="1" x14ac:dyDescent="0.4"/>
    <row r="7625" hidden="1" x14ac:dyDescent="0.4"/>
    <row r="7626" hidden="1" x14ac:dyDescent="0.4"/>
    <row r="7627" hidden="1" x14ac:dyDescent="0.4"/>
    <row r="7628" hidden="1" x14ac:dyDescent="0.4"/>
    <row r="7629" hidden="1" x14ac:dyDescent="0.4"/>
    <row r="7630" hidden="1" x14ac:dyDescent="0.4"/>
    <row r="7631" hidden="1" x14ac:dyDescent="0.4"/>
    <row r="7632" hidden="1" x14ac:dyDescent="0.4"/>
    <row r="7633" hidden="1" x14ac:dyDescent="0.4"/>
    <row r="7634" hidden="1" x14ac:dyDescent="0.4"/>
    <row r="7635" hidden="1" x14ac:dyDescent="0.4"/>
    <row r="7636" hidden="1" x14ac:dyDescent="0.4"/>
    <row r="7637" hidden="1" x14ac:dyDescent="0.4"/>
    <row r="7638" hidden="1" x14ac:dyDescent="0.4"/>
    <row r="7639" hidden="1" x14ac:dyDescent="0.4"/>
    <row r="7640" hidden="1" x14ac:dyDescent="0.4"/>
    <row r="7641" hidden="1" x14ac:dyDescent="0.4"/>
    <row r="7642" hidden="1" x14ac:dyDescent="0.4"/>
    <row r="7643" hidden="1" x14ac:dyDescent="0.4"/>
    <row r="7644" hidden="1" x14ac:dyDescent="0.4"/>
    <row r="7645" hidden="1" x14ac:dyDescent="0.4"/>
    <row r="7646" hidden="1" x14ac:dyDescent="0.4"/>
    <row r="7647" hidden="1" x14ac:dyDescent="0.4"/>
    <row r="7648" hidden="1" x14ac:dyDescent="0.4"/>
    <row r="7649" hidden="1" x14ac:dyDescent="0.4"/>
    <row r="7650" hidden="1" x14ac:dyDescent="0.4"/>
    <row r="7651" hidden="1" x14ac:dyDescent="0.4"/>
    <row r="7652" hidden="1" x14ac:dyDescent="0.4"/>
    <row r="7653" hidden="1" x14ac:dyDescent="0.4"/>
    <row r="7654" hidden="1" x14ac:dyDescent="0.4"/>
    <row r="7655" hidden="1" x14ac:dyDescent="0.4"/>
    <row r="7656" hidden="1" x14ac:dyDescent="0.4"/>
    <row r="7657" hidden="1" x14ac:dyDescent="0.4"/>
    <row r="7658" hidden="1" x14ac:dyDescent="0.4"/>
    <row r="7659" hidden="1" x14ac:dyDescent="0.4"/>
    <row r="7660" hidden="1" x14ac:dyDescent="0.4"/>
    <row r="7661" hidden="1" x14ac:dyDescent="0.4"/>
    <row r="7662" hidden="1" x14ac:dyDescent="0.4"/>
    <row r="7663" hidden="1" x14ac:dyDescent="0.4"/>
    <row r="7664" hidden="1" x14ac:dyDescent="0.4"/>
    <row r="7665" hidden="1" x14ac:dyDescent="0.4"/>
    <row r="7666" hidden="1" x14ac:dyDescent="0.4"/>
    <row r="7667" hidden="1" x14ac:dyDescent="0.4"/>
    <row r="7668" hidden="1" x14ac:dyDescent="0.4"/>
    <row r="7669" hidden="1" x14ac:dyDescent="0.4"/>
    <row r="7670" hidden="1" x14ac:dyDescent="0.4"/>
    <row r="7671" hidden="1" x14ac:dyDescent="0.4"/>
    <row r="7672" hidden="1" x14ac:dyDescent="0.4"/>
    <row r="7673" hidden="1" x14ac:dyDescent="0.4"/>
    <row r="7674" hidden="1" x14ac:dyDescent="0.4"/>
    <row r="7675" hidden="1" x14ac:dyDescent="0.4"/>
    <row r="7676" hidden="1" x14ac:dyDescent="0.4"/>
    <row r="7677" hidden="1" x14ac:dyDescent="0.4"/>
    <row r="7678" hidden="1" x14ac:dyDescent="0.4"/>
    <row r="7679" hidden="1" x14ac:dyDescent="0.4"/>
    <row r="7680" hidden="1" x14ac:dyDescent="0.4"/>
    <row r="7681" hidden="1" x14ac:dyDescent="0.4"/>
    <row r="7682" hidden="1" x14ac:dyDescent="0.4"/>
    <row r="7683" hidden="1" x14ac:dyDescent="0.4"/>
    <row r="7684" hidden="1" x14ac:dyDescent="0.4"/>
    <row r="7685" hidden="1" x14ac:dyDescent="0.4"/>
    <row r="7686" hidden="1" x14ac:dyDescent="0.4"/>
    <row r="7687" hidden="1" x14ac:dyDescent="0.4"/>
    <row r="7688" hidden="1" x14ac:dyDescent="0.4"/>
    <row r="7689" hidden="1" x14ac:dyDescent="0.4"/>
    <row r="7690" hidden="1" x14ac:dyDescent="0.4"/>
    <row r="7691" hidden="1" x14ac:dyDescent="0.4"/>
    <row r="7692" hidden="1" x14ac:dyDescent="0.4"/>
    <row r="7693" hidden="1" x14ac:dyDescent="0.4"/>
    <row r="7694" hidden="1" x14ac:dyDescent="0.4"/>
    <row r="7695" hidden="1" x14ac:dyDescent="0.4"/>
    <row r="7696" hidden="1" x14ac:dyDescent="0.4"/>
    <row r="7697" hidden="1" x14ac:dyDescent="0.4"/>
    <row r="7698" hidden="1" x14ac:dyDescent="0.4"/>
    <row r="7699" hidden="1" x14ac:dyDescent="0.4"/>
    <row r="7700" hidden="1" x14ac:dyDescent="0.4"/>
    <row r="7701" hidden="1" x14ac:dyDescent="0.4"/>
    <row r="7702" hidden="1" x14ac:dyDescent="0.4"/>
    <row r="7703" hidden="1" x14ac:dyDescent="0.4"/>
    <row r="7704" hidden="1" x14ac:dyDescent="0.4"/>
    <row r="7705" hidden="1" x14ac:dyDescent="0.4"/>
    <row r="7706" hidden="1" x14ac:dyDescent="0.4"/>
    <row r="7707" hidden="1" x14ac:dyDescent="0.4"/>
    <row r="7708" hidden="1" x14ac:dyDescent="0.4"/>
    <row r="7709" hidden="1" x14ac:dyDescent="0.4"/>
    <row r="7710" hidden="1" x14ac:dyDescent="0.4"/>
    <row r="7711" hidden="1" x14ac:dyDescent="0.4"/>
    <row r="7712" hidden="1" x14ac:dyDescent="0.4"/>
    <row r="7713" hidden="1" x14ac:dyDescent="0.4"/>
    <row r="7714" hidden="1" x14ac:dyDescent="0.4"/>
    <row r="7715" hidden="1" x14ac:dyDescent="0.4"/>
    <row r="7716" hidden="1" x14ac:dyDescent="0.4"/>
    <row r="7717" hidden="1" x14ac:dyDescent="0.4"/>
    <row r="7718" hidden="1" x14ac:dyDescent="0.4"/>
    <row r="7719" hidden="1" x14ac:dyDescent="0.4"/>
    <row r="7720" hidden="1" x14ac:dyDescent="0.4"/>
    <row r="7721" hidden="1" x14ac:dyDescent="0.4"/>
    <row r="7722" hidden="1" x14ac:dyDescent="0.4"/>
    <row r="7723" hidden="1" x14ac:dyDescent="0.4"/>
    <row r="7724" hidden="1" x14ac:dyDescent="0.4"/>
    <row r="7725" hidden="1" x14ac:dyDescent="0.4"/>
    <row r="7726" hidden="1" x14ac:dyDescent="0.4"/>
    <row r="7727" hidden="1" x14ac:dyDescent="0.4"/>
    <row r="7728" hidden="1" x14ac:dyDescent="0.4"/>
    <row r="7729" hidden="1" x14ac:dyDescent="0.4"/>
    <row r="7730" hidden="1" x14ac:dyDescent="0.4"/>
    <row r="7731" hidden="1" x14ac:dyDescent="0.4"/>
    <row r="7732" hidden="1" x14ac:dyDescent="0.4"/>
    <row r="7733" hidden="1" x14ac:dyDescent="0.4"/>
    <row r="7734" hidden="1" x14ac:dyDescent="0.4"/>
    <row r="7735" hidden="1" x14ac:dyDescent="0.4"/>
    <row r="7736" hidden="1" x14ac:dyDescent="0.4"/>
    <row r="7737" hidden="1" x14ac:dyDescent="0.4"/>
    <row r="7738" hidden="1" x14ac:dyDescent="0.4"/>
    <row r="7739" hidden="1" x14ac:dyDescent="0.4"/>
    <row r="7740" hidden="1" x14ac:dyDescent="0.4"/>
    <row r="7741" hidden="1" x14ac:dyDescent="0.4"/>
    <row r="7742" hidden="1" x14ac:dyDescent="0.4"/>
    <row r="7743" hidden="1" x14ac:dyDescent="0.4"/>
    <row r="7744" hidden="1" x14ac:dyDescent="0.4"/>
    <row r="7745" hidden="1" x14ac:dyDescent="0.4"/>
    <row r="7746" hidden="1" x14ac:dyDescent="0.4"/>
    <row r="7747" hidden="1" x14ac:dyDescent="0.4"/>
    <row r="7748" hidden="1" x14ac:dyDescent="0.4"/>
    <row r="7749" hidden="1" x14ac:dyDescent="0.4"/>
    <row r="7750" hidden="1" x14ac:dyDescent="0.4"/>
    <row r="7751" hidden="1" x14ac:dyDescent="0.4"/>
    <row r="7752" hidden="1" x14ac:dyDescent="0.4"/>
    <row r="7753" hidden="1" x14ac:dyDescent="0.4"/>
    <row r="7754" hidden="1" x14ac:dyDescent="0.4"/>
    <row r="7755" hidden="1" x14ac:dyDescent="0.4"/>
    <row r="7756" hidden="1" x14ac:dyDescent="0.4"/>
    <row r="7757" hidden="1" x14ac:dyDescent="0.4"/>
    <row r="7758" hidden="1" x14ac:dyDescent="0.4"/>
    <row r="7759" hidden="1" x14ac:dyDescent="0.4"/>
    <row r="7760" hidden="1" x14ac:dyDescent="0.4"/>
    <row r="7761" hidden="1" x14ac:dyDescent="0.4"/>
    <row r="7762" hidden="1" x14ac:dyDescent="0.4"/>
    <row r="7763" hidden="1" x14ac:dyDescent="0.4"/>
    <row r="7764" hidden="1" x14ac:dyDescent="0.4"/>
    <row r="7765" hidden="1" x14ac:dyDescent="0.4"/>
    <row r="7766" hidden="1" x14ac:dyDescent="0.4"/>
    <row r="7767" hidden="1" x14ac:dyDescent="0.4"/>
    <row r="7768" hidden="1" x14ac:dyDescent="0.4"/>
    <row r="7769" hidden="1" x14ac:dyDescent="0.4"/>
    <row r="7770" hidden="1" x14ac:dyDescent="0.4"/>
    <row r="7771" hidden="1" x14ac:dyDescent="0.4"/>
    <row r="7772" hidden="1" x14ac:dyDescent="0.4"/>
    <row r="7773" hidden="1" x14ac:dyDescent="0.4"/>
    <row r="7774" hidden="1" x14ac:dyDescent="0.4"/>
    <row r="7775" hidden="1" x14ac:dyDescent="0.4"/>
    <row r="7776" hidden="1" x14ac:dyDescent="0.4"/>
    <row r="7777" hidden="1" x14ac:dyDescent="0.4"/>
    <row r="7778" hidden="1" x14ac:dyDescent="0.4"/>
    <row r="7779" hidden="1" x14ac:dyDescent="0.4"/>
    <row r="7780" hidden="1" x14ac:dyDescent="0.4"/>
    <row r="7781" hidden="1" x14ac:dyDescent="0.4"/>
    <row r="7782" hidden="1" x14ac:dyDescent="0.4"/>
    <row r="7783" hidden="1" x14ac:dyDescent="0.4"/>
    <row r="7784" hidden="1" x14ac:dyDescent="0.4"/>
    <row r="7785" hidden="1" x14ac:dyDescent="0.4"/>
    <row r="7786" hidden="1" x14ac:dyDescent="0.4"/>
    <row r="7787" hidden="1" x14ac:dyDescent="0.4"/>
    <row r="7788" hidden="1" x14ac:dyDescent="0.4"/>
    <row r="7789" hidden="1" x14ac:dyDescent="0.4"/>
    <row r="7790" hidden="1" x14ac:dyDescent="0.4"/>
    <row r="7791" hidden="1" x14ac:dyDescent="0.4"/>
    <row r="7792" hidden="1" x14ac:dyDescent="0.4"/>
    <row r="7793" hidden="1" x14ac:dyDescent="0.4"/>
    <row r="7794" hidden="1" x14ac:dyDescent="0.4"/>
    <row r="7795" hidden="1" x14ac:dyDescent="0.4"/>
    <row r="7796" hidden="1" x14ac:dyDescent="0.4"/>
    <row r="7797" hidden="1" x14ac:dyDescent="0.4"/>
    <row r="7798" hidden="1" x14ac:dyDescent="0.4"/>
    <row r="7799" hidden="1" x14ac:dyDescent="0.4"/>
    <row r="7800" hidden="1" x14ac:dyDescent="0.4"/>
    <row r="7801" hidden="1" x14ac:dyDescent="0.4"/>
    <row r="7802" hidden="1" x14ac:dyDescent="0.4"/>
    <row r="7803" hidden="1" x14ac:dyDescent="0.4"/>
    <row r="7804" hidden="1" x14ac:dyDescent="0.4"/>
    <row r="7805" hidden="1" x14ac:dyDescent="0.4"/>
    <row r="7806" hidden="1" x14ac:dyDescent="0.4"/>
    <row r="7807" hidden="1" x14ac:dyDescent="0.4"/>
    <row r="7808" hidden="1" x14ac:dyDescent="0.4"/>
    <row r="7809" hidden="1" x14ac:dyDescent="0.4"/>
    <row r="7810" hidden="1" x14ac:dyDescent="0.4"/>
    <row r="7811" hidden="1" x14ac:dyDescent="0.4"/>
    <row r="7812" hidden="1" x14ac:dyDescent="0.4"/>
    <row r="7813" hidden="1" x14ac:dyDescent="0.4"/>
    <row r="7814" hidden="1" x14ac:dyDescent="0.4"/>
    <row r="7815" hidden="1" x14ac:dyDescent="0.4"/>
    <row r="7816" hidden="1" x14ac:dyDescent="0.4"/>
    <row r="7817" hidden="1" x14ac:dyDescent="0.4"/>
    <row r="7818" hidden="1" x14ac:dyDescent="0.4"/>
    <row r="7819" hidden="1" x14ac:dyDescent="0.4"/>
    <row r="7820" hidden="1" x14ac:dyDescent="0.4"/>
    <row r="7821" hidden="1" x14ac:dyDescent="0.4"/>
    <row r="7822" hidden="1" x14ac:dyDescent="0.4"/>
    <row r="7823" hidden="1" x14ac:dyDescent="0.4"/>
    <row r="7824" hidden="1" x14ac:dyDescent="0.4"/>
    <row r="7825" hidden="1" x14ac:dyDescent="0.4"/>
    <row r="7826" hidden="1" x14ac:dyDescent="0.4"/>
    <row r="7827" hidden="1" x14ac:dyDescent="0.4"/>
    <row r="7828" hidden="1" x14ac:dyDescent="0.4"/>
    <row r="7829" hidden="1" x14ac:dyDescent="0.4"/>
    <row r="7830" hidden="1" x14ac:dyDescent="0.4"/>
    <row r="7831" hidden="1" x14ac:dyDescent="0.4"/>
    <row r="7832" hidden="1" x14ac:dyDescent="0.4"/>
    <row r="7833" hidden="1" x14ac:dyDescent="0.4"/>
    <row r="7834" hidden="1" x14ac:dyDescent="0.4"/>
    <row r="7835" hidden="1" x14ac:dyDescent="0.4"/>
    <row r="7836" hidden="1" x14ac:dyDescent="0.4"/>
    <row r="7837" hidden="1" x14ac:dyDescent="0.4"/>
    <row r="7838" hidden="1" x14ac:dyDescent="0.4"/>
    <row r="7839" hidden="1" x14ac:dyDescent="0.4"/>
    <row r="7840" hidden="1" x14ac:dyDescent="0.4"/>
    <row r="7841" hidden="1" x14ac:dyDescent="0.4"/>
    <row r="7842" hidden="1" x14ac:dyDescent="0.4"/>
    <row r="7843" hidden="1" x14ac:dyDescent="0.4"/>
    <row r="7844" hidden="1" x14ac:dyDescent="0.4"/>
    <row r="7845" hidden="1" x14ac:dyDescent="0.4"/>
    <row r="7846" hidden="1" x14ac:dyDescent="0.4"/>
    <row r="7847" hidden="1" x14ac:dyDescent="0.4"/>
    <row r="7848" hidden="1" x14ac:dyDescent="0.4"/>
    <row r="7849" hidden="1" x14ac:dyDescent="0.4"/>
    <row r="7850" hidden="1" x14ac:dyDescent="0.4"/>
    <row r="7851" hidden="1" x14ac:dyDescent="0.4"/>
    <row r="7852" hidden="1" x14ac:dyDescent="0.4"/>
    <row r="7853" hidden="1" x14ac:dyDescent="0.4"/>
    <row r="7854" hidden="1" x14ac:dyDescent="0.4"/>
    <row r="7855" hidden="1" x14ac:dyDescent="0.4"/>
    <row r="7856" hidden="1" x14ac:dyDescent="0.4"/>
    <row r="7857" hidden="1" x14ac:dyDescent="0.4"/>
    <row r="7858" hidden="1" x14ac:dyDescent="0.4"/>
    <row r="7859" hidden="1" x14ac:dyDescent="0.4"/>
    <row r="7860" hidden="1" x14ac:dyDescent="0.4"/>
    <row r="7861" hidden="1" x14ac:dyDescent="0.4"/>
    <row r="7862" hidden="1" x14ac:dyDescent="0.4"/>
    <row r="7863" hidden="1" x14ac:dyDescent="0.4"/>
    <row r="7864" hidden="1" x14ac:dyDescent="0.4"/>
    <row r="7865" hidden="1" x14ac:dyDescent="0.4"/>
    <row r="7866" hidden="1" x14ac:dyDescent="0.4"/>
    <row r="7867" hidden="1" x14ac:dyDescent="0.4"/>
    <row r="7868" hidden="1" x14ac:dyDescent="0.4"/>
    <row r="7869" hidden="1" x14ac:dyDescent="0.4"/>
    <row r="7870" hidden="1" x14ac:dyDescent="0.4"/>
    <row r="7871" hidden="1" x14ac:dyDescent="0.4"/>
    <row r="7872" hidden="1" x14ac:dyDescent="0.4"/>
    <row r="7873" hidden="1" x14ac:dyDescent="0.4"/>
    <row r="7874" hidden="1" x14ac:dyDescent="0.4"/>
    <row r="7875" hidden="1" x14ac:dyDescent="0.4"/>
    <row r="7876" hidden="1" x14ac:dyDescent="0.4"/>
    <row r="7877" hidden="1" x14ac:dyDescent="0.4"/>
    <row r="7878" hidden="1" x14ac:dyDescent="0.4"/>
    <row r="7879" hidden="1" x14ac:dyDescent="0.4"/>
    <row r="7880" hidden="1" x14ac:dyDescent="0.4"/>
    <row r="7881" hidden="1" x14ac:dyDescent="0.4"/>
    <row r="7882" hidden="1" x14ac:dyDescent="0.4"/>
    <row r="7883" hidden="1" x14ac:dyDescent="0.4"/>
    <row r="7884" hidden="1" x14ac:dyDescent="0.4"/>
    <row r="7885" hidden="1" x14ac:dyDescent="0.4"/>
    <row r="7886" hidden="1" x14ac:dyDescent="0.4"/>
    <row r="7887" hidden="1" x14ac:dyDescent="0.4"/>
    <row r="7888" hidden="1" x14ac:dyDescent="0.4"/>
    <row r="7889" hidden="1" x14ac:dyDescent="0.4"/>
    <row r="7890" hidden="1" x14ac:dyDescent="0.4"/>
    <row r="7891" hidden="1" x14ac:dyDescent="0.4"/>
    <row r="7892" hidden="1" x14ac:dyDescent="0.4"/>
    <row r="7893" hidden="1" x14ac:dyDescent="0.4"/>
    <row r="7894" hidden="1" x14ac:dyDescent="0.4"/>
    <row r="7895" hidden="1" x14ac:dyDescent="0.4"/>
    <row r="7896" hidden="1" x14ac:dyDescent="0.4"/>
    <row r="7897" hidden="1" x14ac:dyDescent="0.4"/>
    <row r="7898" hidden="1" x14ac:dyDescent="0.4"/>
    <row r="7899" hidden="1" x14ac:dyDescent="0.4"/>
    <row r="7900" hidden="1" x14ac:dyDescent="0.4"/>
    <row r="7901" hidden="1" x14ac:dyDescent="0.4"/>
    <row r="7902" hidden="1" x14ac:dyDescent="0.4"/>
    <row r="7903" hidden="1" x14ac:dyDescent="0.4"/>
    <row r="7904" hidden="1" x14ac:dyDescent="0.4"/>
    <row r="7905" hidden="1" x14ac:dyDescent="0.4"/>
    <row r="7906" hidden="1" x14ac:dyDescent="0.4"/>
    <row r="7907" hidden="1" x14ac:dyDescent="0.4"/>
    <row r="7908" hidden="1" x14ac:dyDescent="0.4"/>
    <row r="7909" hidden="1" x14ac:dyDescent="0.4"/>
    <row r="7910" hidden="1" x14ac:dyDescent="0.4"/>
    <row r="7911" hidden="1" x14ac:dyDescent="0.4"/>
    <row r="7912" hidden="1" x14ac:dyDescent="0.4"/>
    <row r="7913" hidden="1" x14ac:dyDescent="0.4"/>
    <row r="7914" hidden="1" x14ac:dyDescent="0.4"/>
    <row r="7915" hidden="1" x14ac:dyDescent="0.4"/>
    <row r="7916" hidden="1" x14ac:dyDescent="0.4"/>
    <row r="7917" hidden="1" x14ac:dyDescent="0.4"/>
    <row r="7918" hidden="1" x14ac:dyDescent="0.4"/>
    <row r="7919" hidden="1" x14ac:dyDescent="0.4"/>
    <row r="7920" hidden="1" x14ac:dyDescent="0.4"/>
    <row r="7921" hidden="1" x14ac:dyDescent="0.4"/>
    <row r="7922" hidden="1" x14ac:dyDescent="0.4"/>
    <row r="7923" hidden="1" x14ac:dyDescent="0.4"/>
    <row r="7924" hidden="1" x14ac:dyDescent="0.4"/>
    <row r="7925" hidden="1" x14ac:dyDescent="0.4"/>
    <row r="7926" hidden="1" x14ac:dyDescent="0.4"/>
    <row r="7927" hidden="1" x14ac:dyDescent="0.4"/>
    <row r="7928" hidden="1" x14ac:dyDescent="0.4"/>
    <row r="7929" hidden="1" x14ac:dyDescent="0.4"/>
    <row r="7930" hidden="1" x14ac:dyDescent="0.4"/>
    <row r="7931" hidden="1" x14ac:dyDescent="0.4"/>
    <row r="7932" hidden="1" x14ac:dyDescent="0.4"/>
    <row r="7933" hidden="1" x14ac:dyDescent="0.4"/>
    <row r="7934" hidden="1" x14ac:dyDescent="0.4"/>
    <row r="7935" hidden="1" x14ac:dyDescent="0.4"/>
    <row r="7936" hidden="1" x14ac:dyDescent="0.4"/>
    <row r="7937" hidden="1" x14ac:dyDescent="0.4"/>
    <row r="7938" hidden="1" x14ac:dyDescent="0.4"/>
    <row r="7939" hidden="1" x14ac:dyDescent="0.4"/>
    <row r="7940" hidden="1" x14ac:dyDescent="0.4"/>
    <row r="7941" hidden="1" x14ac:dyDescent="0.4"/>
    <row r="7942" hidden="1" x14ac:dyDescent="0.4"/>
    <row r="7943" hidden="1" x14ac:dyDescent="0.4"/>
    <row r="7944" hidden="1" x14ac:dyDescent="0.4"/>
    <row r="7945" hidden="1" x14ac:dyDescent="0.4"/>
    <row r="7946" hidden="1" x14ac:dyDescent="0.4"/>
    <row r="7947" hidden="1" x14ac:dyDescent="0.4"/>
    <row r="7948" hidden="1" x14ac:dyDescent="0.4"/>
    <row r="7949" hidden="1" x14ac:dyDescent="0.4"/>
    <row r="7950" hidden="1" x14ac:dyDescent="0.4"/>
    <row r="7951" hidden="1" x14ac:dyDescent="0.4"/>
    <row r="7952" hidden="1" x14ac:dyDescent="0.4"/>
    <row r="7953" hidden="1" x14ac:dyDescent="0.4"/>
    <row r="7954" hidden="1" x14ac:dyDescent="0.4"/>
    <row r="7955" hidden="1" x14ac:dyDescent="0.4"/>
    <row r="7956" hidden="1" x14ac:dyDescent="0.4"/>
    <row r="7957" hidden="1" x14ac:dyDescent="0.4"/>
    <row r="7958" hidden="1" x14ac:dyDescent="0.4"/>
    <row r="7959" hidden="1" x14ac:dyDescent="0.4"/>
    <row r="7960" hidden="1" x14ac:dyDescent="0.4"/>
    <row r="7961" hidden="1" x14ac:dyDescent="0.4"/>
    <row r="7962" hidden="1" x14ac:dyDescent="0.4"/>
    <row r="7963" hidden="1" x14ac:dyDescent="0.4"/>
    <row r="7964" hidden="1" x14ac:dyDescent="0.4"/>
    <row r="7965" hidden="1" x14ac:dyDescent="0.4"/>
    <row r="7966" hidden="1" x14ac:dyDescent="0.4"/>
    <row r="7967" hidden="1" x14ac:dyDescent="0.4"/>
    <row r="7968" hidden="1" x14ac:dyDescent="0.4"/>
    <row r="7969" hidden="1" x14ac:dyDescent="0.4"/>
    <row r="7970" hidden="1" x14ac:dyDescent="0.4"/>
    <row r="7971" hidden="1" x14ac:dyDescent="0.4"/>
    <row r="7972" hidden="1" x14ac:dyDescent="0.4"/>
    <row r="7973" hidden="1" x14ac:dyDescent="0.4"/>
    <row r="7974" hidden="1" x14ac:dyDescent="0.4"/>
    <row r="7975" hidden="1" x14ac:dyDescent="0.4"/>
    <row r="7976" hidden="1" x14ac:dyDescent="0.4"/>
    <row r="7977" hidden="1" x14ac:dyDescent="0.4"/>
    <row r="7978" hidden="1" x14ac:dyDescent="0.4"/>
    <row r="7979" hidden="1" x14ac:dyDescent="0.4"/>
    <row r="7980" hidden="1" x14ac:dyDescent="0.4"/>
    <row r="7981" hidden="1" x14ac:dyDescent="0.4"/>
    <row r="7982" hidden="1" x14ac:dyDescent="0.4"/>
    <row r="7983" hidden="1" x14ac:dyDescent="0.4"/>
    <row r="7984" hidden="1" x14ac:dyDescent="0.4"/>
    <row r="7985" hidden="1" x14ac:dyDescent="0.4"/>
    <row r="7986" hidden="1" x14ac:dyDescent="0.4"/>
    <row r="7987" hidden="1" x14ac:dyDescent="0.4"/>
    <row r="7988" hidden="1" x14ac:dyDescent="0.4"/>
    <row r="7989" hidden="1" x14ac:dyDescent="0.4"/>
    <row r="7990" hidden="1" x14ac:dyDescent="0.4"/>
    <row r="7991" hidden="1" x14ac:dyDescent="0.4"/>
    <row r="7992" hidden="1" x14ac:dyDescent="0.4"/>
    <row r="7993" hidden="1" x14ac:dyDescent="0.4"/>
    <row r="7994" hidden="1" x14ac:dyDescent="0.4"/>
    <row r="7995" hidden="1" x14ac:dyDescent="0.4"/>
    <row r="7996" hidden="1" x14ac:dyDescent="0.4"/>
    <row r="7997" hidden="1" x14ac:dyDescent="0.4"/>
    <row r="7998" hidden="1" x14ac:dyDescent="0.4"/>
    <row r="7999" hidden="1" x14ac:dyDescent="0.4"/>
    <row r="8000" hidden="1" x14ac:dyDescent="0.4"/>
    <row r="8001" hidden="1" x14ac:dyDescent="0.4"/>
    <row r="8002" hidden="1" x14ac:dyDescent="0.4"/>
    <row r="8003" hidden="1" x14ac:dyDescent="0.4"/>
    <row r="8004" hidden="1" x14ac:dyDescent="0.4"/>
    <row r="8005" hidden="1" x14ac:dyDescent="0.4"/>
    <row r="8006" hidden="1" x14ac:dyDescent="0.4"/>
    <row r="8007" hidden="1" x14ac:dyDescent="0.4"/>
    <row r="8008" hidden="1" x14ac:dyDescent="0.4"/>
    <row r="8009" hidden="1" x14ac:dyDescent="0.4"/>
    <row r="8010" hidden="1" x14ac:dyDescent="0.4"/>
    <row r="8011" hidden="1" x14ac:dyDescent="0.4"/>
    <row r="8012" hidden="1" x14ac:dyDescent="0.4"/>
    <row r="8013" hidden="1" x14ac:dyDescent="0.4"/>
    <row r="8014" hidden="1" x14ac:dyDescent="0.4"/>
    <row r="8015" hidden="1" x14ac:dyDescent="0.4"/>
    <row r="8016" hidden="1" x14ac:dyDescent="0.4"/>
    <row r="8017" hidden="1" x14ac:dyDescent="0.4"/>
    <row r="8018" hidden="1" x14ac:dyDescent="0.4"/>
    <row r="8019" hidden="1" x14ac:dyDescent="0.4"/>
    <row r="8020" hidden="1" x14ac:dyDescent="0.4"/>
    <row r="8021" hidden="1" x14ac:dyDescent="0.4"/>
    <row r="8022" hidden="1" x14ac:dyDescent="0.4"/>
    <row r="8023" hidden="1" x14ac:dyDescent="0.4"/>
    <row r="8024" hidden="1" x14ac:dyDescent="0.4"/>
    <row r="8025" hidden="1" x14ac:dyDescent="0.4"/>
    <row r="8026" hidden="1" x14ac:dyDescent="0.4"/>
    <row r="8027" hidden="1" x14ac:dyDescent="0.4"/>
    <row r="8028" hidden="1" x14ac:dyDescent="0.4"/>
    <row r="8029" hidden="1" x14ac:dyDescent="0.4"/>
    <row r="8030" hidden="1" x14ac:dyDescent="0.4"/>
    <row r="8031" hidden="1" x14ac:dyDescent="0.4"/>
    <row r="8032" hidden="1" x14ac:dyDescent="0.4"/>
    <row r="8033" hidden="1" x14ac:dyDescent="0.4"/>
    <row r="8034" hidden="1" x14ac:dyDescent="0.4"/>
    <row r="8035" hidden="1" x14ac:dyDescent="0.4"/>
    <row r="8036" hidden="1" x14ac:dyDescent="0.4"/>
    <row r="8037" hidden="1" x14ac:dyDescent="0.4"/>
    <row r="8038" hidden="1" x14ac:dyDescent="0.4"/>
    <row r="8039" hidden="1" x14ac:dyDescent="0.4"/>
    <row r="8040" hidden="1" x14ac:dyDescent="0.4"/>
    <row r="8041" hidden="1" x14ac:dyDescent="0.4"/>
    <row r="8042" hidden="1" x14ac:dyDescent="0.4"/>
    <row r="8043" hidden="1" x14ac:dyDescent="0.4"/>
    <row r="8044" hidden="1" x14ac:dyDescent="0.4"/>
    <row r="8045" hidden="1" x14ac:dyDescent="0.4"/>
    <row r="8046" hidden="1" x14ac:dyDescent="0.4"/>
    <row r="8047" hidden="1" x14ac:dyDescent="0.4"/>
    <row r="8048" hidden="1" x14ac:dyDescent="0.4"/>
    <row r="8049" hidden="1" x14ac:dyDescent="0.4"/>
    <row r="8050" hidden="1" x14ac:dyDescent="0.4"/>
    <row r="8051" hidden="1" x14ac:dyDescent="0.4"/>
    <row r="8052" hidden="1" x14ac:dyDescent="0.4"/>
    <row r="8053" hidden="1" x14ac:dyDescent="0.4"/>
    <row r="8054" hidden="1" x14ac:dyDescent="0.4"/>
    <row r="8055" hidden="1" x14ac:dyDescent="0.4"/>
    <row r="8056" hidden="1" x14ac:dyDescent="0.4"/>
    <row r="8057" hidden="1" x14ac:dyDescent="0.4"/>
    <row r="8058" hidden="1" x14ac:dyDescent="0.4"/>
    <row r="8059" hidden="1" x14ac:dyDescent="0.4"/>
    <row r="8060" hidden="1" x14ac:dyDescent="0.4"/>
    <row r="8061" hidden="1" x14ac:dyDescent="0.4"/>
    <row r="8062" hidden="1" x14ac:dyDescent="0.4"/>
    <row r="8063" hidden="1" x14ac:dyDescent="0.4"/>
    <row r="8064" hidden="1" x14ac:dyDescent="0.4"/>
    <row r="8065" hidden="1" x14ac:dyDescent="0.4"/>
    <row r="8066" hidden="1" x14ac:dyDescent="0.4"/>
    <row r="8067" hidden="1" x14ac:dyDescent="0.4"/>
    <row r="8068" hidden="1" x14ac:dyDescent="0.4"/>
    <row r="8069" hidden="1" x14ac:dyDescent="0.4"/>
    <row r="8070" hidden="1" x14ac:dyDescent="0.4"/>
    <row r="8071" hidden="1" x14ac:dyDescent="0.4"/>
    <row r="8072" hidden="1" x14ac:dyDescent="0.4"/>
    <row r="8073" hidden="1" x14ac:dyDescent="0.4"/>
    <row r="8074" hidden="1" x14ac:dyDescent="0.4"/>
    <row r="8075" hidden="1" x14ac:dyDescent="0.4"/>
    <row r="8076" hidden="1" x14ac:dyDescent="0.4"/>
    <row r="8077" hidden="1" x14ac:dyDescent="0.4"/>
    <row r="8078" hidden="1" x14ac:dyDescent="0.4"/>
    <row r="8079" hidden="1" x14ac:dyDescent="0.4"/>
    <row r="8080" hidden="1" x14ac:dyDescent="0.4"/>
    <row r="8081" hidden="1" x14ac:dyDescent="0.4"/>
    <row r="8082" hidden="1" x14ac:dyDescent="0.4"/>
    <row r="8083" hidden="1" x14ac:dyDescent="0.4"/>
    <row r="8084" hidden="1" x14ac:dyDescent="0.4"/>
    <row r="8085" hidden="1" x14ac:dyDescent="0.4"/>
    <row r="8086" hidden="1" x14ac:dyDescent="0.4"/>
    <row r="8087" hidden="1" x14ac:dyDescent="0.4"/>
    <row r="8088" hidden="1" x14ac:dyDescent="0.4"/>
    <row r="8089" hidden="1" x14ac:dyDescent="0.4"/>
    <row r="8090" hidden="1" x14ac:dyDescent="0.4"/>
    <row r="8091" hidden="1" x14ac:dyDescent="0.4"/>
    <row r="8092" hidden="1" x14ac:dyDescent="0.4"/>
    <row r="8093" hidden="1" x14ac:dyDescent="0.4"/>
    <row r="8094" hidden="1" x14ac:dyDescent="0.4"/>
    <row r="8095" hidden="1" x14ac:dyDescent="0.4"/>
    <row r="8096" hidden="1" x14ac:dyDescent="0.4"/>
    <row r="8097" hidden="1" x14ac:dyDescent="0.4"/>
    <row r="8098" hidden="1" x14ac:dyDescent="0.4"/>
    <row r="8099" hidden="1" x14ac:dyDescent="0.4"/>
    <row r="8100" hidden="1" x14ac:dyDescent="0.4"/>
    <row r="8101" hidden="1" x14ac:dyDescent="0.4"/>
    <row r="8102" hidden="1" x14ac:dyDescent="0.4"/>
    <row r="8103" hidden="1" x14ac:dyDescent="0.4"/>
    <row r="8104" hidden="1" x14ac:dyDescent="0.4"/>
    <row r="8105" hidden="1" x14ac:dyDescent="0.4"/>
    <row r="8106" hidden="1" x14ac:dyDescent="0.4"/>
    <row r="8107" hidden="1" x14ac:dyDescent="0.4"/>
    <row r="8108" hidden="1" x14ac:dyDescent="0.4"/>
    <row r="8109" hidden="1" x14ac:dyDescent="0.4"/>
    <row r="8110" hidden="1" x14ac:dyDescent="0.4"/>
    <row r="8111" hidden="1" x14ac:dyDescent="0.4"/>
    <row r="8112" hidden="1" x14ac:dyDescent="0.4"/>
    <row r="8113" hidden="1" x14ac:dyDescent="0.4"/>
    <row r="8114" hidden="1" x14ac:dyDescent="0.4"/>
    <row r="8115" hidden="1" x14ac:dyDescent="0.4"/>
    <row r="8116" hidden="1" x14ac:dyDescent="0.4"/>
    <row r="8117" hidden="1" x14ac:dyDescent="0.4"/>
    <row r="8118" hidden="1" x14ac:dyDescent="0.4"/>
    <row r="8119" hidden="1" x14ac:dyDescent="0.4"/>
    <row r="8120" hidden="1" x14ac:dyDescent="0.4"/>
    <row r="8121" hidden="1" x14ac:dyDescent="0.4"/>
    <row r="8122" hidden="1" x14ac:dyDescent="0.4"/>
    <row r="8123" hidden="1" x14ac:dyDescent="0.4"/>
    <row r="8124" hidden="1" x14ac:dyDescent="0.4"/>
    <row r="8125" hidden="1" x14ac:dyDescent="0.4"/>
    <row r="8126" hidden="1" x14ac:dyDescent="0.4"/>
    <row r="8127" hidden="1" x14ac:dyDescent="0.4"/>
    <row r="8128" hidden="1" x14ac:dyDescent="0.4"/>
    <row r="8129" hidden="1" x14ac:dyDescent="0.4"/>
    <row r="8130" hidden="1" x14ac:dyDescent="0.4"/>
    <row r="8131" hidden="1" x14ac:dyDescent="0.4"/>
    <row r="8132" hidden="1" x14ac:dyDescent="0.4"/>
    <row r="8133" hidden="1" x14ac:dyDescent="0.4"/>
    <row r="8134" hidden="1" x14ac:dyDescent="0.4"/>
    <row r="8135" hidden="1" x14ac:dyDescent="0.4"/>
    <row r="8136" hidden="1" x14ac:dyDescent="0.4"/>
    <row r="8137" hidden="1" x14ac:dyDescent="0.4"/>
    <row r="8138" hidden="1" x14ac:dyDescent="0.4"/>
    <row r="8139" hidden="1" x14ac:dyDescent="0.4"/>
    <row r="8140" hidden="1" x14ac:dyDescent="0.4"/>
    <row r="8141" hidden="1" x14ac:dyDescent="0.4"/>
    <row r="8142" hidden="1" x14ac:dyDescent="0.4"/>
    <row r="8143" hidden="1" x14ac:dyDescent="0.4"/>
    <row r="8144" hidden="1" x14ac:dyDescent="0.4"/>
    <row r="8145" hidden="1" x14ac:dyDescent="0.4"/>
    <row r="8146" hidden="1" x14ac:dyDescent="0.4"/>
    <row r="8147" hidden="1" x14ac:dyDescent="0.4"/>
    <row r="8148" hidden="1" x14ac:dyDescent="0.4"/>
    <row r="8149" hidden="1" x14ac:dyDescent="0.4"/>
    <row r="8150" hidden="1" x14ac:dyDescent="0.4"/>
    <row r="8151" hidden="1" x14ac:dyDescent="0.4"/>
    <row r="8152" hidden="1" x14ac:dyDescent="0.4"/>
    <row r="8153" hidden="1" x14ac:dyDescent="0.4"/>
    <row r="8154" hidden="1" x14ac:dyDescent="0.4"/>
    <row r="8155" hidden="1" x14ac:dyDescent="0.4"/>
    <row r="8156" hidden="1" x14ac:dyDescent="0.4"/>
    <row r="8157" hidden="1" x14ac:dyDescent="0.4"/>
    <row r="8158" hidden="1" x14ac:dyDescent="0.4"/>
    <row r="8159" hidden="1" x14ac:dyDescent="0.4"/>
    <row r="8160" hidden="1" x14ac:dyDescent="0.4"/>
    <row r="8161" hidden="1" x14ac:dyDescent="0.4"/>
    <row r="8162" hidden="1" x14ac:dyDescent="0.4"/>
    <row r="8163" hidden="1" x14ac:dyDescent="0.4"/>
    <row r="8164" hidden="1" x14ac:dyDescent="0.4"/>
    <row r="8165" hidden="1" x14ac:dyDescent="0.4"/>
    <row r="8166" hidden="1" x14ac:dyDescent="0.4"/>
    <row r="8167" hidden="1" x14ac:dyDescent="0.4"/>
    <row r="8168" hidden="1" x14ac:dyDescent="0.4"/>
    <row r="8169" hidden="1" x14ac:dyDescent="0.4"/>
    <row r="8170" hidden="1" x14ac:dyDescent="0.4"/>
    <row r="8171" hidden="1" x14ac:dyDescent="0.4"/>
    <row r="8172" hidden="1" x14ac:dyDescent="0.4"/>
    <row r="8173" hidden="1" x14ac:dyDescent="0.4"/>
    <row r="8174" hidden="1" x14ac:dyDescent="0.4"/>
    <row r="8175" hidden="1" x14ac:dyDescent="0.4"/>
    <row r="8176" hidden="1" x14ac:dyDescent="0.4"/>
    <row r="8177" hidden="1" x14ac:dyDescent="0.4"/>
    <row r="8178" hidden="1" x14ac:dyDescent="0.4"/>
    <row r="8179" hidden="1" x14ac:dyDescent="0.4"/>
    <row r="8180" hidden="1" x14ac:dyDescent="0.4"/>
    <row r="8181" hidden="1" x14ac:dyDescent="0.4"/>
    <row r="8182" hidden="1" x14ac:dyDescent="0.4"/>
    <row r="8183" hidden="1" x14ac:dyDescent="0.4"/>
    <row r="8184" hidden="1" x14ac:dyDescent="0.4"/>
    <row r="8185" hidden="1" x14ac:dyDescent="0.4"/>
    <row r="8186" hidden="1" x14ac:dyDescent="0.4"/>
    <row r="8187" hidden="1" x14ac:dyDescent="0.4"/>
    <row r="8188" hidden="1" x14ac:dyDescent="0.4"/>
    <row r="8189" hidden="1" x14ac:dyDescent="0.4"/>
    <row r="8190" hidden="1" x14ac:dyDescent="0.4"/>
    <row r="8191" hidden="1" x14ac:dyDescent="0.4"/>
    <row r="8192" hidden="1" x14ac:dyDescent="0.4"/>
    <row r="8193" hidden="1" x14ac:dyDescent="0.4"/>
    <row r="8194" hidden="1" x14ac:dyDescent="0.4"/>
    <row r="8195" hidden="1" x14ac:dyDescent="0.4"/>
    <row r="8196" hidden="1" x14ac:dyDescent="0.4"/>
    <row r="8197" hidden="1" x14ac:dyDescent="0.4"/>
    <row r="8198" hidden="1" x14ac:dyDescent="0.4"/>
    <row r="8199" hidden="1" x14ac:dyDescent="0.4"/>
    <row r="8200" hidden="1" x14ac:dyDescent="0.4"/>
    <row r="8201" hidden="1" x14ac:dyDescent="0.4"/>
    <row r="8202" hidden="1" x14ac:dyDescent="0.4"/>
    <row r="8203" hidden="1" x14ac:dyDescent="0.4"/>
    <row r="8204" hidden="1" x14ac:dyDescent="0.4"/>
    <row r="8205" hidden="1" x14ac:dyDescent="0.4"/>
    <row r="8206" hidden="1" x14ac:dyDescent="0.4"/>
    <row r="8207" hidden="1" x14ac:dyDescent="0.4"/>
    <row r="8208" hidden="1" x14ac:dyDescent="0.4"/>
    <row r="8209" hidden="1" x14ac:dyDescent="0.4"/>
    <row r="8210" hidden="1" x14ac:dyDescent="0.4"/>
    <row r="8211" hidden="1" x14ac:dyDescent="0.4"/>
    <row r="8212" hidden="1" x14ac:dyDescent="0.4"/>
    <row r="8213" hidden="1" x14ac:dyDescent="0.4"/>
    <row r="8214" hidden="1" x14ac:dyDescent="0.4"/>
    <row r="8215" hidden="1" x14ac:dyDescent="0.4"/>
    <row r="8216" hidden="1" x14ac:dyDescent="0.4"/>
    <row r="8217" hidden="1" x14ac:dyDescent="0.4"/>
    <row r="8218" hidden="1" x14ac:dyDescent="0.4"/>
    <row r="8219" hidden="1" x14ac:dyDescent="0.4"/>
    <row r="8220" hidden="1" x14ac:dyDescent="0.4"/>
    <row r="8221" hidden="1" x14ac:dyDescent="0.4"/>
    <row r="8222" hidden="1" x14ac:dyDescent="0.4"/>
    <row r="8223" hidden="1" x14ac:dyDescent="0.4"/>
    <row r="8224" hidden="1" x14ac:dyDescent="0.4"/>
    <row r="8225" hidden="1" x14ac:dyDescent="0.4"/>
    <row r="8226" hidden="1" x14ac:dyDescent="0.4"/>
    <row r="8227" hidden="1" x14ac:dyDescent="0.4"/>
    <row r="8228" hidden="1" x14ac:dyDescent="0.4"/>
    <row r="8229" hidden="1" x14ac:dyDescent="0.4"/>
    <row r="8230" hidden="1" x14ac:dyDescent="0.4"/>
    <row r="8231" hidden="1" x14ac:dyDescent="0.4"/>
    <row r="8232" hidden="1" x14ac:dyDescent="0.4"/>
    <row r="8233" hidden="1" x14ac:dyDescent="0.4"/>
    <row r="8234" hidden="1" x14ac:dyDescent="0.4"/>
    <row r="8235" hidden="1" x14ac:dyDescent="0.4"/>
    <row r="8236" hidden="1" x14ac:dyDescent="0.4"/>
    <row r="8237" hidden="1" x14ac:dyDescent="0.4"/>
    <row r="8238" hidden="1" x14ac:dyDescent="0.4"/>
    <row r="8239" hidden="1" x14ac:dyDescent="0.4"/>
    <row r="8240" hidden="1" x14ac:dyDescent="0.4"/>
    <row r="8241" hidden="1" x14ac:dyDescent="0.4"/>
    <row r="8242" hidden="1" x14ac:dyDescent="0.4"/>
    <row r="8243" hidden="1" x14ac:dyDescent="0.4"/>
    <row r="8244" hidden="1" x14ac:dyDescent="0.4"/>
    <row r="8245" hidden="1" x14ac:dyDescent="0.4"/>
    <row r="8246" hidden="1" x14ac:dyDescent="0.4"/>
    <row r="8247" hidden="1" x14ac:dyDescent="0.4"/>
    <row r="8248" hidden="1" x14ac:dyDescent="0.4"/>
    <row r="8249" hidden="1" x14ac:dyDescent="0.4"/>
    <row r="8250" hidden="1" x14ac:dyDescent="0.4"/>
    <row r="8251" hidden="1" x14ac:dyDescent="0.4"/>
    <row r="8252" hidden="1" x14ac:dyDescent="0.4"/>
    <row r="8253" hidden="1" x14ac:dyDescent="0.4"/>
    <row r="8254" hidden="1" x14ac:dyDescent="0.4"/>
    <row r="8255" hidden="1" x14ac:dyDescent="0.4"/>
    <row r="8256" hidden="1" x14ac:dyDescent="0.4"/>
    <row r="8257" hidden="1" x14ac:dyDescent="0.4"/>
    <row r="8258" hidden="1" x14ac:dyDescent="0.4"/>
    <row r="8259" hidden="1" x14ac:dyDescent="0.4"/>
    <row r="8260" hidden="1" x14ac:dyDescent="0.4"/>
    <row r="8261" hidden="1" x14ac:dyDescent="0.4"/>
    <row r="8262" hidden="1" x14ac:dyDescent="0.4"/>
    <row r="8263" hidden="1" x14ac:dyDescent="0.4"/>
    <row r="8264" hidden="1" x14ac:dyDescent="0.4"/>
    <row r="8265" hidden="1" x14ac:dyDescent="0.4"/>
    <row r="8266" hidden="1" x14ac:dyDescent="0.4"/>
    <row r="8267" hidden="1" x14ac:dyDescent="0.4"/>
    <row r="8268" hidden="1" x14ac:dyDescent="0.4"/>
    <row r="8269" hidden="1" x14ac:dyDescent="0.4"/>
    <row r="8270" hidden="1" x14ac:dyDescent="0.4"/>
    <row r="8271" hidden="1" x14ac:dyDescent="0.4"/>
    <row r="8272" hidden="1" x14ac:dyDescent="0.4"/>
    <row r="8273" hidden="1" x14ac:dyDescent="0.4"/>
    <row r="8274" hidden="1" x14ac:dyDescent="0.4"/>
    <row r="8275" hidden="1" x14ac:dyDescent="0.4"/>
    <row r="8276" hidden="1" x14ac:dyDescent="0.4"/>
    <row r="8277" hidden="1" x14ac:dyDescent="0.4"/>
    <row r="8278" hidden="1" x14ac:dyDescent="0.4"/>
    <row r="8279" hidden="1" x14ac:dyDescent="0.4"/>
    <row r="8280" hidden="1" x14ac:dyDescent="0.4"/>
    <row r="8281" hidden="1" x14ac:dyDescent="0.4"/>
    <row r="8282" hidden="1" x14ac:dyDescent="0.4"/>
    <row r="8283" hidden="1" x14ac:dyDescent="0.4"/>
    <row r="8284" hidden="1" x14ac:dyDescent="0.4"/>
    <row r="8285" hidden="1" x14ac:dyDescent="0.4"/>
    <row r="8286" hidden="1" x14ac:dyDescent="0.4"/>
    <row r="8287" hidden="1" x14ac:dyDescent="0.4"/>
    <row r="8288" hidden="1" x14ac:dyDescent="0.4"/>
    <row r="8289" hidden="1" x14ac:dyDescent="0.4"/>
    <row r="8290" hidden="1" x14ac:dyDescent="0.4"/>
    <row r="8291" hidden="1" x14ac:dyDescent="0.4"/>
    <row r="8292" hidden="1" x14ac:dyDescent="0.4"/>
    <row r="8293" hidden="1" x14ac:dyDescent="0.4"/>
    <row r="8294" hidden="1" x14ac:dyDescent="0.4"/>
    <row r="8295" hidden="1" x14ac:dyDescent="0.4"/>
    <row r="8296" hidden="1" x14ac:dyDescent="0.4"/>
    <row r="8297" hidden="1" x14ac:dyDescent="0.4"/>
    <row r="8298" hidden="1" x14ac:dyDescent="0.4"/>
    <row r="8299" hidden="1" x14ac:dyDescent="0.4"/>
    <row r="8300" hidden="1" x14ac:dyDescent="0.4"/>
    <row r="8301" hidden="1" x14ac:dyDescent="0.4"/>
    <row r="8302" hidden="1" x14ac:dyDescent="0.4"/>
    <row r="8303" hidden="1" x14ac:dyDescent="0.4"/>
    <row r="8304" hidden="1" x14ac:dyDescent="0.4"/>
    <row r="8305" hidden="1" x14ac:dyDescent="0.4"/>
    <row r="8306" hidden="1" x14ac:dyDescent="0.4"/>
    <row r="8307" hidden="1" x14ac:dyDescent="0.4"/>
    <row r="8308" hidden="1" x14ac:dyDescent="0.4"/>
    <row r="8309" hidden="1" x14ac:dyDescent="0.4"/>
    <row r="8310" hidden="1" x14ac:dyDescent="0.4"/>
    <row r="8311" hidden="1" x14ac:dyDescent="0.4"/>
    <row r="8312" hidden="1" x14ac:dyDescent="0.4"/>
    <row r="8313" hidden="1" x14ac:dyDescent="0.4"/>
    <row r="8314" hidden="1" x14ac:dyDescent="0.4"/>
    <row r="8315" hidden="1" x14ac:dyDescent="0.4"/>
    <row r="8316" hidden="1" x14ac:dyDescent="0.4"/>
    <row r="8317" hidden="1" x14ac:dyDescent="0.4"/>
    <row r="8318" hidden="1" x14ac:dyDescent="0.4"/>
    <row r="8319" hidden="1" x14ac:dyDescent="0.4"/>
    <row r="8320" hidden="1" x14ac:dyDescent="0.4"/>
    <row r="8321" hidden="1" x14ac:dyDescent="0.4"/>
    <row r="8322" hidden="1" x14ac:dyDescent="0.4"/>
    <row r="8323" hidden="1" x14ac:dyDescent="0.4"/>
    <row r="8324" hidden="1" x14ac:dyDescent="0.4"/>
    <row r="8325" hidden="1" x14ac:dyDescent="0.4"/>
    <row r="8326" hidden="1" x14ac:dyDescent="0.4"/>
    <row r="8327" hidden="1" x14ac:dyDescent="0.4"/>
    <row r="8328" hidden="1" x14ac:dyDescent="0.4"/>
    <row r="8329" hidden="1" x14ac:dyDescent="0.4"/>
    <row r="8330" hidden="1" x14ac:dyDescent="0.4"/>
    <row r="8331" hidden="1" x14ac:dyDescent="0.4"/>
    <row r="8332" hidden="1" x14ac:dyDescent="0.4"/>
    <row r="8333" hidden="1" x14ac:dyDescent="0.4"/>
    <row r="8334" hidden="1" x14ac:dyDescent="0.4"/>
    <row r="8335" hidden="1" x14ac:dyDescent="0.4"/>
    <row r="8336" hidden="1" x14ac:dyDescent="0.4"/>
    <row r="8337" hidden="1" x14ac:dyDescent="0.4"/>
    <row r="8338" hidden="1" x14ac:dyDescent="0.4"/>
    <row r="8339" hidden="1" x14ac:dyDescent="0.4"/>
    <row r="8340" hidden="1" x14ac:dyDescent="0.4"/>
    <row r="8341" hidden="1" x14ac:dyDescent="0.4"/>
    <row r="8342" hidden="1" x14ac:dyDescent="0.4"/>
    <row r="8343" hidden="1" x14ac:dyDescent="0.4"/>
    <row r="8344" hidden="1" x14ac:dyDescent="0.4"/>
    <row r="8345" hidden="1" x14ac:dyDescent="0.4"/>
    <row r="8346" hidden="1" x14ac:dyDescent="0.4"/>
    <row r="8347" hidden="1" x14ac:dyDescent="0.4"/>
    <row r="8348" hidden="1" x14ac:dyDescent="0.4"/>
    <row r="8349" hidden="1" x14ac:dyDescent="0.4"/>
    <row r="8350" hidden="1" x14ac:dyDescent="0.4"/>
    <row r="8351" hidden="1" x14ac:dyDescent="0.4"/>
    <row r="8352" hidden="1" x14ac:dyDescent="0.4"/>
    <row r="8353" hidden="1" x14ac:dyDescent="0.4"/>
    <row r="8354" hidden="1" x14ac:dyDescent="0.4"/>
    <row r="8355" hidden="1" x14ac:dyDescent="0.4"/>
    <row r="8356" hidden="1" x14ac:dyDescent="0.4"/>
    <row r="8357" hidden="1" x14ac:dyDescent="0.4"/>
    <row r="8358" hidden="1" x14ac:dyDescent="0.4"/>
    <row r="8359" hidden="1" x14ac:dyDescent="0.4"/>
    <row r="8360" hidden="1" x14ac:dyDescent="0.4"/>
    <row r="8361" hidden="1" x14ac:dyDescent="0.4"/>
    <row r="8362" hidden="1" x14ac:dyDescent="0.4"/>
    <row r="8363" hidden="1" x14ac:dyDescent="0.4"/>
    <row r="8364" hidden="1" x14ac:dyDescent="0.4"/>
    <row r="8365" hidden="1" x14ac:dyDescent="0.4"/>
    <row r="8366" hidden="1" x14ac:dyDescent="0.4"/>
    <row r="8367" hidden="1" x14ac:dyDescent="0.4"/>
    <row r="8368" hidden="1" x14ac:dyDescent="0.4"/>
    <row r="8369" hidden="1" x14ac:dyDescent="0.4"/>
    <row r="8370" hidden="1" x14ac:dyDescent="0.4"/>
    <row r="8371" hidden="1" x14ac:dyDescent="0.4"/>
    <row r="8372" hidden="1" x14ac:dyDescent="0.4"/>
    <row r="8373" hidden="1" x14ac:dyDescent="0.4"/>
    <row r="8374" hidden="1" x14ac:dyDescent="0.4"/>
    <row r="8375" hidden="1" x14ac:dyDescent="0.4"/>
    <row r="8376" hidden="1" x14ac:dyDescent="0.4"/>
    <row r="8377" hidden="1" x14ac:dyDescent="0.4"/>
    <row r="8378" hidden="1" x14ac:dyDescent="0.4"/>
    <row r="8379" hidden="1" x14ac:dyDescent="0.4"/>
    <row r="8380" hidden="1" x14ac:dyDescent="0.4"/>
    <row r="8381" hidden="1" x14ac:dyDescent="0.4"/>
    <row r="8382" hidden="1" x14ac:dyDescent="0.4"/>
    <row r="8383" hidden="1" x14ac:dyDescent="0.4"/>
    <row r="8384" hidden="1" x14ac:dyDescent="0.4"/>
    <row r="8385" hidden="1" x14ac:dyDescent="0.4"/>
    <row r="8386" hidden="1" x14ac:dyDescent="0.4"/>
    <row r="8387" hidden="1" x14ac:dyDescent="0.4"/>
    <row r="8388" hidden="1" x14ac:dyDescent="0.4"/>
    <row r="8389" hidden="1" x14ac:dyDescent="0.4"/>
    <row r="8390" hidden="1" x14ac:dyDescent="0.4"/>
    <row r="8391" hidden="1" x14ac:dyDescent="0.4"/>
    <row r="8392" hidden="1" x14ac:dyDescent="0.4"/>
    <row r="8393" hidden="1" x14ac:dyDescent="0.4"/>
    <row r="8394" hidden="1" x14ac:dyDescent="0.4"/>
    <row r="8395" hidden="1" x14ac:dyDescent="0.4"/>
    <row r="8396" hidden="1" x14ac:dyDescent="0.4"/>
    <row r="8397" hidden="1" x14ac:dyDescent="0.4"/>
    <row r="8398" hidden="1" x14ac:dyDescent="0.4"/>
    <row r="8399" hidden="1" x14ac:dyDescent="0.4"/>
    <row r="8400" hidden="1" x14ac:dyDescent="0.4"/>
    <row r="8401" hidden="1" x14ac:dyDescent="0.4"/>
    <row r="8402" hidden="1" x14ac:dyDescent="0.4"/>
    <row r="8403" hidden="1" x14ac:dyDescent="0.4"/>
    <row r="8404" hidden="1" x14ac:dyDescent="0.4"/>
    <row r="8405" hidden="1" x14ac:dyDescent="0.4"/>
    <row r="8406" hidden="1" x14ac:dyDescent="0.4"/>
    <row r="8407" hidden="1" x14ac:dyDescent="0.4"/>
    <row r="8408" hidden="1" x14ac:dyDescent="0.4"/>
    <row r="8409" hidden="1" x14ac:dyDescent="0.4"/>
    <row r="8410" hidden="1" x14ac:dyDescent="0.4"/>
    <row r="8411" hidden="1" x14ac:dyDescent="0.4"/>
    <row r="8412" hidden="1" x14ac:dyDescent="0.4"/>
    <row r="8413" hidden="1" x14ac:dyDescent="0.4"/>
    <row r="8414" hidden="1" x14ac:dyDescent="0.4"/>
    <row r="8415" hidden="1" x14ac:dyDescent="0.4"/>
    <row r="8416" hidden="1" x14ac:dyDescent="0.4"/>
    <row r="8417" hidden="1" x14ac:dyDescent="0.4"/>
    <row r="8418" hidden="1" x14ac:dyDescent="0.4"/>
    <row r="8419" hidden="1" x14ac:dyDescent="0.4"/>
    <row r="8420" hidden="1" x14ac:dyDescent="0.4"/>
    <row r="8421" hidden="1" x14ac:dyDescent="0.4"/>
    <row r="8422" hidden="1" x14ac:dyDescent="0.4"/>
    <row r="8423" hidden="1" x14ac:dyDescent="0.4"/>
    <row r="8424" hidden="1" x14ac:dyDescent="0.4"/>
    <row r="8425" hidden="1" x14ac:dyDescent="0.4"/>
    <row r="8426" hidden="1" x14ac:dyDescent="0.4"/>
    <row r="8427" hidden="1" x14ac:dyDescent="0.4"/>
    <row r="8428" hidden="1" x14ac:dyDescent="0.4"/>
    <row r="8429" hidden="1" x14ac:dyDescent="0.4"/>
    <row r="8430" hidden="1" x14ac:dyDescent="0.4"/>
    <row r="8431" hidden="1" x14ac:dyDescent="0.4"/>
    <row r="8432" hidden="1" x14ac:dyDescent="0.4"/>
    <row r="8433" hidden="1" x14ac:dyDescent="0.4"/>
    <row r="8434" hidden="1" x14ac:dyDescent="0.4"/>
    <row r="8435" hidden="1" x14ac:dyDescent="0.4"/>
    <row r="8436" hidden="1" x14ac:dyDescent="0.4"/>
    <row r="8437" hidden="1" x14ac:dyDescent="0.4"/>
    <row r="8438" hidden="1" x14ac:dyDescent="0.4"/>
    <row r="8439" hidden="1" x14ac:dyDescent="0.4"/>
    <row r="8440" hidden="1" x14ac:dyDescent="0.4"/>
    <row r="8441" hidden="1" x14ac:dyDescent="0.4"/>
    <row r="8442" hidden="1" x14ac:dyDescent="0.4"/>
    <row r="8443" hidden="1" x14ac:dyDescent="0.4"/>
    <row r="8444" hidden="1" x14ac:dyDescent="0.4"/>
    <row r="8445" hidden="1" x14ac:dyDescent="0.4"/>
    <row r="8446" hidden="1" x14ac:dyDescent="0.4"/>
    <row r="8447" hidden="1" x14ac:dyDescent="0.4"/>
    <row r="8448" hidden="1" x14ac:dyDescent="0.4"/>
    <row r="8449" hidden="1" x14ac:dyDescent="0.4"/>
    <row r="8450" hidden="1" x14ac:dyDescent="0.4"/>
    <row r="8451" hidden="1" x14ac:dyDescent="0.4"/>
    <row r="8452" hidden="1" x14ac:dyDescent="0.4"/>
    <row r="8453" hidden="1" x14ac:dyDescent="0.4"/>
    <row r="8454" hidden="1" x14ac:dyDescent="0.4"/>
    <row r="8455" hidden="1" x14ac:dyDescent="0.4"/>
    <row r="8456" hidden="1" x14ac:dyDescent="0.4"/>
    <row r="8457" hidden="1" x14ac:dyDescent="0.4"/>
    <row r="8458" hidden="1" x14ac:dyDescent="0.4"/>
    <row r="8459" hidden="1" x14ac:dyDescent="0.4"/>
    <row r="8460" hidden="1" x14ac:dyDescent="0.4"/>
    <row r="8461" hidden="1" x14ac:dyDescent="0.4"/>
    <row r="8462" hidden="1" x14ac:dyDescent="0.4"/>
    <row r="8463" hidden="1" x14ac:dyDescent="0.4"/>
    <row r="8464" hidden="1" x14ac:dyDescent="0.4"/>
    <row r="8465" hidden="1" x14ac:dyDescent="0.4"/>
    <row r="8466" hidden="1" x14ac:dyDescent="0.4"/>
    <row r="8467" hidden="1" x14ac:dyDescent="0.4"/>
    <row r="8468" hidden="1" x14ac:dyDescent="0.4"/>
    <row r="8469" hidden="1" x14ac:dyDescent="0.4"/>
    <row r="8470" hidden="1" x14ac:dyDescent="0.4"/>
    <row r="8471" hidden="1" x14ac:dyDescent="0.4"/>
    <row r="8472" hidden="1" x14ac:dyDescent="0.4"/>
    <row r="8473" hidden="1" x14ac:dyDescent="0.4"/>
    <row r="8474" hidden="1" x14ac:dyDescent="0.4"/>
    <row r="8475" hidden="1" x14ac:dyDescent="0.4"/>
    <row r="8476" hidden="1" x14ac:dyDescent="0.4"/>
    <row r="8477" hidden="1" x14ac:dyDescent="0.4"/>
    <row r="8478" hidden="1" x14ac:dyDescent="0.4"/>
    <row r="8479" hidden="1" x14ac:dyDescent="0.4"/>
    <row r="8480" hidden="1" x14ac:dyDescent="0.4"/>
    <row r="8481" hidden="1" x14ac:dyDescent="0.4"/>
    <row r="8482" hidden="1" x14ac:dyDescent="0.4"/>
    <row r="8483" hidden="1" x14ac:dyDescent="0.4"/>
    <row r="8484" hidden="1" x14ac:dyDescent="0.4"/>
    <row r="8485" hidden="1" x14ac:dyDescent="0.4"/>
    <row r="8486" hidden="1" x14ac:dyDescent="0.4"/>
    <row r="8487" hidden="1" x14ac:dyDescent="0.4"/>
    <row r="8488" hidden="1" x14ac:dyDescent="0.4"/>
    <row r="8489" hidden="1" x14ac:dyDescent="0.4"/>
    <row r="8490" hidden="1" x14ac:dyDescent="0.4"/>
    <row r="8491" hidden="1" x14ac:dyDescent="0.4"/>
    <row r="8492" hidden="1" x14ac:dyDescent="0.4"/>
    <row r="8493" hidden="1" x14ac:dyDescent="0.4"/>
    <row r="8494" hidden="1" x14ac:dyDescent="0.4"/>
    <row r="8495" hidden="1" x14ac:dyDescent="0.4"/>
    <row r="8496" hidden="1" x14ac:dyDescent="0.4"/>
    <row r="8497" hidden="1" x14ac:dyDescent="0.4"/>
    <row r="8498" hidden="1" x14ac:dyDescent="0.4"/>
    <row r="8499" hidden="1" x14ac:dyDescent="0.4"/>
    <row r="8500" hidden="1" x14ac:dyDescent="0.4"/>
    <row r="8501" hidden="1" x14ac:dyDescent="0.4"/>
    <row r="8502" hidden="1" x14ac:dyDescent="0.4"/>
    <row r="8503" hidden="1" x14ac:dyDescent="0.4"/>
    <row r="8504" hidden="1" x14ac:dyDescent="0.4"/>
    <row r="8505" hidden="1" x14ac:dyDescent="0.4"/>
    <row r="8506" hidden="1" x14ac:dyDescent="0.4"/>
    <row r="8507" hidden="1" x14ac:dyDescent="0.4"/>
    <row r="8508" hidden="1" x14ac:dyDescent="0.4"/>
    <row r="8509" hidden="1" x14ac:dyDescent="0.4"/>
    <row r="8510" hidden="1" x14ac:dyDescent="0.4"/>
    <row r="8511" hidden="1" x14ac:dyDescent="0.4"/>
    <row r="8512" hidden="1" x14ac:dyDescent="0.4"/>
    <row r="8513" hidden="1" x14ac:dyDescent="0.4"/>
    <row r="8514" hidden="1" x14ac:dyDescent="0.4"/>
    <row r="8515" hidden="1" x14ac:dyDescent="0.4"/>
    <row r="8516" hidden="1" x14ac:dyDescent="0.4"/>
    <row r="8517" hidden="1" x14ac:dyDescent="0.4"/>
    <row r="8518" hidden="1" x14ac:dyDescent="0.4"/>
    <row r="8519" hidden="1" x14ac:dyDescent="0.4"/>
    <row r="8520" hidden="1" x14ac:dyDescent="0.4"/>
    <row r="8521" hidden="1" x14ac:dyDescent="0.4"/>
    <row r="8522" hidden="1" x14ac:dyDescent="0.4"/>
    <row r="8523" hidden="1" x14ac:dyDescent="0.4"/>
    <row r="8524" hidden="1" x14ac:dyDescent="0.4"/>
    <row r="8525" hidden="1" x14ac:dyDescent="0.4"/>
    <row r="8526" hidden="1" x14ac:dyDescent="0.4"/>
    <row r="8527" hidden="1" x14ac:dyDescent="0.4"/>
    <row r="8528" hidden="1" x14ac:dyDescent="0.4"/>
    <row r="8529" hidden="1" x14ac:dyDescent="0.4"/>
    <row r="8530" hidden="1" x14ac:dyDescent="0.4"/>
    <row r="8531" hidden="1" x14ac:dyDescent="0.4"/>
    <row r="8532" hidden="1" x14ac:dyDescent="0.4"/>
    <row r="8533" hidden="1" x14ac:dyDescent="0.4"/>
    <row r="8534" hidden="1" x14ac:dyDescent="0.4"/>
    <row r="8535" hidden="1" x14ac:dyDescent="0.4"/>
    <row r="8536" hidden="1" x14ac:dyDescent="0.4"/>
    <row r="8537" hidden="1" x14ac:dyDescent="0.4"/>
    <row r="8538" hidden="1" x14ac:dyDescent="0.4"/>
    <row r="8539" hidden="1" x14ac:dyDescent="0.4"/>
    <row r="8540" hidden="1" x14ac:dyDescent="0.4"/>
    <row r="8541" hidden="1" x14ac:dyDescent="0.4"/>
    <row r="8542" hidden="1" x14ac:dyDescent="0.4"/>
    <row r="8543" hidden="1" x14ac:dyDescent="0.4"/>
    <row r="8544" hidden="1" x14ac:dyDescent="0.4"/>
    <row r="8545" hidden="1" x14ac:dyDescent="0.4"/>
    <row r="8546" hidden="1" x14ac:dyDescent="0.4"/>
    <row r="8547" hidden="1" x14ac:dyDescent="0.4"/>
    <row r="8548" hidden="1" x14ac:dyDescent="0.4"/>
    <row r="8549" hidden="1" x14ac:dyDescent="0.4"/>
    <row r="8550" hidden="1" x14ac:dyDescent="0.4"/>
    <row r="8551" hidden="1" x14ac:dyDescent="0.4"/>
    <row r="8552" hidden="1" x14ac:dyDescent="0.4"/>
    <row r="8553" hidden="1" x14ac:dyDescent="0.4"/>
    <row r="8554" hidden="1" x14ac:dyDescent="0.4"/>
    <row r="8555" hidden="1" x14ac:dyDescent="0.4"/>
    <row r="8556" hidden="1" x14ac:dyDescent="0.4"/>
    <row r="8557" hidden="1" x14ac:dyDescent="0.4"/>
    <row r="8558" hidden="1" x14ac:dyDescent="0.4"/>
    <row r="8559" hidden="1" x14ac:dyDescent="0.4"/>
    <row r="8560" hidden="1" x14ac:dyDescent="0.4"/>
    <row r="8561" hidden="1" x14ac:dyDescent="0.4"/>
    <row r="8562" hidden="1" x14ac:dyDescent="0.4"/>
    <row r="8563" hidden="1" x14ac:dyDescent="0.4"/>
    <row r="8564" hidden="1" x14ac:dyDescent="0.4"/>
    <row r="8565" hidden="1" x14ac:dyDescent="0.4"/>
    <row r="8566" hidden="1" x14ac:dyDescent="0.4"/>
    <row r="8567" hidden="1" x14ac:dyDescent="0.4"/>
    <row r="8568" hidden="1" x14ac:dyDescent="0.4"/>
    <row r="8569" hidden="1" x14ac:dyDescent="0.4"/>
    <row r="8570" hidden="1" x14ac:dyDescent="0.4"/>
    <row r="8571" hidden="1" x14ac:dyDescent="0.4"/>
    <row r="8572" hidden="1" x14ac:dyDescent="0.4"/>
    <row r="8573" hidden="1" x14ac:dyDescent="0.4"/>
    <row r="8574" hidden="1" x14ac:dyDescent="0.4"/>
    <row r="8575" hidden="1" x14ac:dyDescent="0.4"/>
    <row r="8576" hidden="1" x14ac:dyDescent="0.4"/>
    <row r="8577" hidden="1" x14ac:dyDescent="0.4"/>
    <row r="8578" hidden="1" x14ac:dyDescent="0.4"/>
    <row r="8579" hidden="1" x14ac:dyDescent="0.4"/>
    <row r="8580" hidden="1" x14ac:dyDescent="0.4"/>
    <row r="8581" hidden="1" x14ac:dyDescent="0.4"/>
    <row r="8582" hidden="1" x14ac:dyDescent="0.4"/>
    <row r="8583" hidden="1" x14ac:dyDescent="0.4"/>
    <row r="8584" hidden="1" x14ac:dyDescent="0.4"/>
    <row r="8585" hidden="1" x14ac:dyDescent="0.4"/>
    <row r="8586" hidden="1" x14ac:dyDescent="0.4"/>
    <row r="8587" hidden="1" x14ac:dyDescent="0.4"/>
    <row r="8588" hidden="1" x14ac:dyDescent="0.4"/>
    <row r="8589" hidden="1" x14ac:dyDescent="0.4"/>
    <row r="8590" hidden="1" x14ac:dyDescent="0.4"/>
    <row r="8591" hidden="1" x14ac:dyDescent="0.4"/>
    <row r="8592" hidden="1" x14ac:dyDescent="0.4"/>
    <row r="8593" hidden="1" x14ac:dyDescent="0.4"/>
    <row r="8594" hidden="1" x14ac:dyDescent="0.4"/>
    <row r="8595" hidden="1" x14ac:dyDescent="0.4"/>
    <row r="8596" hidden="1" x14ac:dyDescent="0.4"/>
    <row r="8597" hidden="1" x14ac:dyDescent="0.4"/>
    <row r="8598" hidden="1" x14ac:dyDescent="0.4"/>
    <row r="8599" hidden="1" x14ac:dyDescent="0.4"/>
    <row r="8600" hidden="1" x14ac:dyDescent="0.4"/>
    <row r="8601" hidden="1" x14ac:dyDescent="0.4"/>
    <row r="8602" hidden="1" x14ac:dyDescent="0.4"/>
    <row r="8603" hidden="1" x14ac:dyDescent="0.4"/>
    <row r="8604" hidden="1" x14ac:dyDescent="0.4"/>
    <row r="8605" hidden="1" x14ac:dyDescent="0.4"/>
    <row r="8606" hidden="1" x14ac:dyDescent="0.4"/>
    <row r="8607" hidden="1" x14ac:dyDescent="0.4"/>
    <row r="8608" hidden="1" x14ac:dyDescent="0.4"/>
    <row r="8609" hidden="1" x14ac:dyDescent="0.4"/>
    <row r="8610" hidden="1" x14ac:dyDescent="0.4"/>
    <row r="8611" hidden="1" x14ac:dyDescent="0.4"/>
    <row r="8612" hidden="1" x14ac:dyDescent="0.4"/>
    <row r="8613" hidden="1" x14ac:dyDescent="0.4"/>
    <row r="8614" hidden="1" x14ac:dyDescent="0.4"/>
    <row r="8615" hidden="1" x14ac:dyDescent="0.4"/>
    <row r="8616" hidden="1" x14ac:dyDescent="0.4"/>
    <row r="8617" hidden="1" x14ac:dyDescent="0.4"/>
    <row r="8618" hidden="1" x14ac:dyDescent="0.4"/>
    <row r="8619" hidden="1" x14ac:dyDescent="0.4"/>
    <row r="8620" hidden="1" x14ac:dyDescent="0.4"/>
    <row r="8621" hidden="1" x14ac:dyDescent="0.4"/>
    <row r="8622" hidden="1" x14ac:dyDescent="0.4"/>
    <row r="8623" hidden="1" x14ac:dyDescent="0.4"/>
    <row r="8624" hidden="1" x14ac:dyDescent="0.4"/>
    <row r="8625" hidden="1" x14ac:dyDescent="0.4"/>
    <row r="8626" hidden="1" x14ac:dyDescent="0.4"/>
    <row r="8627" hidden="1" x14ac:dyDescent="0.4"/>
    <row r="8628" hidden="1" x14ac:dyDescent="0.4"/>
    <row r="8629" hidden="1" x14ac:dyDescent="0.4"/>
    <row r="8630" hidden="1" x14ac:dyDescent="0.4"/>
    <row r="8631" hidden="1" x14ac:dyDescent="0.4"/>
    <row r="8632" hidden="1" x14ac:dyDescent="0.4"/>
    <row r="8633" hidden="1" x14ac:dyDescent="0.4"/>
    <row r="8634" hidden="1" x14ac:dyDescent="0.4"/>
    <row r="8635" hidden="1" x14ac:dyDescent="0.4"/>
    <row r="8636" hidden="1" x14ac:dyDescent="0.4"/>
    <row r="8637" hidden="1" x14ac:dyDescent="0.4"/>
    <row r="8638" hidden="1" x14ac:dyDescent="0.4"/>
    <row r="8639" hidden="1" x14ac:dyDescent="0.4"/>
    <row r="8640" hidden="1" x14ac:dyDescent="0.4"/>
    <row r="8641" hidden="1" x14ac:dyDescent="0.4"/>
    <row r="8642" hidden="1" x14ac:dyDescent="0.4"/>
    <row r="8643" hidden="1" x14ac:dyDescent="0.4"/>
    <row r="8644" hidden="1" x14ac:dyDescent="0.4"/>
    <row r="8645" hidden="1" x14ac:dyDescent="0.4"/>
    <row r="8646" hidden="1" x14ac:dyDescent="0.4"/>
    <row r="8647" hidden="1" x14ac:dyDescent="0.4"/>
    <row r="8648" hidden="1" x14ac:dyDescent="0.4"/>
    <row r="8649" hidden="1" x14ac:dyDescent="0.4"/>
    <row r="8650" hidden="1" x14ac:dyDescent="0.4"/>
    <row r="8651" hidden="1" x14ac:dyDescent="0.4"/>
    <row r="8652" hidden="1" x14ac:dyDescent="0.4"/>
    <row r="8653" hidden="1" x14ac:dyDescent="0.4"/>
    <row r="8654" hidden="1" x14ac:dyDescent="0.4"/>
    <row r="8655" hidden="1" x14ac:dyDescent="0.4"/>
    <row r="8656" hidden="1" x14ac:dyDescent="0.4"/>
    <row r="8657" hidden="1" x14ac:dyDescent="0.4"/>
    <row r="8658" hidden="1" x14ac:dyDescent="0.4"/>
    <row r="8659" hidden="1" x14ac:dyDescent="0.4"/>
    <row r="8660" hidden="1" x14ac:dyDescent="0.4"/>
    <row r="8661" hidden="1" x14ac:dyDescent="0.4"/>
    <row r="8662" hidden="1" x14ac:dyDescent="0.4"/>
    <row r="8663" hidden="1" x14ac:dyDescent="0.4"/>
    <row r="8664" hidden="1" x14ac:dyDescent="0.4"/>
    <row r="8665" hidden="1" x14ac:dyDescent="0.4"/>
    <row r="8666" hidden="1" x14ac:dyDescent="0.4"/>
    <row r="8667" hidden="1" x14ac:dyDescent="0.4"/>
    <row r="8668" hidden="1" x14ac:dyDescent="0.4"/>
    <row r="8669" hidden="1" x14ac:dyDescent="0.4"/>
    <row r="8670" hidden="1" x14ac:dyDescent="0.4"/>
    <row r="8671" hidden="1" x14ac:dyDescent="0.4"/>
    <row r="8672" hidden="1" x14ac:dyDescent="0.4"/>
    <row r="8673" hidden="1" x14ac:dyDescent="0.4"/>
    <row r="8674" hidden="1" x14ac:dyDescent="0.4"/>
    <row r="8675" hidden="1" x14ac:dyDescent="0.4"/>
    <row r="8676" hidden="1" x14ac:dyDescent="0.4"/>
    <row r="8677" hidden="1" x14ac:dyDescent="0.4"/>
    <row r="8678" hidden="1" x14ac:dyDescent="0.4"/>
    <row r="8679" hidden="1" x14ac:dyDescent="0.4"/>
    <row r="8680" hidden="1" x14ac:dyDescent="0.4"/>
    <row r="8681" hidden="1" x14ac:dyDescent="0.4"/>
    <row r="8682" hidden="1" x14ac:dyDescent="0.4"/>
    <row r="8683" hidden="1" x14ac:dyDescent="0.4"/>
    <row r="8684" hidden="1" x14ac:dyDescent="0.4"/>
    <row r="8685" hidden="1" x14ac:dyDescent="0.4"/>
    <row r="8686" hidden="1" x14ac:dyDescent="0.4"/>
    <row r="8687" hidden="1" x14ac:dyDescent="0.4"/>
    <row r="8688" hidden="1" x14ac:dyDescent="0.4"/>
    <row r="8689" hidden="1" x14ac:dyDescent="0.4"/>
    <row r="8690" hidden="1" x14ac:dyDescent="0.4"/>
    <row r="8691" hidden="1" x14ac:dyDescent="0.4"/>
    <row r="8692" hidden="1" x14ac:dyDescent="0.4"/>
    <row r="8693" hidden="1" x14ac:dyDescent="0.4"/>
    <row r="8694" hidden="1" x14ac:dyDescent="0.4"/>
    <row r="8695" hidden="1" x14ac:dyDescent="0.4"/>
    <row r="8696" hidden="1" x14ac:dyDescent="0.4"/>
    <row r="8697" hidden="1" x14ac:dyDescent="0.4"/>
    <row r="8698" hidden="1" x14ac:dyDescent="0.4"/>
    <row r="8699" hidden="1" x14ac:dyDescent="0.4"/>
    <row r="8700" hidden="1" x14ac:dyDescent="0.4"/>
    <row r="8701" hidden="1" x14ac:dyDescent="0.4"/>
    <row r="8702" hidden="1" x14ac:dyDescent="0.4"/>
    <row r="8703" hidden="1" x14ac:dyDescent="0.4"/>
    <row r="8704" hidden="1" x14ac:dyDescent="0.4"/>
    <row r="8705" hidden="1" x14ac:dyDescent="0.4"/>
    <row r="8706" hidden="1" x14ac:dyDescent="0.4"/>
    <row r="8707" hidden="1" x14ac:dyDescent="0.4"/>
    <row r="8708" hidden="1" x14ac:dyDescent="0.4"/>
    <row r="8709" hidden="1" x14ac:dyDescent="0.4"/>
    <row r="8710" hidden="1" x14ac:dyDescent="0.4"/>
    <row r="8711" hidden="1" x14ac:dyDescent="0.4"/>
    <row r="8712" hidden="1" x14ac:dyDescent="0.4"/>
    <row r="8713" hidden="1" x14ac:dyDescent="0.4"/>
    <row r="8714" hidden="1" x14ac:dyDescent="0.4"/>
    <row r="8715" hidden="1" x14ac:dyDescent="0.4"/>
    <row r="8716" hidden="1" x14ac:dyDescent="0.4"/>
    <row r="8717" hidden="1" x14ac:dyDescent="0.4"/>
    <row r="8718" hidden="1" x14ac:dyDescent="0.4"/>
    <row r="8719" hidden="1" x14ac:dyDescent="0.4"/>
    <row r="8720" hidden="1" x14ac:dyDescent="0.4"/>
    <row r="8721" hidden="1" x14ac:dyDescent="0.4"/>
    <row r="8722" hidden="1" x14ac:dyDescent="0.4"/>
    <row r="8723" hidden="1" x14ac:dyDescent="0.4"/>
    <row r="8724" hidden="1" x14ac:dyDescent="0.4"/>
    <row r="8725" hidden="1" x14ac:dyDescent="0.4"/>
    <row r="8726" hidden="1" x14ac:dyDescent="0.4"/>
    <row r="8727" hidden="1" x14ac:dyDescent="0.4"/>
    <row r="8728" hidden="1" x14ac:dyDescent="0.4"/>
    <row r="8729" hidden="1" x14ac:dyDescent="0.4"/>
    <row r="8730" hidden="1" x14ac:dyDescent="0.4"/>
    <row r="8731" hidden="1" x14ac:dyDescent="0.4"/>
    <row r="8732" hidden="1" x14ac:dyDescent="0.4"/>
    <row r="8733" hidden="1" x14ac:dyDescent="0.4"/>
    <row r="8734" hidden="1" x14ac:dyDescent="0.4"/>
    <row r="8735" hidden="1" x14ac:dyDescent="0.4"/>
    <row r="8736" hidden="1" x14ac:dyDescent="0.4"/>
    <row r="8737" hidden="1" x14ac:dyDescent="0.4"/>
    <row r="8738" hidden="1" x14ac:dyDescent="0.4"/>
    <row r="8739" hidden="1" x14ac:dyDescent="0.4"/>
    <row r="8740" hidden="1" x14ac:dyDescent="0.4"/>
    <row r="8741" hidden="1" x14ac:dyDescent="0.4"/>
    <row r="8742" hidden="1" x14ac:dyDescent="0.4"/>
    <row r="8743" hidden="1" x14ac:dyDescent="0.4"/>
    <row r="8744" hidden="1" x14ac:dyDescent="0.4"/>
    <row r="8745" hidden="1" x14ac:dyDescent="0.4"/>
    <row r="8746" hidden="1" x14ac:dyDescent="0.4"/>
    <row r="8747" hidden="1" x14ac:dyDescent="0.4"/>
    <row r="8748" hidden="1" x14ac:dyDescent="0.4"/>
    <row r="8749" hidden="1" x14ac:dyDescent="0.4"/>
    <row r="8750" hidden="1" x14ac:dyDescent="0.4"/>
    <row r="8751" hidden="1" x14ac:dyDescent="0.4"/>
    <row r="8752" hidden="1" x14ac:dyDescent="0.4"/>
    <row r="8753" hidden="1" x14ac:dyDescent="0.4"/>
    <row r="8754" hidden="1" x14ac:dyDescent="0.4"/>
    <row r="8755" hidden="1" x14ac:dyDescent="0.4"/>
    <row r="8756" hidden="1" x14ac:dyDescent="0.4"/>
    <row r="8757" hidden="1" x14ac:dyDescent="0.4"/>
    <row r="8758" hidden="1" x14ac:dyDescent="0.4"/>
    <row r="8759" hidden="1" x14ac:dyDescent="0.4"/>
    <row r="8760" hidden="1" x14ac:dyDescent="0.4"/>
    <row r="8761" hidden="1" x14ac:dyDescent="0.4"/>
    <row r="8762" hidden="1" x14ac:dyDescent="0.4"/>
    <row r="8763" hidden="1" x14ac:dyDescent="0.4"/>
    <row r="8764" hidden="1" x14ac:dyDescent="0.4"/>
    <row r="8765" hidden="1" x14ac:dyDescent="0.4"/>
    <row r="8766" hidden="1" x14ac:dyDescent="0.4"/>
    <row r="8767" hidden="1" x14ac:dyDescent="0.4"/>
    <row r="8768" hidden="1" x14ac:dyDescent="0.4"/>
    <row r="8769" hidden="1" x14ac:dyDescent="0.4"/>
    <row r="8770" hidden="1" x14ac:dyDescent="0.4"/>
    <row r="8771" hidden="1" x14ac:dyDescent="0.4"/>
    <row r="8772" hidden="1" x14ac:dyDescent="0.4"/>
    <row r="8773" hidden="1" x14ac:dyDescent="0.4"/>
    <row r="8774" hidden="1" x14ac:dyDescent="0.4"/>
    <row r="8775" hidden="1" x14ac:dyDescent="0.4"/>
    <row r="8776" hidden="1" x14ac:dyDescent="0.4"/>
    <row r="8777" hidden="1" x14ac:dyDescent="0.4"/>
    <row r="8778" hidden="1" x14ac:dyDescent="0.4"/>
    <row r="8779" hidden="1" x14ac:dyDescent="0.4"/>
    <row r="8780" hidden="1" x14ac:dyDescent="0.4"/>
    <row r="8781" hidden="1" x14ac:dyDescent="0.4"/>
    <row r="8782" hidden="1" x14ac:dyDescent="0.4"/>
    <row r="8783" hidden="1" x14ac:dyDescent="0.4"/>
    <row r="8784" hidden="1" x14ac:dyDescent="0.4"/>
    <row r="8785" hidden="1" x14ac:dyDescent="0.4"/>
    <row r="8786" hidden="1" x14ac:dyDescent="0.4"/>
    <row r="8787" hidden="1" x14ac:dyDescent="0.4"/>
    <row r="8788" hidden="1" x14ac:dyDescent="0.4"/>
    <row r="8789" hidden="1" x14ac:dyDescent="0.4"/>
    <row r="8790" hidden="1" x14ac:dyDescent="0.4"/>
    <row r="8791" hidden="1" x14ac:dyDescent="0.4"/>
    <row r="8792" hidden="1" x14ac:dyDescent="0.4"/>
    <row r="8793" hidden="1" x14ac:dyDescent="0.4"/>
    <row r="8794" hidden="1" x14ac:dyDescent="0.4"/>
    <row r="8795" hidden="1" x14ac:dyDescent="0.4"/>
    <row r="8796" hidden="1" x14ac:dyDescent="0.4"/>
    <row r="8797" hidden="1" x14ac:dyDescent="0.4"/>
    <row r="8798" hidden="1" x14ac:dyDescent="0.4"/>
    <row r="8799" hidden="1" x14ac:dyDescent="0.4"/>
    <row r="8800" hidden="1" x14ac:dyDescent="0.4"/>
    <row r="8801" hidden="1" x14ac:dyDescent="0.4"/>
    <row r="8802" hidden="1" x14ac:dyDescent="0.4"/>
    <row r="8803" hidden="1" x14ac:dyDescent="0.4"/>
    <row r="8804" hidden="1" x14ac:dyDescent="0.4"/>
    <row r="8805" hidden="1" x14ac:dyDescent="0.4"/>
    <row r="8806" hidden="1" x14ac:dyDescent="0.4"/>
    <row r="8807" hidden="1" x14ac:dyDescent="0.4"/>
    <row r="8808" hidden="1" x14ac:dyDescent="0.4"/>
    <row r="8809" hidden="1" x14ac:dyDescent="0.4"/>
    <row r="8810" hidden="1" x14ac:dyDescent="0.4"/>
    <row r="8811" hidden="1" x14ac:dyDescent="0.4"/>
    <row r="8812" hidden="1" x14ac:dyDescent="0.4"/>
    <row r="8813" hidden="1" x14ac:dyDescent="0.4"/>
    <row r="8814" hidden="1" x14ac:dyDescent="0.4"/>
    <row r="8815" hidden="1" x14ac:dyDescent="0.4"/>
    <row r="8816" hidden="1" x14ac:dyDescent="0.4"/>
    <row r="8817" hidden="1" x14ac:dyDescent="0.4"/>
    <row r="8818" hidden="1" x14ac:dyDescent="0.4"/>
    <row r="8819" hidden="1" x14ac:dyDescent="0.4"/>
    <row r="8820" hidden="1" x14ac:dyDescent="0.4"/>
    <row r="8821" hidden="1" x14ac:dyDescent="0.4"/>
    <row r="8822" hidden="1" x14ac:dyDescent="0.4"/>
    <row r="8823" hidden="1" x14ac:dyDescent="0.4"/>
    <row r="8824" hidden="1" x14ac:dyDescent="0.4"/>
    <row r="8825" hidden="1" x14ac:dyDescent="0.4"/>
    <row r="8826" hidden="1" x14ac:dyDescent="0.4"/>
    <row r="8827" hidden="1" x14ac:dyDescent="0.4"/>
    <row r="8828" hidden="1" x14ac:dyDescent="0.4"/>
    <row r="8829" hidden="1" x14ac:dyDescent="0.4"/>
    <row r="8830" hidden="1" x14ac:dyDescent="0.4"/>
    <row r="8831" hidden="1" x14ac:dyDescent="0.4"/>
    <row r="8832" hidden="1" x14ac:dyDescent="0.4"/>
    <row r="8833" hidden="1" x14ac:dyDescent="0.4"/>
    <row r="8834" hidden="1" x14ac:dyDescent="0.4"/>
    <row r="8835" hidden="1" x14ac:dyDescent="0.4"/>
    <row r="8836" hidden="1" x14ac:dyDescent="0.4"/>
    <row r="8837" hidden="1" x14ac:dyDescent="0.4"/>
    <row r="8838" hidden="1" x14ac:dyDescent="0.4"/>
    <row r="8839" hidden="1" x14ac:dyDescent="0.4"/>
    <row r="8840" hidden="1" x14ac:dyDescent="0.4"/>
    <row r="8841" hidden="1" x14ac:dyDescent="0.4"/>
    <row r="8842" hidden="1" x14ac:dyDescent="0.4"/>
    <row r="8843" hidden="1" x14ac:dyDescent="0.4"/>
    <row r="8844" hidden="1" x14ac:dyDescent="0.4"/>
    <row r="8845" hidden="1" x14ac:dyDescent="0.4"/>
    <row r="8846" hidden="1" x14ac:dyDescent="0.4"/>
    <row r="8847" hidden="1" x14ac:dyDescent="0.4"/>
    <row r="8848" hidden="1" x14ac:dyDescent="0.4"/>
    <row r="8849" hidden="1" x14ac:dyDescent="0.4"/>
    <row r="8850" hidden="1" x14ac:dyDescent="0.4"/>
    <row r="8851" hidden="1" x14ac:dyDescent="0.4"/>
    <row r="8852" hidden="1" x14ac:dyDescent="0.4"/>
    <row r="8853" hidden="1" x14ac:dyDescent="0.4"/>
    <row r="8854" hidden="1" x14ac:dyDescent="0.4"/>
    <row r="8855" hidden="1" x14ac:dyDescent="0.4"/>
    <row r="8856" hidden="1" x14ac:dyDescent="0.4"/>
    <row r="8857" hidden="1" x14ac:dyDescent="0.4"/>
    <row r="8858" hidden="1" x14ac:dyDescent="0.4"/>
    <row r="8859" hidden="1" x14ac:dyDescent="0.4"/>
    <row r="8860" hidden="1" x14ac:dyDescent="0.4"/>
    <row r="8861" hidden="1" x14ac:dyDescent="0.4"/>
    <row r="8862" hidden="1" x14ac:dyDescent="0.4"/>
    <row r="8863" hidden="1" x14ac:dyDescent="0.4"/>
    <row r="8864" hidden="1" x14ac:dyDescent="0.4"/>
    <row r="8865" hidden="1" x14ac:dyDescent="0.4"/>
    <row r="8866" hidden="1" x14ac:dyDescent="0.4"/>
    <row r="8867" hidden="1" x14ac:dyDescent="0.4"/>
    <row r="8868" hidden="1" x14ac:dyDescent="0.4"/>
    <row r="8869" hidden="1" x14ac:dyDescent="0.4"/>
    <row r="8870" hidden="1" x14ac:dyDescent="0.4"/>
    <row r="8871" hidden="1" x14ac:dyDescent="0.4"/>
    <row r="8872" hidden="1" x14ac:dyDescent="0.4"/>
    <row r="8873" hidden="1" x14ac:dyDescent="0.4"/>
    <row r="8874" hidden="1" x14ac:dyDescent="0.4"/>
    <row r="8875" hidden="1" x14ac:dyDescent="0.4"/>
    <row r="8876" hidden="1" x14ac:dyDescent="0.4"/>
    <row r="8877" hidden="1" x14ac:dyDescent="0.4"/>
    <row r="8878" hidden="1" x14ac:dyDescent="0.4"/>
    <row r="8879" hidden="1" x14ac:dyDescent="0.4"/>
    <row r="8880" hidden="1" x14ac:dyDescent="0.4"/>
    <row r="8881" hidden="1" x14ac:dyDescent="0.4"/>
    <row r="8882" hidden="1" x14ac:dyDescent="0.4"/>
    <row r="8883" hidden="1" x14ac:dyDescent="0.4"/>
    <row r="8884" hidden="1" x14ac:dyDescent="0.4"/>
    <row r="8885" hidden="1" x14ac:dyDescent="0.4"/>
    <row r="8886" hidden="1" x14ac:dyDescent="0.4"/>
    <row r="8887" hidden="1" x14ac:dyDescent="0.4"/>
    <row r="8888" hidden="1" x14ac:dyDescent="0.4"/>
    <row r="8889" hidden="1" x14ac:dyDescent="0.4"/>
    <row r="8890" hidden="1" x14ac:dyDescent="0.4"/>
    <row r="8891" hidden="1" x14ac:dyDescent="0.4"/>
    <row r="8892" hidden="1" x14ac:dyDescent="0.4"/>
    <row r="8893" hidden="1" x14ac:dyDescent="0.4"/>
    <row r="8894" hidden="1" x14ac:dyDescent="0.4"/>
    <row r="8895" hidden="1" x14ac:dyDescent="0.4"/>
    <row r="8896" hidden="1" x14ac:dyDescent="0.4"/>
    <row r="8897" hidden="1" x14ac:dyDescent="0.4"/>
    <row r="8898" hidden="1" x14ac:dyDescent="0.4"/>
    <row r="8899" hidden="1" x14ac:dyDescent="0.4"/>
    <row r="8900" hidden="1" x14ac:dyDescent="0.4"/>
    <row r="8901" hidden="1" x14ac:dyDescent="0.4"/>
    <row r="8902" hidden="1" x14ac:dyDescent="0.4"/>
    <row r="8903" hidden="1" x14ac:dyDescent="0.4"/>
    <row r="8904" hidden="1" x14ac:dyDescent="0.4"/>
    <row r="8905" hidden="1" x14ac:dyDescent="0.4"/>
    <row r="8906" hidden="1" x14ac:dyDescent="0.4"/>
    <row r="8907" hidden="1" x14ac:dyDescent="0.4"/>
    <row r="8908" hidden="1" x14ac:dyDescent="0.4"/>
    <row r="8909" hidden="1" x14ac:dyDescent="0.4"/>
    <row r="8910" hidden="1" x14ac:dyDescent="0.4"/>
    <row r="8911" hidden="1" x14ac:dyDescent="0.4"/>
    <row r="8912" hidden="1" x14ac:dyDescent="0.4"/>
    <row r="8913" hidden="1" x14ac:dyDescent="0.4"/>
    <row r="8914" hidden="1" x14ac:dyDescent="0.4"/>
    <row r="8915" hidden="1" x14ac:dyDescent="0.4"/>
    <row r="8916" hidden="1" x14ac:dyDescent="0.4"/>
    <row r="8917" hidden="1" x14ac:dyDescent="0.4"/>
    <row r="8918" hidden="1" x14ac:dyDescent="0.4"/>
    <row r="8919" hidden="1" x14ac:dyDescent="0.4"/>
    <row r="8920" hidden="1" x14ac:dyDescent="0.4"/>
    <row r="8921" hidden="1" x14ac:dyDescent="0.4"/>
    <row r="8922" hidden="1" x14ac:dyDescent="0.4"/>
    <row r="8923" hidden="1" x14ac:dyDescent="0.4"/>
    <row r="8924" hidden="1" x14ac:dyDescent="0.4"/>
    <row r="8925" hidden="1" x14ac:dyDescent="0.4"/>
    <row r="8926" hidden="1" x14ac:dyDescent="0.4"/>
    <row r="8927" hidden="1" x14ac:dyDescent="0.4"/>
    <row r="8928" hidden="1" x14ac:dyDescent="0.4"/>
    <row r="8929" hidden="1" x14ac:dyDescent="0.4"/>
    <row r="8930" hidden="1" x14ac:dyDescent="0.4"/>
    <row r="8931" hidden="1" x14ac:dyDescent="0.4"/>
    <row r="8932" hidden="1" x14ac:dyDescent="0.4"/>
    <row r="8933" hidden="1" x14ac:dyDescent="0.4"/>
    <row r="8934" hidden="1" x14ac:dyDescent="0.4"/>
    <row r="8935" hidden="1" x14ac:dyDescent="0.4"/>
    <row r="8936" hidden="1" x14ac:dyDescent="0.4"/>
    <row r="8937" hidden="1" x14ac:dyDescent="0.4"/>
    <row r="8938" hidden="1" x14ac:dyDescent="0.4"/>
    <row r="8939" hidden="1" x14ac:dyDescent="0.4"/>
    <row r="8940" hidden="1" x14ac:dyDescent="0.4"/>
    <row r="8941" hidden="1" x14ac:dyDescent="0.4"/>
    <row r="8942" hidden="1" x14ac:dyDescent="0.4"/>
    <row r="8943" hidden="1" x14ac:dyDescent="0.4"/>
    <row r="8944" hidden="1" x14ac:dyDescent="0.4"/>
    <row r="8945" hidden="1" x14ac:dyDescent="0.4"/>
    <row r="8946" hidden="1" x14ac:dyDescent="0.4"/>
    <row r="8947" hidden="1" x14ac:dyDescent="0.4"/>
    <row r="8948" hidden="1" x14ac:dyDescent="0.4"/>
    <row r="8949" hidden="1" x14ac:dyDescent="0.4"/>
    <row r="8950" hidden="1" x14ac:dyDescent="0.4"/>
    <row r="8951" hidden="1" x14ac:dyDescent="0.4"/>
    <row r="8952" hidden="1" x14ac:dyDescent="0.4"/>
    <row r="8953" hidden="1" x14ac:dyDescent="0.4"/>
    <row r="8954" hidden="1" x14ac:dyDescent="0.4"/>
    <row r="8955" hidden="1" x14ac:dyDescent="0.4"/>
    <row r="8956" hidden="1" x14ac:dyDescent="0.4"/>
    <row r="8957" hidden="1" x14ac:dyDescent="0.4"/>
    <row r="8958" hidden="1" x14ac:dyDescent="0.4"/>
    <row r="8959" hidden="1" x14ac:dyDescent="0.4"/>
    <row r="8960" hidden="1" x14ac:dyDescent="0.4"/>
    <row r="8961" hidden="1" x14ac:dyDescent="0.4"/>
    <row r="8962" hidden="1" x14ac:dyDescent="0.4"/>
    <row r="8963" hidden="1" x14ac:dyDescent="0.4"/>
    <row r="8964" hidden="1" x14ac:dyDescent="0.4"/>
    <row r="8965" hidden="1" x14ac:dyDescent="0.4"/>
    <row r="8966" hidden="1" x14ac:dyDescent="0.4"/>
    <row r="8967" hidden="1" x14ac:dyDescent="0.4"/>
    <row r="8968" hidden="1" x14ac:dyDescent="0.4"/>
    <row r="8969" hidden="1" x14ac:dyDescent="0.4"/>
    <row r="8970" hidden="1" x14ac:dyDescent="0.4"/>
    <row r="8971" hidden="1" x14ac:dyDescent="0.4"/>
    <row r="8972" hidden="1" x14ac:dyDescent="0.4"/>
    <row r="8973" hidden="1" x14ac:dyDescent="0.4"/>
    <row r="8974" hidden="1" x14ac:dyDescent="0.4"/>
    <row r="8975" hidden="1" x14ac:dyDescent="0.4"/>
    <row r="8976" hidden="1" x14ac:dyDescent="0.4"/>
    <row r="8977" hidden="1" x14ac:dyDescent="0.4"/>
    <row r="8978" hidden="1" x14ac:dyDescent="0.4"/>
    <row r="8979" hidden="1" x14ac:dyDescent="0.4"/>
    <row r="8980" hidden="1" x14ac:dyDescent="0.4"/>
    <row r="8981" hidden="1" x14ac:dyDescent="0.4"/>
    <row r="8982" hidden="1" x14ac:dyDescent="0.4"/>
    <row r="8983" hidden="1" x14ac:dyDescent="0.4"/>
    <row r="8984" hidden="1" x14ac:dyDescent="0.4"/>
    <row r="8985" hidden="1" x14ac:dyDescent="0.4"/>
    <row r="8986" hidden="1" x14ac:dyDescent="0.4"/>
    <row r="8987" hidden="1" x14ac:dyDescent="0.4"/>
    <row r="8988" hidden="1" x14ac:dyDescent="0.4"/>
    <row r="8989" hidden="1" x14ac:dyDescent="0.4"/>
    <row r="8990" hidden="1" x14ac:dyDescent="0.4"/>
    <row r="8991" hidden="1" x14ac:dyDescent="0.4"/>
    <row r="8992" hidden="1" x14ac:dyDescent="0.4"/>
    <row r="8993" hidden="1" x14ac:dyDescent="0.4"/>
    <row r="8994" hidden="1" x14ac:dyDescent="0.4"/>
    <row r="8995" hidden="1" x14ac:dyDescent="0.4"/>
    <row r="8996" hidden="1" x14ac:dyDescent="0.4"/>
    <row r="8997" hidden="1" x14ac:dyDescent="0.4"/>
    <row r="8998" hidden="1" x14ac:dyDescent="0.4"/>
    <row r="8999" hidden="1" x14ac:dyDescent="0.4"/>
    <row r="9000" hidden="1" x14ac:dyDescent="0.4"/>
    <row r="9001" hidden="1" x14ac:dyDescent="0.4"/>
    <row r="9002" hidden="1" x14ac:dyDescent="0.4"/>
    <row r="9003" hidden="1" x14ac:dyDescent="0.4"/>
    <row r="9004" hidden="1" x14ac:dyDescent="0.4"/>
    <row r="9005" hidden="1" x14ac:dyDescent="0.4"/>
    <row r="9006" hidden="1" x14ac:dyDescent="0.4"/>
    <row r="9007" hidden="1" x14ac:dyDescent="0.4"/>
    <row r="9008" hidden="1" x14ac:dyDescent="0.4"/>
    <row r="9009" hidden="1" x14ac:dyDescent="0.4"/>
    <row r="9010" hidden="1" x14ac:dyDescent="0.4"/>
    <row r="9011" hidden="1" x14ac:dyDescent="0.4"/>
    <row r="9012" hidden="1" x14ac:dyDescent="0.4"/>
    <row r="9013" hidden="1" x14ac:dyDescent="0.4"/>
    <row r="9014" hidden="1" x14ac:dyDescent="0.4"/>
    <row r="9015" hidden="1" x14ac:dyDescent="0.4"/>
    <row r="9016" hidden="1" x14ac:dyDescent="0.4"/>
    <row r="9017" hidden="1" x14ac:dyDescent="0.4"/>
    <row r="9018" hidden="1" x14ac:dyDescent="0.4"/>
    <row r="9019" hidden="1" x14ac:dyDescent="0.4"/>
    <row r="9020" hidden="1" x14ac:dyDescent="0.4"/>
    <row r="9021" hidden="1" x14ac:dyDescent="0.4"/>
    <row r="9022" hidden="1" x14ac:dyDescent="0.4"/>
    <row r="9023" hidden="1" x14ac:dyDescent="0.4"/>
    <row r="9024" hidden="1" x14ac:dyDescent="0.4"/>
    <row r="9025" hidden="1" x14ac:dyDescent="0.4"/>
    <row r="9026" hidden="1" x14ac:dyDescent="0.4"/>
    <row r="9027" hidden="1" x14ac:dyDescent="0.4"/>
    <row r="9028" hidden="1" x14ac:dyDescent="0.4"/>
    <row r="9029" hidden="1" x14ac:dyDescent="0.4"/>
    <row r="9030" hidden="1" x14ac:dyDescent="0.4"/>
    <row r="9031" hidden="1" x14ac:dyDescent="0.4"/>
    <row r="9032" hidden="1" x14ac:dyDescent="0.4"/>
    <row r="9033" hidden="1" x14ac:dyDescent="0.4"/>
    <row r="9034" hidden="1" x14ac:dyDescent="0.4"/>
    <row r="9035" hidden="1" x14ac:dyDescent="0.4"/>
    <row r="9036" hidden="1" x14ac:dyDescent="0.4"/>
    <row r="9037" hidden="1" x14ac:dyDescent="0.4"/>
    <row r="9038" hidden="1" x14ac:dyDescent="0.4"/>
    <row r="9039" hidden="1" x14ac:dyDescent="0.4"/>
    <row r="9040" hidden="1" x14ac:dyDescent="0.4"/>
    <row r="9041" hidden="1" x14ac:dyDescent="0.4"/>
    <row r="9042" hidden="1" x14ac:dyDescent="0.4"/>
    <row r="9043" hidden="1" x14ac:dyDescent="0.4"/>
    <row r="9044" hidden="1" x14ac:dyDescent="0.4"/>
    <row r="9045" hidden="1" x14ac:dyDescent="0.4"/>
    <row r="9046" hidden="1" x14ac:dyDescent="0.4"/>
    <row r="9047" hidden="1" x14ac:dyDescent="0.4"/>
    <row r="9048" hidden="1" x14ac:dyDescent="0.4"/>
    <row r="9049" hidden="1" x14ac:dyDescent="0.4"/>
    <row r="9050" hidden="1" x14ac:dyDescent="0.4"/>
    <row r="9051" hidden="1" x14ac:dyDescent="0.4"/>
    <row r="9052" hidden="1" x14ac:dyDescent="0.4"/>
    <row r="9053" hidden="1" x14ac:dyDescent="0.4"/>
    <row r="9054" hidden="1" x14ac:dyDescent="0.4"/>
    <row r="9055" hidden="1" x14ac:dyDescent="0.4"/>
    <row r="9056" hidden="1" x14ac:dyDescent="0.4"/>
    <row r="9057" hidden="1" x14ac:dyDescent="0.4"/>
    <row r="9058" hidden="1" x14ac:dyDescent="0.4"/>
    <row r="9059" hidden="1" x14ac:dyDescent="0.4"/>
    <row r="9060" hidden="1" x14ac:dyDescent="0.4"/>
    <row r="9061" hidden="1" x14ac:dyDescent="0.4"/>
    <row r="9062" hidden="1" x14ac:dyDescent="0.4"/>
    <row r="9063" hidden="1" x14ac:dyDescent="0.4"/>
    <row r="9064" hidden="1" x14ac:dyDescent="0.4"/>
    <row r="9065" hidden="1" x14ac:dyDescent="0.4"/>
    <row r="9066" hidden="1" x14ac:dyDescent="0.4"/>
    <row r="9067" hidden="1" x14ac:dyDescent="0.4"/>
    <row r="9068" hidden="1" x14ac:dyDescent="0.4"/>
    <row r="9069" hidden="1" x14ac:dyDescent="0.4"/>
    <row r="9070" hidden="1" x14ac:dyDescent="0.4"/>
    <row r="9071" hidden="1" x14ac:dyDescent="0.4"/>
    <row r="9072" hidden="1" x14ac:dyDescent="0.4"/>
    <row r="9073" hidden="1" x14ac:dyDescent="0.4"/>
    <row r="9074" hidden="1" x14ac:dyDescent="0.4"/>
    <row r="9075" hidden="1" x14ac:dyDescent="0.4"/>
    <row r="9076" hidden="1" x14ac:dyDescent="0.4"/>
    <row r="9077" hidden="1" x14ac:dyDescent="0.4"/>
    <row r="9078" hidden="1" x14ac:dyDescent="0.4"/>
    <row r="9079" hidden="1" x14ac:dyDescent="0.4"/>
    <row r="9080" hidden="1" x14ac:dyDescent="0.4"/>
    <row r="9081" hidden="1" x14ac:dyDescent="0.4"/>
    <row r="9082" hidden="1" x14ac:dyDescent="0.4"/>
    <row r="9083" hidden="1" x14ac:dyDescent="0.4"/>
    <row r="9084" hidden="1" x14ac:dyDescent="0.4"/>
    <row r="9085" hidden="1" x14ac:dyDescent="0.4"/>
    <row r="9086" hidden="1" x14ac:dyDescent="0.4"/>
    <row r="9087" hidden="1" x14ac:dyDescent="0.4"/>
    <row r="9088" hidden="1" x14ac:dyDescent="0.4"/>
    <row r="9089" hidden="1" x14ac:dyDescent="0.4"/>
    <row r="9090" hidden="1" x14ac:dyDescent="0.4"/>
    <row r="9091" hidden="1" x14ac:dyDescent="0.4"/>
    <row r="9092" hidden="1" x14ac:dyDescent="0.4"/>
    <row r="9093" hidden="1" x14ac:dyDescent="0.4"/>
    <row r="9094" hidden="1" x14ac:dyDescent="0.4"/>
    <row r="9095" hidden="1" x14ac:dyDescent="0.4"/>
    <row r="9096" hidden="1" x14ac:dyDescent="0.4"/>
    <row r="9097" hidden="1" x14ac:dyDescent="0.4"/>
    <row r="9098" hidden="1" x14ac:dyDescent="0.4"/>
    <row r="9099" hidden="1" x14ac:dyDescent="0.4"/>
    <row r="9100" hidden="1" x14ac:dyDescent="0.4"/>
    <row r="9101" hidden="1" x14ac:dyDescent="0.4"/>
    <row r="9102" hidden="1" x14ac:dyDescent="0.4"/>
    <row r="9103" hidden="1" x14ac:dyDescent="0.4"/>
    <row r="9104" hidden="1" x14ac:dyDescent="0.4"/>
    <row r="9105" hidden="1" x14ac:dyDescent="0.4"/>
    <row r="9106" hidden="1" x14ac:dyDescent="0.4"/>
    <row r="9107" hidden="1" x14ac:dyDescent="0.4"/>
    <row r="9108" hidden="1" x14ac:dyDescent="0.4"/>
    <row r="9109" hidden="1" x14ac:dyDescent="0.4"/>
    <row r="9110" hidden="1" x14ac:dyDescent="0.4"/>
    <row r="9111" hidden="1" x14ac:dyDescent="0.4"/>
    <row r="9112" hidden="1" x14ac:dyDescent="0.4"/>
    <row r="9113" hidden="1" x14ac:dyDescent="0.4"/>
    <row r="9114" hidden="1" x14ac:dyDescent="0.4"/>
    <row r="9115" hidden="1" x14ac:dyDescent="0.4"/>
    <row r="9116" hidden="1" x14ac:dyDescent="0.4"/>
    <row r="9117" hidden="1" x14ac:dyDescent="0.4"/>
    <row r="9118" hidden="1" x14ac:dyDescent="0.4"/>
    <row r="9119" hidden="1" x14ac:dyDescent="0.4"/>
    <row r="9120" hidden="1" x14ac:dyDescent="0.4"/>
    <row r="9121" hidden="1" x14ac:dyDescent="0.4"/>
    <row r="9122" hidden="1" x14ac:dyDescent="0.4"/>
    <row r="9123" hidden="1" x14ac:dyDescent="0.4"/>
    <row r="9124" hidden="1" x14ac:dyDescent="0.4"/>
    <row r="9125" hidden="1" x14ac:dyDescent="0.4"/>
    <row r="9126" hidden="1" x14ac:dyDescent="0.4"/>
    <row r="9127" hidden="1" x14ac:dyDescent="0.4"/>
    <row r="9128" hidden="1" x14ac:dyDescent="0.4"/>
    <row r="9129" hidden="1" x14ac:dyDescent="0.4"/>
    <row r="9130" hidden="1" x14ac:dyDescent="0.4"/>
    <row r="9131" hidden="1" x14ac:dyDescent="0.4"/>
    <row r="9132" hidden="1" x14ac:dyDescent="0.4"/>
    <row r="9133" hidden="1" x14ac:dyDescent="0.4"/>
    <row r="9134" hidden="1" x14ac:dyDescent="0.4"/>
    <row r="9135" hidden="1" x14ac:dyDescent="0.4"/>
    <row r="9136" hidden="1" x14ac:dyDescent="0.4"/>
    <row r="9137" hidden="1" x14ac:dyDescent="0.4"/>
    <row r="9138" hidden="1" x14ac:dyDescent="0.4"/>
    <row r="9139" hidden="1" x14ac:dyDescent="0.4"/>
    <row r="9140" hidden="1" x14ac:dyDescent="0.4"/>
    <row r="9141" hidden="1" x14ac:dyDescent="0.4"/>
    <row r="9142" hidden="1" x14ac:dyDescent="0.4"/>
    <row r="9143" hidden="1" x14ac:dyDescent="0.4"/>
    <row r="9144" hidden="1" x14ac:dyDescent="0.4"/>
    <row r="9145" hidden="1" x14ac:dyDescent="0.4"/>
    <row r="9146" hidden="1" x14ac:dyDescent="0.4"/>
    <row r="9147" hidden="1" x14ac:dyDescent="0.4"/>
    <row r="9148" hidden="1" x14ac:dyDescent="0.4"/>
    <row r="9149" hidden="1" x14ac:dyDescent="0.4"/>
    <row r="9150" hidden="1" x14ac:dyDescent="0.4"/>
    <row r="9151" hidden="1" x14ac:dyDescent="0.4"/>
    <row r="9152" hidden="1" x14ac:dyDescent="0.4"/>
    <row r="9153" hidden="1" x14ac:dyDescent="0.4"/>
    <row r="9154" hidden="1" x14ac:dyDescent="0.4"/>
    <row r="9155" hidden="1" x14ac:dyDescent="0.4"/>
    <row r="9156" hidden="1" x14ac:dyDescent="0.4"/>
    <row r="9157" hidden="1" x14ac:dyDescent="0.4"/>
    <row r="9158" hidden="1" x14ac:dyDescent="0.4"/>
    <row r="9159" hidden="1" x14ac:dyDescent="0.4"/>
    <row r="9160" hidden="1" x14ac:dyDescent="0.4"/>
    <row r="9161" hidden="1" x14ac:dyDescent="0.4"/>
    <row r="9162" hidden="1" x14ac:dyDescent="0.4"/>
    <row r="9163" hidden="1" x14ac:dyDescent="0.4"/>
    <row r="9164" hidden="1" x14ac:dyDescent="0.4"/>
    <row r="9165" hidden="1" x14ac:dyDescent="0.4"/>
    <row r="9166" hidden="1" x14ac:dyDescent="0.4"/>
    <row r="9167" hidden="1" x14ac:dyDescent="0.4"/>
    <row r="9168" hidden="1" x14ac:dyDescent="0.4"/>
    <row r="9169" hidden="1" x14ac:dyDescent="0.4"/>
    <row r="9170" hidden="1" x14ac:dyDescent="0.4"/>
    <row r="9171" hidden="1" x14ac:dyDescent="0.4"/>
    <row r="9172" hidden="1" x14ac:dyDescent="0.4"/>
    <row r="9173" hidden="1" x14ac:dyDescent="0.4"/>
    <row r="9174" hidden="1" x14ac:dyDescent="0.4"/>
    <row r="9175" hidden="1" x14ac:dyDescent="0.4"/>
    <row r="9176" hidden="1" x14ac:dyDescent="0.4"/>
    <row r="9177" hidden="1" x14ac:dyDescent="0.4"/>
    <row r="9178" hidden="1" x14ac:dyDescent="0.4"/>
    <row r="9179" hidden="1" x14ac:dyDescent="0.4"/>
    <row r="9180" hidden="1" x14ac:dyDescent="0.4"/>
    <row r="9181" hidden="1" x14ac:dyDescent="0.4"/>
    <row r="9182" hidden="1" x14ac:dyDescent="0.4"/>
    <row r="9183" hidden="1" x14ac:dyDescent="0.4"/>
    <row r="9184" hidden="1" x14ac:dyDescent="0.4"/>
    <row r="9185" hidden="1" x14ac:dyDescent="0.4"/>
    <row r="9186" hidden="1" x14ac:dyDescent="0.4"/>
    <row r="9187" hidden="1" x14ac:dyDescent="0.4"/>
    <row r="9188" hidden="1" x14ac:dyDescent="0.4"/>
    <row r="9189" hidden="1" x14ac:dyDescent="0.4"/>
    <row r="9190" hidden="1" x14ac:dyDescent="0.4"/>
    <row r="9191" hidden="1" x14ac:dyDescent="0.4"/>
    <row r="9192" hidden="1" x14ac:dyDescent="0.4"/>
    <row r="9193" hidden="1" x14ac:dyDescent="0.4"/>
    <row r="9194" hidden="1" x14ac:dyDescent="0.4"/>
    <row r="9195" hidden="1" x14ac:dyDescent="0.4"/>
    <row r="9196" hidden="1" x14ac:dyDescent="0.4"/>
    <row r="9197" hidden="1" x14ac:dyDescent="0.4"/>
    <row r="9198" hidden="1" x14ac:dyDescent="0.4"/>
    <row r="9199" hidden="1" x14ac:dyDescent="0.4"/>
    <row r="9200" hidden="1" x14ac:dyDescent="0.4"/>
    <row r="9201" hidden="1" x14ac:dyDescent="0.4"/>
    <row r="9202" hidden="1" x14ac:dyDescent="0.4"/>
    <row r="9203" hidden="1" x14ac:dyDescent="0.4"/>
    <row r="9204" hidden="1" x14ac:dyDescent="0.4"/>
    <row r="9205" hidden="1" x14ac:dyDescent="0.4"/>
    <row r="9206" hidden="1" x14ac:dyDescent="0.4"/>
    <row r="9207" hidden="1" x14ac:dyDescent="0.4"/>
    <row r="9208" hidden="1" x14ac:dyDescent="0.4"/>
    <row r="9209" hidden="1" x14ac:dyDescent="0.4"/>
    <row r="9210" hidden="1" x14ac:dyDescent="0.4"/>
    <row r="9211" hidden="1" x14ac:dyDescent="0.4"/>
    <row r="9212" hidden="1" x14ac:dyDescent="0.4"/>
    <row r="9213" hidden="1" x14ac:dyDescent="0.4"/>
    <row r="9214" hidden="1" x14ac:dyDescent="0.4"/>
    <row r="9215" hidden="1" x14ac:dyDescent="0.4"/>
    <row r="9216" hidden="1" x14ac:dyDescent="0.4"/>
    <row r="9217" hidden="1" x14ac:dyDescent="0.4"/>
    <row r="9218" hidden="1" x14ac:dyDescent="0.4"/>
    <row r="9219" hidden="1" x14ac:dyDescent="0.4"/>
    <row r="9220" hidden="1" x14ac:dyDescent="0.4"/>
    <row r="9221" hidden="1" x14ac:dyDescent="0.4"/>
    <row r="9222" hidden="1" x14ac:dyDescent="0.4"/>
    <row r="9223" hidden="1" x14ac:dyDescent="0.4"/>
    <row r="9224" hidden="1" x14ac:dyDescent="0.4"/>
    <row r="9225" hidden="1" x14ac:dyDescent="0.4"/>
    <row r="9226" hidden="1" x14ac:dyDescent="0.4"/>
    <row r="9227" hidden="1" x14ac:dyDescent="0.4"/>
    <row r="9228" hidden="1" x14ac:dyDescent="0.4"/>
    <row r="9229" hidden="1" x14ac:dyDescent="0.4"/>
    <row r="9230" hidden="1" x14ac:dyDescent="0.4"/>
    <row r="9231" hidden="1" x14ac:dyDescent="0.4"/>
    <row r="9232" hidden="1" x14ac:dyDescent="0.4"/>
    <row r="9233" hidden="1" x14ac:dyDescent="0.4"/>
    <row r="9234" hidden="1" x14ac:dyDescent="0.4"/>
    <row r="9235" hidden="1" x14ac:dyDescent="0.4"/>
    <row r="9236" hidden="1" x14ac:dyDescent="0.4"/>
    <row r="9237" hidden="1" x14ac:dyDescent="0.4"/>
    <row r="9238" hidden="1" x14ac:dyDescent="0.4"/>
    <row r="9239" hidden="1" x14ac:dyDescent="0.4"/>
    <row r="9240" hidden="1" x14ac:dyDescent="0.4"/>
    <row r="9241" hidden="1" x14ac:dyDescent="0.4"/>
    <row r="9242" hidden="1" x14ac:dyDescent="0.4"/>
    <row r="9243" hidden="1" x14ac:dyDescent="0.4"/>
    <row r="9244" hidden="1" x14ac:dyDescent="0.4"/>
    <row r="9245" hidden="1" x14ac:dyDescent="0.4"/>
    <row r="9246" hidden="1" x14ac:dyDescent="0.4"/>
    <row r="9247" hidden="1" x14ac:dyDescent="0.4"/>
    <row r="9248" hidden="1" x14ac:dyDescent="0.4"/>
    <row r="9249" hidden="1" x14ac:dyDescent="0.4"/>
    <row r="9250" hidden="1" x14ac:dyDescent="0.4"/>
    <row r="9251" hidden="1" x14ac:dyDescent="0.4"/>
    <row r="9252" hidden="1" x14ac:dyDescent="0.4"/>
    <row r="9253" hidden="1" x14ac:dyDescent="0.4"/>
    <row r="9254" hidden="1" x14ac:dyDescent="0.4"/>
    <row r="9255" hidden="1" x14ac:dyDescent="0.4"/>
    <row r="9256" hidden="1" x14ac:dyDescent="0.4"/>
    <row r="9257" hidden="1" x14ac:dyDescent="0.4"/>
    <row r="9258" hidden="1" x14ac:dyDescent="0.4"/>
    <row r="9259" hidden="1" x14ac:dyDescent="0.4"/>
    <row r="9260" hidden="1" x14ac:dyDescent="0.4"/>
    <row r="9261" hidden="1" x14ac:dyDescent="0.4"/>
    <row r="9262" hidden="1" x14ac:dyDescent="0.4"/>
    <row r="9263" hidden="1" x14ac:dyDescent="0.4"/>
    <row r="9264" hidden="1" x14ac:dyDescent="0.4"/>
    <row r="9265" hidden="1" x14ac:dyDescent="0.4"/>
    <row r="9266" hidden="1" x14ac:dyDescent="0.4"/>
    <row r="9267" hidden="1" x14ac:dyDescent="0.4"/>
    <row r="9268" hidden="1" x14ac:dyDescent="0.4"/>
    <row r="9269" hidden="1" x14ac:dyDescent="0.4"/>
    <row r="9270" hidden="1" x14ac:dyDescent="0.4"/>
    <row r="9271" hidden="1" x14ac:dyDescent="0.4"/>
    <row r="9272" hidden="1" x14ac:dyDescent="0.4"/>
    <row r="9273" hidden="1" x14ac:dyDescent="0.4"/>
    <row r="9274" hidden="1" x14ac:dyDescent="0.4"/>
    <row r="9275" hidden="1" x14ac:dyDescent="0.4"/>
    <row r="9276" hidden="1" x14ac:dyDescent="0.4"/>
    <row r="9277" hidden="1" x14ac:dyDescent="0.4"/>
    <row r="9278" hidden="1" x14ac:dyDescent="0.4"/>
    <row r="9279" hidden="1" x14ac:dyDescent="0.4"/>
    <row r="9280" hidden="1" x14ac:dyDescent="0.4"/>
    <row r="9281" hidden="1" x14ac:dyDescent="0.4"/>
    <row r="9282" hidden="1" x14ac:dyDescent="0.4"/>
    <row r="9283" hidden="1" x14ac:dyDescent="0.4"/>
    <row r="9284" hidden="1" x14ac:dyDescent="0.4"/>
    <row r="9285" hidden="1" x14ac:dyDescent="0.4"/>
    <row r="9286" hidden="1" x14ac:dyDescent="0.4"/>
    <row r="9287" hidden="1" x14ac:dyDescent="0.4"/>
    <row r="9288" hidden="1" x14ac:dyDescent="0.4"/>
    <row r="9289" hidden="1" x14ac:dyDescent="0.4"/>
    <row r="9290" hidden="1" x14ac:dyDescent="0.4"/>
    <row r="9291" hidden="1" x14ac:dyDescent="0.4"/>
    <row r="9292" hidden="1" x14ac:dyDescent="0.4"/>
    <row r="9293" hidden="1" x14ac:dyDescent="0.4"/>
    <row r="9294" hidden="1" x14ac:dyDescent="0.4"/>
    <row r="9295" hidden="1" x14ac:dyDescent="0.4"/>
    <row r="9296" hidden="1" x14ac:dyDescent="0.4"/>
    <row r="9297" hidden="1" x14ac:dyDescent="0.4"/>
    <row r="9298" hidden="1" x14ac:dyDescent="0.4"/>
    <row r="9299" hidden="1" x14ac:dyDescent="0.4"/>
    <row r="9300" hidden="1" x14ac:dyDescent="0.4"/>
    <row r="9301" hidden="1" x14ac:dyDescent="0.4"/>
    <row r="9302" hidden="1" x14ac:dyDescent="0.4"/>
    <row r="9303" hidden="1" x14ac:dyDescent="0.4"/>
    <row r="9304" hidden="1" x14ac:dyDescent="0.4"/>
    <row r="9305" hidden="1" x14ac:dyDescent="0.4"/>
    <row r="9306" hidden="1" x14ac:dyDescent="0.4"/>
    <row r="9307" hidden="1" x14ac:dyDescent="0.4"/>
    <row r="9308" hidden="1" x14ac:dyDescent="0.4"/>
    <row r="9309" hidden="1" x14ac:dyDescent="0.4"/>
    <row r="9310" hidden="1" x14ac:dyDescent="0.4"/>
    <row r="9311" hidden="1" x14ac:dyDescent="0.4"/>
    <row r="9312" hidden="1" x14ac:dyDescent="0.4"/>
    <row r="9313" hidden="1" x14ac:dyDescent="0.4"/>
    <row r="9314" hidden="1" x14ac:dyDescent="0.4"/>
    <row r="9315" hidden="1" x14ac:dyDescent="0.4"/>
    <row r="9316" hidden="1" x14ac:dyDescent="0.4"/>
    <row r="9317" hidden="1" x14ac:dyDescent="0.4"/>
    <row r="9318" hidden="1" x14ac:dyDescent="0.4"/>
    <row r="9319" hidden="1" x14ac:dyDescent="0.4"/>
    <row r="9320" hidden="1" x14ac:dyDescent="0.4"/>
    <row r="9321" hidden="1" x14ac:dyDescent="0.4"/>
    <row r="9322" hidden="1" x14ac:dyDescent="0.4"/>
    <row r="9323" hidden="1" x14ac:dyDescent="0.4"/>
    <row r="9324" hidden="1" x14ac:dyDescent="0.4"/>
    <row r="9325" hidden="1" x14ac:dyDescent="0.4"/>
    <row r="9326" hidden="1" x14ac:dyDescent="0.4"/>
    <row r="9327" hidden="1" x14ac:dyDescent="0.4"/>
    <row r="9328" hidden="1" x14ac:dyDescent="0.4"/>
    <row r="9329" hidden="1" x14ac:dyDescent="0.4"/>
    <row r="9330" hidden="1" x14ac:dyDescent="0.4"/>
    <row r="9331" hidden="1" x14ac:dyDescent="0.4"/>
    <row r="9332" hidden="1" x14ac:dyDescent="0.4"/>
    <row r="9333" hidden="1" x14ac:dyDescent="0.4"/>
    <row r="9334" hidden="1" x14ac:dyDescent="0.4"/>
    <row r="9335" hidden="1" x14ac:dyDescent="0.4"/>
    <row r="9336" hidden="1" x14ac:dyDescent="0.4"/>
    <row r="9337" hidden="1" x14ac:dyDescent="0.4"/>
    <row r="9338" hidden="1" x14ac:dyDescent="0.4"/>
    <row r="9339" hidden="1" x14ac:dyDescent="0.4"/>
    <row r="9340" hidden="1" x14ac:dyDescent="0.4"/>
    <row r="9341" hidden="1" x14ac:dyDescent="0.4"/>
    <row r="9342" hidden="1" x14ac:dyDescent="0.4"/>
    <row r="9343" hidden="1" x14ac:dyDescent="0.4"/>
    <row r="9344" hidden="1" x14ac:dyDescent="0.4"/>
    <row r="9345" hidden="1" x14ac:dyDescent="0.4"/>
    <row r="9346" hidden="1" x14ac:dyDescent="0.4"/>
    <row r="9347" hidden="1" x14ac:dyDescent="0.4"/>
    <row r="9348" hidden="1" x14ac:dyDescent="0.4"/>
    <row r="9349" hidden="1" x14ac:dyDescent="0.4"/>
    <row r="9350" hidden="1" x14ac:dyDescent="0.4"/>
    <row r="9351" hidden="1" x14ac:dyDescent="0.4"/>
    <row r="9352" hidden="1" x14ac:dyDescent="0.4"/>
    <row r="9353" hidden="1" x14ac:dyDescent="0.4"/>
    <row r="9354" hidden="1" x14ac:dyDescent="0.4"/>
    <row r="9355" hidden="1" x14ac:dyDescent="0.4"/>
    <row r="9356" hidden="1" x14ac:dyDescent="0.4"/>
    <row r="9357" hidden="1" x14ac:dyDescent="0.4"/>
    <row r="9358" hidden="1" x14ac:dyDescent="0.4"/>
    <row r="9359" hidden="1" x14ac:dyDescent="0.4"/>
    <row r="9360" hidden="1" x14ac:dyDescent="0.4"/>
    <row r="9361" hidden="1" x14ac:dyDescent="0.4"/>
    <row r="9362" hidden="1" x14ac:dyDescent="0.4"/>
    <row r="9363" hidden="1" x14ac:dyDescent="0.4"/>
    <row r="9364" hidden="1" x14ac:dyDescent="0.4"/>
    <row r="9365" hidden="1" x14ac:dyDescent="0.4"/>
    <row r="9366" hidden="1" x14ac:dyDescent="0.4"/>
    <row r="9367" hidden="1" x14ac:dyDescent="0.4"/>
    <row r="9368" hidden="1" x14ac:dyDescent="0.4"/>
    <row r="9369" hidden="1" x14ac:dyDescent="0.4"/>
    <row r="9370" hidden="1" x14ac:dyDescent="0.4"/>
    <row r="9371" hidden="1" x14ac:dyDescent="0.4"/>
    <row r="9372" hidden="1" x14ac:dyDescent="0.4"/>
    <row r="9373" hidden="1" x14ac:dyDescent="0.4"/>
    <row r="9374" hidden="1" x14ac:dyDescent="0.4"/>
    <row r="9375" hidden="1" x14ac:dyDescent="0.4"/>
    <row r="9376" hidden="1" x14ac:dyDescent="0.4"/>
    <row r="9377" hidden="1" x14ac:dyDescent="0.4"/>
    <row r="9378" hidden="1" x14ac:dyDescent="0.4"/>
    <row r="9379" hidden="1" x14ac:dyDescent="0.4"/>
    <row r="9380" hidden="1" x14ac:dyDescent="0.4"/>
    <row r="9381" hidden="1" x14ac:dyDescent="0.4"/>
    <row r="9382" hidden="1" x14ac:dyDescent="0.4"/>
    <row r="9383" hidden="1" x14ac:dyDescent="0.4"/>
    <row r="9384" hidden="1" x14ac:dyDescent="0.4"/>
    <row r="9385" hidden="1" x14ac:dyDescent="0.4"/>
    <row r="9386" hidden="1" x14ac:dyDescent="0.4"/>
    <row r="9387" hidden="1" x14ac:dyDescent="0.4"/>
    <row r="9388" hidden="1" x14ac:dyDescent="0.4"/>
    <row r="9389" hidden="1" x14ac:dyDescent="0.4"/>
    <row r="9390" hidden="1" x14ac:dyDescent="0.4"/>
    <row r="9391" hidden="1" x14ac:dyDescent="0.4"/>
    <row r="9392" hidden="1" x14ac:dyDescent="0.4"/>
    <row r="9393" spans="1:7" hidden="1" x14ac:dyDescent="0.4"/>
    <row r="9394" spans="1:7" hidden="1" x14ac:dyDescent="0.4"/>
    <row r="9395" spans="1:7" hidden="1" x14ac:dyDescent="0.4"/>
    <row r="9396" spans="1:7" hidden="1" x14ac:dyDescent="0.4"/>
    <row r="9397" spans="1:7" hidden="1" x14ac:dyDescent="0.4"/>
    <row r="9398" spans="1:7" hidden="1" x14ac:dyDescent="0.4"/>
    <row r="9399" spans="1:7" hidden="1" x14ac:dyDescent="0.4"/>
    <row r="9400" spans="1:7" hidden="1" x14ac:dyDescent="0.4"/>
    <row r="9401" spans="1:7" hidden="1" x14ac:dyDescent="0.4"/>
    <row r="9402" spans="1:7" x14ac:dyDescent="0.4">
      <c r="A9402">
        <v>1</v>
      </c>
      <c r="B9402" t="s">
        <v>1927</v>
      </c>
      <c r="C9402" s="10">
        <v>69.25</v>
      </c>
      <c r="D9402" s="10">
        <v>23.65</v>
      </c>
      <c r="E9402" s="16">
        <v>51.86</v>
      </c>
      <c r="F9402">
        <v>21972667</v>
      </c>
      <c r="G9402" s="5">
        <v>43117</v>
      </c>
    </row>
    <row r="9403" spans="1:7" x14ac:dyDescent="0.4">
      <c r="A9403">
        <v>2</v>
      </c>
      <c r="B9403" t="s">
        <v>150</v>
      </c>
      <c r="C9403" s="10">
        <v>2.85</v>
      </c>
      <c r="D9403" s="10">
        <v>0.5</v>
      </c>
      <c r="E9403" s="16">
        <v>21.28</v>
      </c>
      <c r="F9403">
        <v>416304</v>
      </c>
      <c r="G9403" s="5">
        <v>43117</v>
      </c>
    </row>
    <row r="9404" spans="1:7" x14ac:dyDescent="0.4">
      <c r="A9404">
        <v>3</v>
      </c>
      <c r="B9404" t="s">
        <v>1136</v>
      </c>
      <c r="C9404" s="10">
        <v>17.149999999999999</v>
      </c>
      <c r="D9404" s="10">
        <v>2.97</v>
      </c>
      <c r="E9404" s="16">
        <v>20.94</v>
      </c>
      <c r="F9404">
        <v>486591</v>
      </c>
      <c r="G9404" s="5">
        <v>43117</v>
      </c>
    </row>
    <row r="9405" spans="1:7" x14ac:dyDescent="0.4">
      <c r="A9405">
        <v>4</v>
      </c>
      <c r="B9405" t="s">
        <v>1090</v>
      </c>
      <c r="C9405" s="10">
        <v>30.66</v>
      </c>
      <c r="D9405" s="10">
        <v>5.0599999999999996</v>
      </c>
      <c r="E9405" s="16">
        <v>19.77</v>
      </c>
      <c r="F9405">
        <v>3784385</v>
      </c>
      <c r="G9405" s="5">
        <v>43117</v>
      </c>
    </row>
    <row r="9406" spans="1:7" x14ac:dyDescent="0.4">
      <c r="A9406">
        <v>5</v>
      </c>
      <c r="B9406" t="s">
        <v>2131</v>
      </c>
      <c r="C9406" s="10">
        <v>2.41</v>
      </c>
      <c r="D9406" s="10">
        <v>0.34</v>
      </c>
      <c r="E9406" s="16">
        <v>16.43</v>
      </c>
      <c r="F9406">
        <v>16251322</v>
      </c>
      <c r="G9406" s="5">
        <v>43117</v>
      </c>
    </row>
    <row r="9407" spans="1:7" x14ac:dyDescent="0.4">
      <c r="A9407">
        <v>6</v>
      </c>
      <c r="B9407" t="s">
        <v>739</v>
      </c>
      <c r="C9407" s="10">
        <v>13.68</v>
      </c>
      <c r="D9407" s="10">
        <v>1.86</v>
      </c>
      <c r="E9407" s="16">
        <v>15.74</v>
      </c>
      <c r="F9407">
        <v>187220</v>
      </c>
      <c r="G9407" s="5">
        <v>43117</v>
      </c>
    </row>
    <row r="9408" spans="1:7" x14ac:dyDescent="0.4">
      <c r="A9408">
        <v>7</v>
      </c>
      <c r="B9408" t="s">
        <v>2030</v>
      </c>
      <c r="C9408" s="10">
        <v>3.1</v>
      </c>
      <c r="D9408" s="10">
        <v>0.4</v>
      </c>
      <c r="E9408" s="16">
        <v>14.81</v>
      </c>
      <c r="F9408">
        <v>839043</v>
      </c>
      <c r="G9408" s="5">
        <v>43117</v>
      </c>
    </row>
    <row r="9409" spans="1:7" x14ac:dyDescent="0.4">
      <c r="A9409">
        <v>8</v>
      </c>
      <c r="B9409" t="s">
        <v>643</v>
      </c>
      <c r="C9409" s="10">
        <v>7.53</v>
      </c>
      <c r="D9409" s="10">
        <v>0.9</v>
      </c>
      <c r="E9409" s="16">
        <v>13.57</v>
      </c>
      <c r="F9409">
        <v>525595</v>
      </c>
      <c r="G9409" s="5">
        <v>43117</v>
      </c>
    </row>
    <row r="9410" spans="1:7" x14ac:dyDescent="0.4">
      <c r="A9410">
        <v>9</v>
      </c>
      <c r="B9410" t="s">
        <v>987</v>
      </c>
      <c r="C9410" s="10">
        <v>8.24</v>
      </c>
      <c r="D9410" s="10">
        <v>0.96</v>
      </c>
      <c r="E9410" s="16">
        <v>13.19</v>
      </c>
      <c r="F9410">
        <v>225073</v>
      </c>
      <c r="G9410" s="5">
        <v>43117</v>
      </c>
    </row>
    <row r="9411" spans="1:7" x14ac:dyDescent="0.4">
      <c r="A9411">
        <v>10</v>
      </c>
      <c r="B9411" t="s">
        <v>1096</v>
      </c>
      <c r="C9411" s="10">
        <v>4.6500000000000004</v>
      </c>
      <c r="D9411" s="10">
        <v>0.54</v>
      </c>
      <c r="E9411" s="16">
        <v>13.14</v>
      </c>
      <c r="F9411">
        <v>221493</v>
      </c>
      <c r="G9411" s="5">
        <v>43117</v>
      </c>
    </row>
    <row r="9412" spans="1:7" x14ac:dyDescent="0.4">
      <c r="A9412">
        <v>11</v>
      </c>
      <c r="B9412" t="s">
        <v>912</v>
      </c>
      <c r="C9412" s="10">
        <v>11.65</v>
      </c>
      <c r="D9412" s="10">
        <v>1.33</v>
      </c>
      <c r="E9412" s="16">
        <v>12.89</v>
      </c>
      <c r="F9412">
        <v>93410</v>
      </c>
      <c r="G9412" s="5">
        <v>43117</v>
      </c>
    </row>
    <row r="9413" spans="1:7" x14ac:dyDescent="0.4">
      <c r="A9413">
        <v>12</v>
      </c>
      <c r="B9413" t="s">
        <v>1094</v>
      </c>
      <c r="C9413" s="10">
        <v>15.78</v>
      </c>
      <c r="D9413" s="10">
        <v>1.78</v>
      </c>
      <c r="E9413" s="16">
        <v>12.74</v>
      </c>
      <c r="F9413">
        <v>8468</v>
      </c>
      <c r="G9413" s="5">
        <v>43117</v>
      </c>
    </row>
    <row r="9414" spans="1:7" x14ac:dyDescent="0.4">
      <c r="A9414">
        <v>13</v>
      </c>
      <c r="B9414" t="s">
        <v>925</v>
      </c>
      <c r="C9414" s="10">
        <v>7.91</v>
      </c>
      <c r="D9414" s="10">
        <v>0.89</v>
      </c>
      <c r="E9414" s="16">
        <v>12.68</v>
      </c>
      <c r="F9414">
        <v>303644</v>
      </c>
      <c r="G9414" s="5">
        <v>43117</v>
      </c>
    </row>
    <row r="9415" spans="1:7" x14ac:dyDescent="0.4">
      <c r="A9415">
        <v>14</v>
      </c>
      <c r="B9415" t="s">
        <v>371</v>
      </c>
      <c r="C9415" s="10">
        <v>16.25</v>
      </c>
      <c r="D9415" s="10">
        <v>1.78</v>
      </c>
      <c r="E9415" s="16">
        <v>12.3</v>
      </c>
      <c r="F9415">
        <v>28409</v>
      </c>
      <c r="G9415" s="5">
        <v>43117</v>
      </c>
    </row>
    <row r="9416" spans="1:7" x14ac:dyDescent="0.4">
      <c r="A9416">
        <v>15</v>
      </c>
      <c r="B9416" t="s">
        <v>438</v>
      </c>
      <c r="C9416" s="10">
        <v>9.0399999999999991</v>
      </c>
      <c r="D9416" s="10">
        <v>0.98</v>
      </c>
      <c r="E9416" s="16">
        <v>12.16</v>
      </c>
      <c r="F9416">
        <v>419048</v>
      </c>
      <c r="G9416" s="5">
        <v>43117</v>
      </c>
    </row>
    <row r="9417" spans="1:7" x14ac:dyDescent="0.4">
      <c r="A9417">
        <v>16</v>
      </c>
      <c r="B9417" t="s">
        <v>2080</v>
      </c>
      <c r="C9417" s="10">
        <v>12.79</v>
      </c>
      <c r="D9417" s="10">
        <v>1.35</v>
      </c>
      <c r="E9417" s="16">
        <v>11.8</v>
      </c>
      <c r="F9417">
        <v>408487</v>
      </c>
      <c r="G9417" s="5">
        <v>43117</v>
      </c>
    </row>
    <row r="9418" spans="1:7" x14ac:dyDescent="0.4">
      <c r="A9418">
        <v>17</v>
      </c>
      <c r="B9418" t="s">
        <v>166</v>
      </c>
      <c r="C9418" s="10">
        <v>5.97</v>
      </c>
      <c r="D9418" s="10">
        <v>0.63</v>
      </c>
      <c r="E9418" s="16">
        <v>11.8</v>
      </c>
      <c r="F9418">
        <v>1090949</v>
      </c>
      <c r="G9418" s="5">
        <v>43117</v>
      </c>
    </row>
    <row r="9419" spans="1:7" x14ac:dyDescent="0.4">
      <c r="A9419">
        <v>18</v>
      </c>
      <c r="B9419" t="s">
        <v>1036</v>
      </c>
      <c r="C9419" s="10">
        <v>2.82</v>
      </c>
      <c r="D9419" s="10">
        <v>0.28999999999999998</v>
      </c>
      <c r="E9419" s="16">
        <v>11.46</v>
      </c>
      <c r="F9419">
        <v>1301286</v>
      </c>
      <c r="G9419" s="5">
        <v>43117</v>
      </c>
    </row>
    <row r="9420" spans="1:7" x14ac:dyDescent="0.4">
      <c r="A9420">
        <v>19</v>
      </c>
      <c r="B9420" t="s">
        <v>2132</v>
      </c>
      <c r="C9420" s="10">
        <v>17.2</v>
      </c>
      <c r="D9420" s="10">
        <v>1.75</v>
      </c>
      <c r="E9420" s="16">
        <v>11.33</v>
      </c>
      <c r="F9420">
        <v>1744078</v>
      </c>
      <c r="G9420" s="5">
        <v>43117</v>
      </c>
    </row>
    <row r="9421" spans="1:7" x14ac:dyDescent="0.4">
      <c r="A9421">
        <v>20</v>
      </c>
      <c r="B9421" t="s">
        <v>559</v>
      </c>
      <c r="C9421" s="10">
        <v>27.95</v>
      </c>
      <c r="D9421" s="10">
        <v>2.82</v>
      </c>
      <c r="E9421" s="16">
        <v>11.22</v>
      </c>
      <c r="F9421">
        <v>13146190</v>
      </c>
      <c r="G9421" s="5">
        <v>43117</v>
      </c>
    </row>
    <row r="9422" spans="1:7" x14ac:dyDescent="0.4">
      <c r="A9422">
        <v>21</v>
      </c>
      <c r="B9422" t="s">
        <v>366</v>
      </c>
      <c r="C9422" s="10">
        <v>9.4499999999999993</v>
      </c>
      <c r="D9422" s="10">
        <v>0.95</v>
      </c>
      <c r="E9422" s="16">
        <v>11.18</v>
      </c>
      <c r="F9422">
        <v>8801486</v>
      </c>
      <c r="G9422" s="5">
        <v>43117</v>
      </c>
    </row>
    <row r="9423" spans="1:7" x14ac:dyDescent="0.4">
      <c r="A9423">
        <v>22</v>
      </c>
      <c r="B9423" t="s">
        <v>17</v>
      </c>
      <c r="C9423" s="10">
        <v>12.52</v>
      </c>
      <c r="D9423" s="10">
        <v>1.25</v>
      </c>
      <c r="E9423" s="16">
        <v>11.09</v>
      </c>
      <c r="F9423">
        <v>501723</v>
      </c>
      <c r="G9423" s="5">
        <v>43117</v>
      </c>
    </row>
    <row r="9424" spans="1:7" x14ac:dyDescent="0.4">
      <c r="A9424">
        <v>23</v>
      </c>
      <c r="B9424" t="s">
        <v>296</v>
      </c>
      <c r="C9424" s="10">
        <v>4.5199999999999996</v>
      </c>
      <c r="D9424" s="10">
        <v>0.45</v>
      </c>
      <c r="E9424" s="16">
        <v>11.06</v>
      </c>
      <c r="F9424">
        <v>218199</v>
      </c>
      <c r="G9424" s="5">
        <v>43117</v>
      </c>
    </row>
    <row r="9425" spans="1:7" x14ac:dyDescent="0.4">
      <c r="A9425">
        <v>24</v>
      </c>
      <c r="B9425" t="s">
        <v>2133</v>
      </c>
      <c r="C9425" s="10">
        <v>17.89</v>
      </c>
      <c r="D9425" s="10">
        <v>1.73</v>
      </c>
      <c r="E9425" s="16">
        <v>10.71</v>
      </c>
      <c r="F9425">
        <v>4672726</v>
      </c>
      <c r="G9425" s="5">
        <v>43117</v>
      </c>
    </row>
    <row r="9426" spans="1:7" x14ac:dyDescent="0.4">
      <c r="A9426">
        <v>25</v>
      </c>
      <c r="B9426" t="s">
        <v>1872</v>
      </c>
      <c r="C9426" s="10">
        <v>3.79</v>
      </c>
      <c r="D9426" s="10">
        <v>0.36</v>
      </c>
      <c r="E9426" s="16">
        <v>10.49</v>
      </c>
      <c r="F9426">
        <v>280187</v>
      </c>
      <c r="G9426" s="5">
        <v>43117</v>
      </c>
    </row>
    <row r="9427" spans="1:7" x14ac:dyDescent="0.4">
      <c r="A9427">
        <v>26</v>
      </c>
      <c r="B9427" t="s">
        <v>572</v>
      </c>
      <c r="C9427" s="10">
        <v>10.1</v>
      </c>
      <c r="D9427" s="10">
        <v>0.95</v>
      </c>
      <c r="E9427" s="16">
        <v>10.38</v>
      </c>
      <c r="F9427">
        <v>117216</v>
      </c>
      <c r="G9427" s="5">
        <v>43117</v>
      </c>
    </row>
    <row r="9428" spans="1:7" x14ac:dyDescent="0.4">
      <c r="A9428">
        <v>27</v>
      </c>
      <c r="B9428" t="s">
        <v>185</v>
      </c>
      <c r="C9428" s="10">
        <v>3.46</v>
      </c>
      <c r="D9428" s="10">
        <v>0.31</v>
      </c>
      <c r="E9428" s="16">
        <v>10.02</v>
      </c>
      <c r="F9428">
        <v>676992</v>
      </c>
      <c r="G9428" s="5">
        <v>43117</v>
      </c>
    </row>
    <row r="9429" spans="1:7" x14ac:dyDescent="0.4">
      <c r="A9429">
        <v>28</v>
      </c>
      <c r="B9429" t="s">
        <v>188</v>
      </c>
      <c r="C9429" s="10">
        <v>2.75</v>
      </c>
      <c r="D9429" s="10">
        <v>0.25</v>
      </c>
      <c r="E9429" s="16">
        <v>10</v>
      </c>
      <c r="F9429">
        <v>150190</v>
      </c>
      <c r="G9429" s="5">
        <v>43117</v>
      </c>
    </row>
    <row r="9430" spans="1:7" x14ac:dyDescent="0.4">
      <c r="A9430">
        <v>29</v>
      </c>
      <c r="B9430" t="s">
        <v>395</v>
      </c>
      <c r="C9430" s="10">
        <v>2.88</v>
      </c>
      <c r="D9430" s="10">
        <v>0.26</v>
      </c>
      <c r="E9430" s="16">
        <v>9.92</v>
      </c>
      <c r="F9430">
        <v>509836</v>
      </c>
      <c r="G9430" s="5">
        <v>43117</v>
      </c>
    </row>
    <row r="9431" spans="1:7" x14ac:dyDescent="0.4">
      <c r="A9431">
        <v>30</v>
      </c>
      <c r="B9431" t="s">
        <v>2134</v>
      </c>
      <c r="C9431" s="10">
        <v>35.74</v>
      </c>
      <c r="D9431" s="10">
        <v>3.21</v>
      </c>
      <c r="E9431" s="16">
        <v>9.8699999999999992</v>
      </c>
      <c r="F9431">
        <v>425035</v>
      </c>
      <c r="G9431" s="5">
        <v>43117</v>
      </c>
    </row>
    <row r="9432" spans="1:7" x14ac:dyDescent="0.4">
      <c r="A9432">
        <v>31</v>
      </c>
      <c r="B9432" t="s">
        <v>2104</v>
      </c>
      <c r="C9432" s="10">
        <v>3.53</v>
      </c>
      <c r="D9432" s="10">
        <v>0.31</v>
      </c>
      <c r="E9432" s="16">
        <v>9.6300000000000008</v>
      </c>
      <c r="F9432">
        <v>189706</v>
      </c>
      <c r="G9432" s="5">
        <v>43117</v>
      </c>
    </row>
    <row r="9433" spans="1:7" x14ac:dyDescent="0.4">
      <c r="A9433">
        <v>32</v>
      </c>
      <c r="B9433" t="s">
        <v>327</v>
      </c>
      <c r="C9433" s="10">
        <v>22.01</v>
      </c>
      <c r="D9433" s="10">
        <v>1.91</v>
      </c>
      <c r="E9433" s="16">
        <v>9.5</v>
      </c>
      <c r="F9433">
        <v>1091324</v>
      </c>
      <c r="G9433" s="5">
        <v>43117</v>
      </c>
    </row>
    <row r="9434" spans="1:7" x14ac:dyDescent="0.4">
      <c r="A9434">
        <v>33</v>
      </c>
      <c r="B9434" t="s">
        <v>334</v>
      </c>
      <c r="C9434" s="10">
        <v>3.64</v>
      </c>
      <c r="D9434" s="10">
        <v>0.31</v>
      </c>
      <c r="E9434" s="16">
        <v>9.31</v>
      </c>
      <c r="F9434">
        <v>330928</v>
      </c>
      <c r="G9434" s="5">
        <v>43117</v>
      </c>
    </row>
    <row r="9435" spans="1:7" x14ac:dyDescent="0.4">
      <c r="A9435">
        <v>34</v>
      </c>
      <c r="B9435" t="s">
        <v>361</v>
      </c>
      <c r="C9435" s="10">
        <v>3.71</v>
      </c>
      <c r="D9435" s="10">
        <v>0.31</v>
      </c>
      <c r="E9435" s="16">
        <v>9.1199999999999992</v>
      </c>
      <c r="F9435">
        <v>1231087</v>
      </c>
      <c r="G9435" s="5">
        <v>43117</v>
      </c>
    </row>
    <row r="9436" spans="1:7" x14ac:dyDescent="0.4">
      <c r="A9436">
        <v>35</v>
      </c>
      <c r="B9436" t="s">
        <v>2135</v>
      </c>
      <c r="C9436" s="10">
        <v>33.11</v>
      </c>
      <c r="D9436" s="10">
        <v>2.76</v>
      </c>
      <c r="E9436" s="16">
        <v>9.09</v>
      </c>
      <c r="F9436">
        <v>1107503</v>
      </c>
      <c r="G9436" s="5">
        <v>43117</v>
      </c>
    </row>
    <row r="9437" spans="1:7" x14ac:dyDescent="0.4">
      <c r="A9437">
        <v>36</v>
      </c>
      <c r="B9437" t="s">
        <v>2136</v>
      </c>
      <c r="C9437" s="10">
        <v>12.01</v>
      </c>
      <c r="D9437" s="10">
        <v>0.99</v>
      </c>
      <c r="E9437" s="16">
        <v>8.98</v>
      </c>
      <c r="F9437">
        <v>359873</v>
      </c>
      <c r="G9437" s="5">
        <v>43117</v>
      </c>
    </row>
    <row r="9438" spans="1:7" x14ac:dyDescent="0.4">
      <c r="A9438">
        <v>37</v>
      </c>
      <c r="B9438" t="s">
        <v>2115</v>
      </c>
      <c r="C9438" s="10">
        <v>46.5</v>
      </c>
      <c r="D9438" s="10">
        <v>3.75</v>
      </c>
      <c r="E9438" s="16">
        <v>8.77</v>
      </c>
      <c r="F9438">
        <v>1666673</v>
      </c>
      <c r="G9438" s="5">
        <v>43117</v>
      </c>
    </row>
    <row r="9439" spans="1:7" x14ac:dyDescent="0.4">
      <c r="A9439">
        <v>38</v>
      </c>
      <c r="B9439" t="s">
        <v>2078</v>
      </c>
      <c r="C9439" s="10">
        <v>19.3</v>
      </c>
      <c r="D9439" s="10">
        <v>1.55</v>
      </c>
      <c r="E9439" s="16">
        <v>8.73</v>
      </c>
      <c r="F9439">
        <v>1572605</v>
      </c>
      <c r="G9439" s="5">
        <v>43117</v>
      </c>
    </row>
    <row r="9440" spans="1:7" x14ac:dyDescent="0.4">
      <c r="A9440">
        <v>39</v>
      </c>
      <c r="B9440" t="s">
        <v>218</v>
      </c>
      <c r="C9440" s="10">
        <v>30.19</v>
      </c>
      <c r="D9440" s="10">
        <v>2.41</v>
      </c>
      <c r="E9440" s="16">
        <v>8.68</v>
      </c>
      <c r="F9440">
        <v>414995</v>
      </c>
      <c r="G9440" s="5">
        <v>43117</v>
      </c>
    </row>
    <row r="9441" spans="1:7" x14ac:dyDescent="0.4">
      <c r="A9441">
        <v>40</v>
      </c>
      <c r="B9441" t="s">
        <v>919</v>
      </c>
      <c r="C9441" s="10">
        <v>5.53</v>
      </c>
      <c r="D9441" s="10">
        <v>0.44</v>
      </c>
      <c r="E9441" s="16">
        <v>8.64</v>
      </c>
      <c r="F9441">
        <v>539920</v>
      </c>
      <c r="G9441" s="5">
        <v>43117</v>
      </c>
    </row>
    <row r="9442" spans="1:7" x14ac:dyDescent="0.4">
      <c r="A9442">
        <v>41</v>
      </c>
      <c r="B9442" t="s">
        <v>742</v>
      </c>
      <c r="C9442" s="10">
        <v>176.12</v>
      </c>
      <c r="D9442" s="10">
        <v>13.95</v>
      </c>
      <c r="E9442" s="16">
        <v>8.6</v>
      </c>
      <c r="F9442">
        <v>763648</v>
      </c>
      <c r="G9442" s="5">
        <v>43117</v>
      </c>
    </row>
    <row r="9443" spans="1:7" x14ac:dyDescent="0.4">
      <c r="A9443">
        <v>42</v>
      </c>
      <c r="B9443" t="s">
        <v>1069</v>
      </c>
      <c r="C9443" s="10">
        <v>7.66</v>
      </c>
      <c r="D9443" s="10">
        <v>0.59</v>
      </c>
      <c r="E9443" s="16">
        <v>8.35</v>
      </c>
      <c r="F9443">
        <v>260234</v>
      </c>
      <c r="G9443" s="5">
        <v>43117</v>
      </c>
    </row>
    <row r="9444" spans="1:7" x14ac:dyDescent="0.4">
      <c r="A9444">
        <v>43</v>
      </c>
      <c r="B9444" t="s">
        <v>339</v>
      </c>
      <c r="C9444" s="10">
        <v>19.5</v>
      </c>
      <c r="D9444" s="10">
        <v>1.5</v>
      </c>
      <c r="E9444" s="16">
        <v>8.33</v>
      </c>
      <c r="F9444">
        <v>42315</v>
      </c>
      <c r="G9444" s="5">
        <v>43117</v>
      </c>
    </row>
    <row r="9445" spans="1:7" x14ac:dyDescent="0.4">
      <c r="A9445">
        <v>44</v>
      </c>
      <c r="B9445" t="s">
        <v>215</v>
      </c>
      <c r="C9445" s="10">
        <v>19.5</v>
      </c>
      <c r="D9445" s="10">
        <v>1.47</v>
      </c>
      <c r="E9445" s="16">
        <v>8.15</v>
      </c>
      <c r="F9445">
        <v>38937</v>
      </c>
      <c r="G9445" s="5">
        <v>43117</v>
      </c>
    </row>
    <row r="9446" spans="1:7" x14ac:dyDescent="0.4">
      <c r="A9446">
        <v>45</v>
      </c>
      <c r="B9446" t="s">
        <v>39</v>
      </c>
      <c r="C9446" s="10">
        <v>2.69</v>
      </c>
      <c r="D9446" s="10">
        <v>0.2</v>
      </c>
      <c r="E9446" s="16">
        <v>8.0299999999999994</v>
      </c>
      <c r="F9446">
        <v>4409580</v>
      </c>
      <c r="G9446" s="5">
        <v>43117</v>
      </c>
    </row>
    <row r="9447" spans="1:7" x14ac:dyDescent="0.4">
      <c r="A9447">
        <v>46</v>
      </c>
      <c r="B9447" t="s">
        <v>1617</v>
      </c>
      <c r="C9447" s="10">
        <v>86</v>
      </c>
      <c r="D9447" s="10">
        <v>6.38</v>
      </c>
      <c r="E9447" s="16">
        <v>8.01</v>
      </c>
      <c r="F9447">
        <v>3547780</v>
      </c>
      <c r="G9447" s="5">
        <v>43117</v>
      </c>
    </row>
    <row r="9448" spans="1:7" x14ac:dyDescent="0.4">
      <c r="A9448">
        <v>47</v>
      </c>
      <c r="B9448" t="s">
        <v>1737</v>
      </c>
      <c r="C9448" s="10">
        <v>4.63</v>
      </c>
      <c r="D9448" s="10">
        <v>0.34</v>
      </c>
      <c r="E9448" s="16">
        <v>7.93</v>
      </c>
      <c r="F9448">
        <v>902894</v>
      </c>
      <c r="G9448" s="5">
        <v>43117</v>
      </c>
    </row>
    <row r="9449" spans="1:7" x14ac:dyDescent="0.4">
      <c r="A9449">
        <v>48</v>
      </c>
      <c r="B9449" t="s">
        <v>937</v>
      </c>
      <c r="C9449" s="10">
        <v>9.34</v>
      </c>
      <c r="D9449" s="10">
        <v>0.69</v>
      </c>
      <c r="E9449" s="16">
        <v>7.92</v>
      </c>
      <c r="F9449">
        <v>924793</v>
      </c>
      <c r="G9449" s="5">
        <v>43117</v>
      </c>
    </row>
    <row r="9450" spans="1:7" x14ac:dyDescent="0.4">
      <c r="A9450">
        <v>49</v>
      </c>
      <c r="B9450" t="s">
        <v>2137</v>
      </c>
      <c r="C9450" s="10">
        <v>205.08</v>
      </c>
      <c r="D9450" s="10">
        <v>14.69</v>
      </c>
      <c r="E9450" s="16">
        <v>7.72</v>
      </c>
      <c r="F9450">
        <v>6366202</v>
      </c>
      <c r="G9450" s="5">
        <v>43117</v>
      </c>
    </row>
    <row r="9451" spans="1:7" x14ac:dyDescent="0.4">
      <c r="A9451">
        <v>50</v>
      </c>
      <c r="B9451" t="s">
        <v>490</v>
      </c>
      <c r="C9451" s="10">
        <v>75.650000000000006</v>
      </c>
      <c r="D9451" s="10">
        <v>5.4</v>
      </c>
      <c r="E9451" s="16">
        <v>7.69</v>
      </c>
      <c r="F9451">
        <v>5328257</v>
      </c>
      <c r="G9451" s="5">
        <v>43117</v>
      </c>
    </row>
    <row r="9452" spans="1:7" x14ac:dyDescent="0.4">
      <c r="A9452">
        <v>51</v>
      </c>
      <c r="B9452" t="s">
        <v>37</v>
      </c>
      <c r="C9452" s="10">
        <v>2.81</v>
      </c>
      <c r="D9452" s="10">
        <v>0.2</v>
      </c>
      <c r="E9452" s="16">
        <v>7.66</v>
      </c>
      <c r="F9452">
        <v>487403</v>
      </c>
      <c r="G9452" s="5">
        <v>43117</v>
      </c>
    </row>
    <row r="9453" spans="1:7" x14ac:dyDescent="0.4">
      <c r="A9453">
        <v>52</v>
      </c>
      <c r="B9453" t="s">
        <v>2049</v>
      </c>
      <c r="C9453" s="10">
        <v>3.68</v>
      </c>
      <c r="D9453" s="10">
        <v>0.26</v>
      </c>
      <c r="E9453" s="16">
        <v>7.6</v>
      </c>
      <c r="F9453">
        <v>133595</v>
      </c>
      <c r="G9453" s="5">
        <v>43117</v>
      </c>
    </row>
    <row r="9454" spans="1:7" x14ac:dyDescent="0.4">
      <c r="A9454">
        <v>53</v>
      </c>
      <c r="B9454" t="s">
        <v>575</v>
      </c>
      <c r="C9454" s="10">
        <v>23.67</v>
      </c>
      <c r="D9454" s="10">
        <v>1.66</v>
      </c>
      <c r="E9454" s="16">
        <v>7.54</v>
      </c>
      <c r="F9454">
        <v>1450967</v>
      </c>
      <c r="G9454" s="5">
        <v>43117</v>
      </c>
    </row>
    <row r="9455" spans="1:7" x14ac:dyDescent="0.4">
      <c r="A9455">
        <v>54</v>
      </c>
      <c r="B9455" t="s">
        <v>1375</v>
      </c>
      <c r="C9455" s="10">
        <v>175.25</v>
      </c>
      <c r="D9455" s="10">
        <v>11.9</v>
      </c>
      <c r="E9455" s="16">
        <v>7.28</v>
      </c>
      <c r="F9455">
        <v>1793990</v>
      </c>
      <c r="G9455" s="5">
        <v>43117</v>
      </c>
    </row>
    <row r="9456" spans="1:7" x14ac:dyDescent="0.4">
      <c r="A9456">
        <v>55</v>
      </c>
      <c r="B9456" t="s">
        <v>1049</v>
      </c>
      <c r="C9456" s="10">
        <v>7.37</v>
      </c>
      <c r="D9456" s="10">
        <v>0.5</v>
      </c>
      <c r="E9456" s="16">
        <v>7.28</v>
      </c>
      <c r="F9456">
        <v>52386</v>
      </c>
      <c r="G9456" s="5">
        <v>43117</v>
      </c>
    </row>
    <row r="9457" spans="1:7" x14ac:dyDescent="0.4">
      <c r="A9457">
        <v>56</v>
      </c>
      <c r="B9457" t="s">
        <v>1680</v>
      </c>
      <c r="C9457" s="10">
        <v>20.48</v>
      </c>
      <c r="D9457" s="10">
        <v>1.37</v>
      </c>
      <c r="E9457" s="16">
        <v>7.16</v>
      </c>
      <c r="F9457">
        <v>2519</v>
      </c>
      <c r="G9457" s="5">
        <v>43117</v>
      </c>
    </row>
    <row r="9458" spans="1:7" x14ac:dyDescent="0.4">
      <c r="A9458">
        <v>57</v>
      </c>
      <c r="B9458" t="s">
        <v>1734</v>
      </c>
      <c r="C9458" s="10">
        <v>7.83</v>
      </c>
      <c r="D9458" s="10">
        <v>0.52</v>
      </c>
      <c r="E9458" s="16">
        <v>7.11</v>
      </c>
      <c r="F9458">
        <v>152413</v>
      </c>
      <c r="G9458" s="5">
        <v>43117</v>
      </c>
    </row>
    <row r="9459" spans="1:7" x14ac:dyDescent="0.4">
      <c r="A9459">
        <v>58</v>
      </c>
      <c r="B9459" t="s">
        <v>1898</v>
      </c>
      <c r="C9459" s="10">
        <v>15.68</v>
      </c>
      <c r="D9459" s="10">
        <v>1.02</v>
      </c>
      <c r="E9459" s="16">
        <v>7</v>
      </c>
      <c r="F9459">
        <v>2829291</v>
      </c>
      <c r="G9459" s="5">
        <v>43117</v>
      </c>
    </row>
    <row r="9460" spans="1:7" x14ac:dyDescent="0.4">
      <c r="A9460">
        <v>59</v>
      </c>
      <c r="B9460" t="s">
        <v>1725</v>
      </c>
      <c r="C9460" s="10">
        <v>14.93</v>
      </c>
      <c r="D9460" s="10">
        <v>0.98</v>
      </c>
      <c r="E9460" s="16">
        <v>6.99</v>
      </c>
      <c r="F9460">
        <v>497013</v>
      </c>
      <c r="G9460" s="5">
        <v>43117</v>
      </c>
    </row>
    <row r="9461" spans="1:7" x14ac:dyDescent="0.4">
      <c r="A9461">
        <v>60</v>
      </c>
      <c r="B9461" t="s">
        <v>259</v>
      </c>
      <c r="C9461" s="10">
        <v>4.6500000000000004</v>
      </c>
      <c r="D9461" s="10">
        <v>0.3</v>
      </c>
      <c r="E9461" s="16">
        <v>6.9</v>
      </c>
      <c r="F9461">
        <v>658189</v>
      </c>
      <c r="G9461" s="5">
        <v>43117</v>
      </c>
    </row>
    <row r="9462" spans="1:7" x14ac:dyDescent="0.4">
      <c r="A9462">
        <v>61</v>
      </c>
      <c r="B9462" t="s">
        <v>2138</v>
      </c>
      <c r="C9462" s="10">
        <v>199.18</v>
      </c>
      <c r="D9462" s="10">
        <v>12.8</v>
      </c>
      <c r="E9462" s="16">
        <v>6.87</v>
      </c>
      <c r="F9462">
        <v>2639364</v>
      </c>
      <c r="G9462" s="5">
        <v>43117</v>
      </c>
    </row>
    <row r="9463" spans="1:7" x14ac:dyDescent="0.4">
      <c r="A9463">
        <v>62</v>
      </c>
      <c r="B9463" t="s">
        <v>67</v>
      </c>
      <c r="C9463" s="10">
        <v>25</v>
      </c>
      <c r="D9463" s="10">
        <v>1.59</v>
      </c>
      <c r="E9463" s="16">
        <v>6.79</v>
      </c>
      <c r="F9463">
        <v>5494</v>
      </c>
      <c r="G9463" s="5">
        <v>43117</v>
      </c>
    </row>
    <row r="9464" spans="1:7" x14ac:dyDescent="0.4">
      <c r="A9464">
        <v>63</v>
      </c>
      <c r="B9464" t="s">
        <v>217</v>
      </c>
      <c r="C9464" s="10">
        <v>5.26</v>
      </c>
      <c r="D9464" s="10">
        <v>0.33</v>
      </c>
      <c r="E9464" s="16">
        <v>6.69</v>
      </c>
      <c r="F9464">
        <v>67384</v>
      </c>
      <c r="G9464" s="5">
        <v>43117</v>
      </c>
    </row>
    <row r="9465" spans="1:7" x14ac:dyDescent="0.4">
      <c r="A9465">
        <v>64</v>
      </c>
      <c r="B9465" t="s">
        <v>2139</v>
      </c>
      <c r="C9465" s="10">
        <v>11.2</v>
      </c>
      <c r="D9465" s="10">
        <v>0.7</v>
      </c>
      <c r="E9465" s="16">
        <v>6.67</v>
      </c>
      <c r="F9465">
        <v>880920</v>
      </c>
      <c r="G9465" s="5">
        <v>43117</v>
      </c>
    </row>
    <row r="9466" spans="1:7" x14ac:dyDescent="0.4">
      <c r="A9466">
        <v>65</v>
      </c>
      <c r="B9466" t="s">
        <v>527</v>
      </c>
      <c r="C9466" s="10">
        <v>5.7</v>
      </c>
      <c r="D9466" s="10">
        <v>0.35</v>
      </c>
      <c r="E9466" s="16">
        <v>6.54</v>
      </c>
      <c r="F9466">
        <v>204923</v>
      </c>
      <c r="G9466" s="5">
        <v>43117</v>
      </c>
    </row>
    <row r="9467" spans="1:7" x14ac:dyDescent="0.4">
      <c r="A9467">
        <v>66</v>
      </c>
      <c r="B9467" t="s">
        <v>817</v>
      </c>
      <c r="C9467" s="10">
        <v>4.09</v>
      </c>
      <c r="D9467" s="10">
        <v>0.25</v>
      </c>
      <c r="E9467" s="16">
        <v>6.51</v>
      </c>
      <c r="F9467">
        <v>87582</v>
      </c>
      <c r="G9467" s="5">
        <v>43117</v>
      </c>
    </row>
    <row r="9468" spans="1:7" x14ac:dyDescent="0.4">
      <c r="A9468">
        <v>67</v>
      </c>
      <c r="B9468" t="s">
        <v>1201</v>
      </c>
      <c r="C9468" s="10">
        <v>6.39</v>
      </c>
      <c r="D9468" s="10">
        <v>0.39</v>
      </c>
      <c r="E9468" s="16">
        <v>6.5</v>
      </c>
      <c r="F9468">
        <v>390002</v>
      </c>
      <c r="G9468" s="5">
        <v>43117</v>
      </c>
    </row>
    <row r="9469" spans="1:7" x14ac:dyDescent="0.4">
      <c r="A9469">
        <v>68</v>
      </c>
      <c r="B9469" t="s">
        <v>349</v>
      </c>
      <c r="C9469" s="10">
        <v>21.51</v>
      </c>
      <c r="D9469" s="10">
        <v>1.31</v>
      </c>
      <c r="E9469" s="16">
        <v>6.49</v>
      </c>
      <c r="F9469">
        <v>935965</v>
      </c>
      <c r="G9469" s="5">
        <v>43117</v>
      </c>
    </row>
    <row r="9470" spans="1:7" x14ac:dyDescent="0.4">
      <c r="A9470">
        <v>69</v>
      </c>
      <c r="B9470" t="s">
        <v>754</v>
      </c>
      <c r="C9470" s="10">
        <v>113.38</v>
      </c>
      <c r="D9470" s="10">
        <v>6.89</v>
      </c>
      <c r="E9470" s="16">
        <v>6.47</v>
      </c>
      <c r="F9470">
        <v>68800</v>
      </c>
      <c r="G9470" s="5">
        <v>43117</v>
      </c>
    </row>
    <row r="9471" spans="1:7" x14ac:dyDescent="0.4">
      <c r="A9471">
        <v>70</v>
      </c>
      <c r="B9471" t="s">
        <v>2140</v>
      </c>
      <c r="C9471" s="10">
        <v>19.59</v>
      </c>
      <c r="D9471" s="10">
        <v>1.18</v>
      </c>
      <c r="E9471" s="16">
        <v>6.41</v>
      </c>
      <c r="F9471">
        <v>4703701</v>
      </c>
      <c r="G9471" s="5">
        <v>43117</v>
      </c>
    </row>
    <row r="9472" spans="1:7" x14ac:dyDescent="0.4">
      <c r="A9472">
        <v>71</v>
      </c>
      <c r="B9472" t="s">
        <v>905</v>
      </c>
      <c r="C9472" s="10">
        <v>34.409999999999997</v>
      </c>
      <c r="D9472" s="10">
        <v>2.0699999999999998</v>
      </c>
      <c r="E9472" s="16">
        <v>6.4</v>
      </c>
      <c r="F9472">
        <v>404492</v>
      </c>
      <c r="G9472" s="5">
        <v>43117</v>
      </c>
    </row>
    <row r="9473" spans="1:7" x14ac:dyDescent="0.4">
      <c r="A9473">
        <v>72</v>
      </c>
      <c r="B9473" t="s">
        <v>455</v>
      </c>
      <c r="C9473" s="10">
        <v>104.63</v>
      </c>
      <c r="D9473" s="10">
        <v>6.27</v>
      </c>
      <c r="E9473" s="16">
        <v>6.37</v>
      </c>
      <c r="F9473">
        <v>122516</v>
      </c>
      <c r="G9473" s="5">
        <v>43117</v>
      </c>
    </row>
    <row r="9474" spans="1:7" x14ac:dyDescent="0.4">
      <c r="A9474">
        <v>73</v>
      </c>
      <c r="B9474" t="s">
        <v>521</v>
      </c>
      <c r="C9474" s="10">
        <v>18.18</v>
      </c>
      <c r="D9474" s="10">
        <v>1.08</v>
      </c>
      <c r="E9474" s="16">
        <v>6.32</v>
      </c>
      <c r="F9474">
        <v>256294</v>
      </c>
      <c r="G9474" s="5">
        <v>43117</v>
      </c>
    </row>
    <row r="9475" spans="1:7" x14ac:dyDescent="0.4">
      <c r="A9475">
        <v>74</v>
      </c>
      <c r="B9475" t="s">
        <v>1334</v>
      </c>
      <c r="C9475" s="10">
        <v>6</v>
      </c>
      <c r="D9475" s="10">
        <v>0.35</v>
      </c>
      <c r="E9475" s="16">
        <v>6.29</v>
      </c>
      <c r="F9475">
        <v>71495</v>
      </c>
      <c r="G9475" s="5">
        <v>43117</v>
      </c>
    </row>
    <row r="9476" spans="1:7" x14ac:dyDescent="0.4">
      <c r="A9476">
        <v>75</v>
      </c>
      <c r="B9476" t="s">
        <v>390</v>
      </c>
      <c r="C9476" s="10">
        <v>12.01</v>
      </c>
      <c r="D9476" s="10">
        <v>0.71</v>
      </c>
      <c r="E9476" s="16">
        <v>6.28</v>
      </c>
      <c r="F9476">
        <v>84794</v>
      </c>
      <c r="G9476" s="5">
        <v>43117</v>
      </c>
    </row>
    <row r="9477" spans="1:7" x14ac:dyDescent="0.4">
      <c r="A9477">
        <v>76</v>
      </c>
      <c r="B9477" t="s">
        <v>1357</v>
      </c>
      <c r="C9477" s="10">
        <v>2.54</v>
      </c>
      <c r="D9477" s="10">
        <v>0.15</v>
      </c>
      <c r="E9477" s="16">
        <v>6.28</v>
      </c>
      <c r="F9477">
        <v>16769</v>
      </c>
      <c r="G9477" s="5">
        <v>43117</v>
      </c>
    </row>
    <row r="9478" spans="1:7" x14ac:dyDescent="0.4">
      <c r="A9478">
        <v>77</v>
      </c>
      <c r="B9478" t="s">
        <v>1179</v>
      </c>
      <c r="C9478" s="10">
        <v>6.96</v>
      </c>
      <c r="D9478" s="10">
        <v>0.41</v>
      </c>
      <c r="E9478" s="16">
        <v>6.26</v>
      </c>
      <c r="F9478">
        <v>411897</v>
      </c>
      <c r="G9478" s="5">
        <v>43117</v>
      </c>
    </row>
    <row r="9479" spans="1:7" x14ac:dyDescent="0.4">
      <c r="A9479">
        <v>78</v>
      </c>
      <c r="B9479" t="s">
        <v>2141</v>
      </c>
      <c r="C9479" s="10">
        <v>118.96</v>
      </c>
      <c r="D9479" s="10">
        <v>6.99</v>
      </c>
      <c r="E9479" s="16">
        <v>6.24</v>
      </c>
      <c r="F9479">
        <v>1323884</v>
      </c>
      <c r="G9479" s="5">
        <v>43117</v>
      </c>
    </row>
    <row r="9480" spans="1:7" x14ac:dyDescent="0.4">
      <c r="A9480">
        <v>79</v>
      </c>
      <c r="B9480" t="s">
        <v>461</v>
      </c>
      <c r="C9480" s="10">
        <v>7.35</v>
      </c>
      <c r="D9480" s="10">
        <v>0.43</v>
      </c>
      <c r="E9480" s="16">
        <v>6.21</v>
      </c>
      <c r="F9480">
        <v>634256</v>
      </c>
      <c r="G9480" s="5">
        <v>43117</v>
      </c>
    </row>
    <row r="9481" spans="1:7" x14ac:dyDescent="0.4">
      <c r="A9481">
        <v>80</v>
      </c>
      <c r="B9481" t="s">
        <v>287</v>
      </c>
      <c r="C9481" s="10">
        <v>5.69</v>
      </c>
      <c r="D9481" s="10">
        <v>0.33</v>
      </c>
      <c r="E9481" s="16">
        <v>6.16</v>
      </c>
      <c r="F9481">
        <v>57558</v>
      </c>
      <c r="G9481" s="5">
        <v>43117</v>
      </c>
    </row>
    <row r="9482" spans="1:7" x14ac:dyDescent="0.4">
      <c r="A9482">
        <v>81</v>
      </c>
      <c r="B9482" t="s">
        <v>597</v>
      </c>
      <c r="C9482" s="10">
        <v>24.52</v>
      </c>
      <c r="D9482" s="10">
        <v>1.42</v>
      </c>
      <c r="E9482" s="16">
        <v>6.15</v>
      </c>
      <c r="F9482">
        <v>230057</v>
      </c>
      <c r="G9482" s="5">
        <v>43117</v>
      </c>
    </row>
    <row r="9483" spans="1:7" x14ac:dyDescent="0.4">
      <c r="A9483">
        <v>82</v>
      </c>
      <c r="B9483" t="s">
        <v>1055</v>
      </c>
      <c r="C9483" s="10">
        <v>12.15</v>
      </c>
      <c r="D9483" s="10">
        <v>0.7</v>
      </c>
      <c r="E9483" s="16">
        <v>6.11</v>
      </c>
      <c r="F9483">
        <v>140777</v>
      </c>
      <c r="G9483" s="5">
        <v>43117</v>
      </c>
    </row>
    <row r="9484" spans="1:7" x14ac:dyDescent="0.4">
      <c r="A9484">
        <v>83</v>
      </c>
      <c r="B9484" t="s">
        <v>328</v>
      </c>
      <c r="C9484" s="10">
        <v>6.49</v>
      </c>
      <c r="D9484" s="10">
        <v>0.37</v>
      </c>
      <c r="E9484" s="16">
        <v>6.05</v>
      </c>
      <c r="F9484">
        <v>147678</v>
      </c>
      <c r="G9484" s="5">
        <v>43117</v>
      </c>
    </row>
    <row r="9485" spans="1:7" x14ac:dyDescent="0.4">
      <c r="A9485">
        <v>84</v>
      </c>
      <c r="B9485" t="s">
        <v>48</v>
      </c>
      <c r="C9485" s="10">
        <v>37.770000000000003</v>
      </c>
      <c r="D9485" s="10">
        <v>2.15</v>
      </c>
      <c r="E9485" s="16">
        <v>6.04</v>
      </c>
      <c r="F9485">
        <v>309830</v>
      </c>
      <c r="G9485" s="5">
        <v>43117</v>
      </c>
    </row>
    <row r="9486" spans="1:7" x14ac:dyDescent="0.4">
      <c r="A9486">
        <v>85</v>
      </c>
      <c r="B9486" t="s">
        <v>772</v>
      </c>
      <c r="C9486" s="10">
        <v>41.54</v>
      </c>
      <c r="D9486" s="10">
        <v>2.35</v>
      </c>
      <c r="E9486" s="16">
        <v>6</v>
      </c>
      <c r="F9486">
        <v>6585902</v>
      </c>
      <c r="G9486" s="5">
        <v>43117</v>
      </c>
    </row>
    <row r="9487" spans="1:7" x14ac:dyDescent="0.4">
      <c r="A9487">
        <v>86</v>
      </c>
      <c r="B9487" t="s">
        <v>493</v>
      </c>
      <c r="C9487" s="10">
        <v>17.739999999999998</v>
      </c>
      <c r="D9487" s="10">
        <v>0.99</v>
      </c>
      <c r="E9487" s="16">
        <v>5.91</v>
      </c>
      <c r="F9487">
        <v>350420</v>
      </c>
      <c r="G9487" s="5">
        <v>43117</v>
      </c>
    </row>
    <row r="9488" spans="1:7" x14ac:dyDescent="0.4">
      <c r="A9488">
        <v>87</v>
      </c>
      <c r="B9488" t="s">
        <v>1106</v>
      </c>
      <c r="C9488" s="10">
        <v>18.53</v>
      </c>
      <c r="D9488" s="10">
        <v>1.03</v>
      </c>
      <c r="E9488" s="16">
        <v>5.89</v>
      </c>
      <c r="F9488">
        <v>474107</v>
      </c>
      <c r="G9488" s="5">
        <v>43117</v>
      </c>
    </row>
    <row r="9489" spans="1:7" x14ac:dyDescent="0.4">
      <c r="A9489">
        <v>88</v>
      </c>
      <c r="B9489" t="s">
        <v>2110</v>
      </c>
      <c r="C9489" s="10">
        <v>4.5</v>
      </c>
      <c r="D9489" s="10">
        <v>0.25</v>
      </c>
      <c r="E9489" s="16">
        <v>5.88</v>
      </c>
      <c r="F9489">
        <v>53893</v>
      </c>
      <c r="G9489" s="5">
        <v>43117</v>
      </c>
    </row>
    <row r="9490" spans="1:7" x14ac:dyDescent="0.4">
      <c r="A9490">
        <v>89</v>
      </c>
      <c r="B9490" t="s">
        <v>322</v>
      </c>
      <c r="C9490" s="10">
        <v>9.1</v>
      </c>
      <c r="D9490" s="10">
        <v>0.5</v>
      </c>
      <c r="E9490" s="16">
        <v>5.81</v>
      </c>
      <c r="F9490">
        <v>66078</v>
      </c>
      <c r="G9490" s="5">
        <v>43117</v>
      </c>
    </row>
    <row r="9491" spans="1:7" x14ac:dyDescent="0.4">
      <c r="A9491">
        <v>90</v>
      </c>
      <c r="B9491" t="s">
        <v>291</v>
      </c>
      <c r="C9491" s="10">
        <v>17.3</v>
      </c>
      <c r="D9491" s="10">
        <v>0.95</v>
      </c>
      <c r="E9491" s="16">
        <v>5.81</v>
      </c>
      <c r="F9491">
        <v>231392</v>
      </c>
      <c r="G9491" s="5">
        <v>43117</v>
      </c>
    </row>
    <row r="9492" spans="1:7" x14ac:dyDescent="0.4">
      <c r="A9492">
        <v>91</v>
      </c>
      <c r="B9492" t="s">
        <v>1720</v>
      </c>
      <c r="C9492" s="10">
        <v>6.39</v>
      </c>
      <c r="D9492" s="10">
        <v>0.35</v>
      </c>
      <c r="E9492" s="16">
        <v>5.79</v>
      </c>
      <c r="F9492">
        <v>27336</v>
      </c>
      <c r="G9492" s="5">
        <v>43117</v>
      </c>
    </row>
    <row r="9493" spans="1:7" x14ac:dyDescent="0.4">
      <c r="A9493">
        <v>92</v>
      </c>
      <c r="B9493" t="s">
        <v>1824</v>
      </c>
      <c r="C9493" s="10">
        <v>19.010000000000002</v>
      </c>
      <c r="D9493" s="10">
        <v>1.04</v>
      </c>
      <c r="E9493" s="16">
        <v>5.79</v>
      </c>
      <c r="F9493">
        <v>107692</v>
      </c>
      <c r="G9493" s="5">
        <v>43117</v>
      </c>
    </row>
    <row r="9494" spans="1:7" x14ac:dyDescent="0.4">
      <c r="A9494">
        <v>93</v>
      </c>
      <c r="B9494" t="s">
        <v>2142</v>
      </c>
      <c r="C9494" s="10">
        <v>103.3</v>
      </c>
      <c r="D9494" s="10">
        <v>5.65</v>
      </c>
      <c r="E9494" s="16">
        <v>5.79</v>
      </c>
      <c r="F9494">
        <v>540789</v>
      </c>
      <c r="G9494" s="5">
        <v>43117</v>
      </c>
    </row>
    <row r="9495" spans="1:7" x14ac:dyDescent="0.4">
      <c r="A9495">
        <v>94</v>
      </c>
      <c r="B9495" t="s">
        <v>2143</v>
      </c>
      <c r="C9495" s="10">
        <v>7.34</v>
      </c>
      <c r="D9495" s="10">
        <v>0.4</v>
      </c>
      <c r="E9495" s="16">
        <v>5.76</v>
      </c>
      <c r="F9495">
        <v>16010849</v>
      </c>
      <c r="G9495" s="5">
        <v>43117</v>
      </c>
    </row>
    <row r="9496" spans="1:7" x14ac:dyDescent="0.4">
      <c r="A9496">
        <v>95</v>
      </c>
      <c r="B9496" t="s">
        <v>1372</v>
      </c>
      <c r="C9496" s="10">
        <v>21.72</v>
      </c>
      <c r="D9496" s="10">
        <v>1.18</v>
      </c>
      <c r="E9496" s="16">
        <v>5.74</v>
      </c>
      <c r="F9496">
        <v>455819</v>
      </c>
      <c r="G9496" s="5">
        <v>43117</v>
      </c>
    </row>
    <row r="9497" spans="1:7" x14ac:dyDescent="0.4">
      <c r="A9497">
        <v>96</v>
      </c>
      <c r="B9497" t="s">
        <v>136</v>
      </c>
      <c r="C9497" s="10">
        <v>24.01</v>
      </c>
      <c r="D9497" s="10">
        <v>1.3</v>
      </c>
      <c r="E9497" s="16">
        <v>5.72</v>
      </c>
      <c r="F9497">
        <v>46578</v>
      </c>
      <c r="G9497" s="5">
        <v>43117</v>
      </c>
    </row>
    <row r="9498" spans="1:7" x14ac:dyDescent="0.4">
      <c r="A9498">
        <v>97</v>
      </c>
      <c r="B9498" t="s">
        <v>915</v>
      </c>
      <c r="C9498" s="10">
        <v>11.67</v>
      </c>
      <c r="D9498" s="10">
        <v>0.63</v>
      </c>
      <c r="E9498" s="16">
        <v>5.71</v>
      </c>
      <c r="F9498">
        <v>1274452</v>
      </c>
      <c r="G9498" s="5">
        <v>43117</v>
      </c>
    </row>
    <row r="9499" spans="1:7" x14ac:dyDescent="0.4">
      <c r="A9499">
        <v>98</v>
      </c>
      <c r="B9499" t="s">
        <v>2022</v>
      </c>
      <c r="C9499" s="10">
        <v>20.399999999999999</v>
      </c>
      <c r="D9499" s="10">
        <v>1.1000000000000001</v>
      </c>
      <c r="E9499" s="16">
        <v>5.7</v>
      </c>
      <c r="F9499">
        <v>1255296</v>
      </c>
      <c r="G9499" s="5">
        <v>43117</v>
      </c>
    </row>
    <row r="9500" spans="1:7" x14ac:dyDescent="0.4">
      <c r="A9500">
        <v>99</v>
      </c>
      <c r="B9500" t="s">
        <v>746</v>
      </c>
      <c r="C9500" s="10">
        <v>44.95</v>
      </c>
      <c r="D9500" s="10">
        <v>2.41</v>
      </c>
      <c r="E9500" s="16">
        <v>5.67</v>
      </c>
      <c r="F9500">
        <v>1334863</v>
      </c>
      <c r="G9500" s="5">
        <v>43117</v>
      </c>
    </row>
    <row r="9501" spans="1:7" x14ac:dyDescent="0.4">
      <c r="A9501">
        <v>100</v>
      </c>
      <c r="B9501" t="s">
        <v>1085</v>
      </c>
      <c r="C9501" s="10">
        <v>2.8</v>
      </c>
      <c r="D9501" s="10">
        <v>0.15</v>
      </c>
      <c r="E9501" s="16">
        <v>5.66</v>
      </c>
      <c r="F9501">
        <v>219256</v>
      </c>
      <c r="G9501" s="5">
        <v>43117</v>
      </c>
    </row>
    <row r="9502" spans="1:7" x14ac:dyDescent="0.4">
      <c r="A9502">
        <v>1</v>
      </c>
      <c r="B9502" t="s">
        <v>1927</v>
      </c>
      <c r="C9502" s="10">
        <v>69.25</v>
      </c>
      <c r="D9502" s="10">
        <v>23.65</v>
      </c>
      <c r="E9502" s="16">
        <v>51.86</v>
      </c>
      <c r="F9502">
        <v>21972667</v>
      </c>
      <c r="G9502" s="5">
        <v>43118</v>
      </c>
    </row>
    <row r="9503" spans="1:7" x14ac:dyDescent="0.4">
      <c r="A9503">
        <v>2</v>
      </c>
      <c r="B9503" t="s">
        <v>150</v>
      </c>
      <c r="C9503" s="10">
        <v>2.85</v>
      </c>
      <c r="D9503" s="10">
        <v>0.5</v>
      </c>
      <c r="E9503" s="16">
        <v>21.28</v>
      </c>
      <c r="F9503">
        <v>416304</v>
      </c>
      <c r="G9503" s="5">
        <v>43118</v>
      </c>
    </row>
    <row r="9504" spans="1:7" x14ac:dyDescent="0.4">
      <c r="A9504">
        <v>3</v>
      </c>
      <c r="B9504" t="s">
        <v>1136</v>
      </c>
      <c r="C9504" s="10">
        <v>17.149999999999999</v>
      </c>
      <c r="D9504" s="10">
        <v>2.97</v>
      </c>
      <c r="E9504" s="16">
        <v>20.94</v>
      </c>
      <c r="F9504">
        <v>486591</v>
      </c>
      <c r="G9504" s="5">
        <v>43118</v>
      </c>
    </row>
    <row r="9505" spans="1:7" x14ac:dyDescent="0.4">
      <c r="A9505">
        <v>4</v>
      </c>
      <c r="B9505" t="s">
        <v>1090</v>
      </c>
      <c r="C9505" s="10">
        <v>30.66</v>
      </c>
      <c r="D9505" s="10">
        <v>5.0599999999999996</v>
      </c>
      <c r="E9505" s="16">
        <v>19.77</v>
      </c>
      <c r="F9505">
        <v>3784385</v>
      </c>
      <c r="G9505" s="5">
        <v>43118</v>
      </c>
    </row>
    <row r="9506" spans="1:7" x14ac:dyDescent="0.4">
      <c r="A9506">
        <v>5</v>
      </c>
      <c r="B9506" t="s">
        <v>2131</v>
      </c>
      <c r="C9506" s="10">
        <v>2.41</v>
      </c>
      <c r="D9506" s="10">
        <v>0.34</v>
      </c>
      <c r="E9506" s="16">
        <v>16.43</v>
      </c>
      <c r="F9506">
        <v>16251322</v>
      </c>
      <c r="G9506" s="5">
        <v>43118</v>
      </c>
    </row>
    <row r="9507" spans="1:7" x14ac:dyDescent="0.4">
      <c r="A9507">
        <v>6</v>
      </c>
      <c r="B9507" t="s">
        <v>739</v>
      </c>
      <c r="C9507" s="10">
        <v>13.68</v>
      </c>
      <c r="D9507" s="10">
        <v>1.86</v>
      </c>
      <c r="E9507" s="16">
        <v>15.74</v>
      </c>
      <c r="F9507">
        <v>187220</v>
      </c>
      <c r="G9507" s="5">
        <v>43118</v>
      </c>
    </row>
    <row r="9508" spans="1:7" x14ac:dyDescent="0.4">
      <c r="A9508">
        <v>7</v>
      </c>
      <c r="B9508" t="s">
        <v>2030</v>
      </c>
      <c r="C9508" s="10">
        <v>3.1</v>
      </c>
      <c r="D9508" s="10">
        <v>0.4</v>
      </c>
      <c r="E9508" s="16">
        <v>14.81</v>
      </c>
      <c r="F9508">
        <v>839043</v>
      </c>
      <c r="G9508" s="5">
        <v>43118</v>
      </c>
    </row>
    <row r="9509" spans="1:7" x14ac:dyDescent="0.4">
      <c r="A9509">
        <v>8</v>
      </c>
      <c r="B9509" t="s">
        <v>643</v>
      </c>
      <c r="C9509" s="10">
        <v>7.53</v>
      </c>
      <c r="D9509" s="10">
        <v>0.9</v>
      </c>
      <c r="E9509" s="16">
        <v>13.57</v>
      </c>
      <c r="F9509">
        <v>525595</v>
      </c>
      <c r="G9509" s="5">
        <v>43118</v>
      </c>
    </row>
    <row r="9510" spans="1:7" x14ac:dyDescent="0.4">
      <c r="A9510">
        <v>9</v>
      </c>
      <c r="B9510" t="s">
        <v>987</v>
      </c>
      <c r="C9510" s="10">
        <v>8.24</v>
      </c>
      <c r="D9510" s="10">
        <v>0.96</v>
      </c>
      <c r="E9510" s="16">
        <v>13.19</v>
      </c>
      <c r="F9510">
        <v>225073</v>
      </c>
      <c r="G9510" s="5">
        <v>43118</v>
      </c>
    </row>
    <row r="9511" spans="1:7" x14ac:dyDescent="0.4">
      <c r="A9511">
        <v>10</v>
      </c>
      <c r="B9511" t="s">
        <v>1096</v>
      </c>
      <c r="C9511" s="10">
        <v>4.6500000000000004</v>
      </c>
      <c r="D9511" s="10">
        <v>0.54</v>
      </c>
      <c r="E9511" s="16">
        <v>13.14</v>
      </c>
      <c r="F9511">
        <v>221493</v>
      </c>
      <c r="G9511" s="5">
        <v>43118</v>
      </c>
    </row>
    <row r="9512" spans="1:7" x14ac:dyDescent="0.4">
      <c r="A9512">
        <v>11</v>
      </c>
      <c r="B9512" t="s">
        <v>912</v>
      </c>
      <c r="C9512" s="10">
        <v>11.65</v>
      </c>
      <c r="D9512" s="10">
        <v>1.33</v>
      </c>
      <c r="E9512" s="16">
        <v>12.89</v>
      </c>
      <c r="F9512">
        <v>93410</v>
      </c>
      <c r="G9512" s="5">
        <v>43118</v>
      </c>
    </row>
    <row r="9513" spans="1:7" x14ac:dyDescent="0.4">
      <c r="A9513">
        <v>12</v>
      </c>
      <c r="B9513" t="s">
        <v>1094</v>
      </c>
      <c r="C9513" s="10">
        <v>15.78</v>
      </c>
      <c r="D9513" s="10">
        <v>1.78</v>
      </c>
      <c r="E9513" s="16">
        <v>12.74</v>
      </c>
      <c r="F9513">
        <v>8468</v>
      </c>
      <c r="G9513" s="5">
        <v>43118</v>
      </c>
    </row>
    <row r="9514" spans="1:7" x14ac:dyDescent="0.4">
      <c r="A9514">
        <v>13</v>
      </c>
      <c r="B9514" t="s">
        <v>925</v>
      </c>
      <c r="C9514" s="10">
        <v>7.91</v>
      </c>
      <c r="D9514" s="10">
        <v>0.89</v>
      </c>
      <c r="E9514" s="16">
        <v>12.68</v>
      </c>
      <c r="F9514">
        <v>303644</v>
      </c>
      <c r="G9514" s="5">
        <v>43118</v>
      </c>
    </row>
    <row r="9515" spans="1:7" x14ac:dyDescent="0.4">
      <c r="A9515">
        <v>14</v>
      </c>
      <c r="B9515" t="s">
        <v>371</v>
      </c>
      <c r="C9515" s="10">
        <v>16.25</v>
      </c>
      <c r="D9515" s="10">
        <v>1.78</v>
      </c>
      <c r="E9515" s="16">
        <v>12.3</v>
      </c>
      <c r="F9515">
        <v>28409</v>
      </c>
      <c r="G9515" s="5">
        <v>43118</v>
      </c>
    </row>
    <row r="9516" spans="1:7" x14ac:dyDescent="0.4">
      <c r="A9516">
        <v>15</v>
      </c>
      <c r="B9516" t="s">
        <v>438</v>
      </c>
      <c r="C9516" s="10">
        <v>9.0399999999999991</v>
      </c>
      <c r="D9516" s="10">
        <v>0.98</v>
      </c>
      <c r="E9516" s="16">
        <v>12.16</v>
      </c>
      <c r="F9516">
        <v>419048</v>
      </c>
      <c r="G9516" s="5">
        <v>43118</v>
      </c>
    </row>
    <row r="9517" spans="1:7" x14ac:dyDescent="0.4">
      <c r="A9517">
        <v>16</v>
      </c>
      <c r="B9517" t="s">
        <v>2080</v>
      </c>
      <c r="C9517" s="10">
        <v>12.79</v>
      </c>
      <c r="D9517" s="10">
        <v>1.35</v>
      </c>
      <c r="E9517" s="16">
        <v>11.8</v>
      </c>
      <c r="F9517">
        <v>408487</v>
      </c>
      <c r="G9517" s="5">
        <v>43118</v>
      </c>
    </row>
    <row r="9518" spans="1:7" x14ac:dyDescent="0.4">
      <c r="A9518">
        <v>17</v>
      </c>
      <c r="B9518" t="s">
        <v>166</v>
      </c>
      <c r="C9518" s="10">
        <v>5.97</v>
      </c>
      <c r="D9518" s="10">
        <v>0.63</v>
      </c>
      <c r="E9518" s="16">
        <v>11.8</v>
      </c>
      <c r="F9518">
        <v>1090949</v>
      </c>
      <c r="G9518" s="5">
        <v>43118</v>
      </c>
    </row>
    <row r="9519" spans="1:7" x14ac:dyDescent="0.4">
      <c r="A9519">
        <v>18</v>
      </c>
      <c r="B9519" t="s">
        <v>1036</v>
      </c>
      <c r="C9519" s="10">
        <v>2.82</v>
      </c>
      <c r="D9519" s="10">
        <v>0.28999999999999998</v>
      </c>
      <c r="E9519" s="16">
        <v>11.46</v>
      </c>
      <c r="F9519">
        <v>1301286</v>
      </c>
      <c r="G9519" s="5">
        <v>43118</v>
      </c>
    </row>
    <row r="9520" spans="1:7" x14ac:dyDescent="0.4">
      <c r="A9520">
        <v>19</v>
      </c>
      <c r="B9520" t="s">
        <v>2132</v>
      </c>
      <c r="C9520" s="10">
        <v>17.2</v>
      </c>
      <c r="D9520" s="10">
        <v>1.75</v>
      </c>
      <c r="E9520" s="16">
        <v>11.33</v>
      </c>
      <c r="F9520">
        <v>1744078</v>
      </c>
      <c r="G9520" s="5">
        <v>43118</v>
      </c>
    </row>
    <row r="9521" spans="1:7" x14ac:dyDescent="0.4">
      <c r="A9521">
        <v>20</v>
      </c>
      <c r="B9521" t="s">
        <v>559</v>
      </c>
      <c r="C9521" s="10">
        <v>27.95</v>
      </c>
      <c r="D9521" s="10">
        <v>2.82</v>
      </c>
      <c r="E9521" s="16">
        <v>11.22</v>
      </c>
      <c r="F9521">
        <v>13146190</v>
      </c>
      <c r="G9521" s="5">
        <v>43118</v>
      </c>
    </row>
    <row r="9522" spans="1:7" x14ac:dyDescent="0.4">
      <c r="A9522">
        <v>21</v>
      </c>
      <c r="B9522" t="s">
        <v>366</v>
      </c>
      <c r="C9522" s="10">
        <v>9.4499999999999993</v>
      </c>
      <c r="D9522" s="10">
        <v>0.95</v>
      </c>
      <c r="E9522" s="16">
        <v>11.18</v>
      </c>
      <c r="F9522">
        <v>8801486</v>
      </c>
      <c r="G9522" s="5">
        <v>43118</v>
      </c>
    </row>
    <row r="9523" spans="1:7" x14ac:dyDescent="0.4">
      <c r="A9523">
        <v>22</v>
      </c>
      <c r="B9523" t="s">
        <v>17</v>
      </c>
      <c r="C9523" s="10">
        <v>12.52</v>
      </c>
      <c r="D9523" s="10">
        <v>1.25</v>
      </c>
      <c r="E9523" s="16">
        <v>11.09</v>
      </c>
      <c r="F9523">
        <v>501723</v>
      </c>
      <c r="G9523" s="5">
        <v>43118</v>
      </c>
    </row>
    <row r="9524" spans="1:7" x14ac:dyDescent="0.4">
      <c r="A9524">
        <v>23</v>
      </c>
      <c r="B9524" t="s">
        <v>296</v>
      </c>
      <c r="C9524" s="10">
        <v>4.5199999999999996</v>
      </c>
      <c r="D9524" s="10">
        <v>0.45</v>
      </c>
      <c r="E9524" s="16">
        <v>11.06</v>
      </c>
      <c r="F9524">
        <v>218199</v>
      </c>
      <c r="G9524" s="5">
        <v>43118</v>
      </c>
    </row>
    <row r="9525" spans="1:7" x14ac:dyDescent="0.4">
      <c r="A9525">
        <v>24</v>
      </c>
      <c r="B9525" t="s">
        <v>2133</v>
      </c>
      <c r="C9525" s="10">
        <v>17.89</v>
      </c>
      <c r="D9525" s="10">
        <v>1.73</v>
      </c>
      <c r="E9525" s="16">
        <v>10.71</v>
      </c>
      <c r="F9525">
        <v>4672726</v>
      </c>
      <c r="G9525" s="5">
        <v>43118</v>
      </c>
    </row>
    <row r="9526" spans="1:7" x14ac:dyDescent="0.4">
      <c r="A9526">
        <v>25</v>
      </c>
      <c r="B9526" t="s">
        <v>1872</v>
      </c>
      <c r="C9526" s="10">
        <v>3.79</v>
      </c>
      <c r="D9526" s="10">
        <v>0.36</v>
      </c>
      <c r="E9526" s="16">
        <v>10.49</v>
      </c>
      <c r="F9526">
        <v>280187</v>
      </c>
      <c r="G9526" s="5">
        <v>43118</v>
      </c>
    </row>
    <row r="9527" spans="1:7" x14ac:dyDescent="0.4">
      <c r="A9527">
        <v>26</v>
      </c>
      <c r="B9527" t="s">
        <v>572</v>
      </c>
      <c r="C9527" s="10">
        <v>10.1</v>
      </c>
      <c r="D9527" s="10">
        <v>0.95</v>
      </c>
      <c r="E9527" s="16">
        <v>10.38</v>
      </c>
      <c r="F9527">
        <v>117216</v>
      </c>
      <c r="G9527" s="5">
        <v>43118</v>
      </c>
    </row>
    <row r="9528" spans="1:7" x14ac:dyDescent="0.4">
      <c r="A9528">
        <v>27</v>
      </c>
      <c r="B9528" t="s">
        <v>185</v>
      </c>
      <c r="C9528" s="10">
        <v>3.46</v>
      </c>
      <c r="D9528" s="10">
        <v>0.31</v>
      </c>
      <c r="E9528" s="16">
        <v>10.02</v>
      </c>
      <c r="F9528">
        <v>676992</v>
      </c>
      <c r="G9528" s="5">
        <v>43118</v>
      </c>
    </row>
    <row r="9529" spans="1:7" x14ac:dyDescent="0.4">
      <c r="A9529">
        <v>28</v>
      </c>
      <c r="B9529" t="s">
        <v>188</v>
      </c>
      <c r="C9529" s="10">
        <v>2.75</v>
      </c>
      <c r="D9529" s="10">
        <v>0.25</v>
      </c>
      <c r="E9529" s="16">
        <v>10</v>
      </c>
      <c r="F9529">
        <v>150190</v>
      </c>
      <c r="G9529" s="5">
        <v>43118</v>
      </c>
    </row>
    <row r="9530" spans="1:7" x14ac:dyDescent="0.4">
      <c r="A9530">
        <v>29</v>
      </c>
      <c r="B9530" t="s">
        <v>395</v>
      </c>
      <c r="C9530" s="10">
        <v>2.88</v>
      </c>
      <c r="D9530" s="10">
        <v>0.26</v>
      </c>
      <c r="E9530" s="16">
        <v>9.92</v>
      </c>
      <c r="F9530">
        <v>509836</v>
      </c>
      <c r="G9530" s="5">
        <v>43118</v>
      </c>
    </row>
    <row r="9531" spans="1:7" x14ac:dyDescent="0.4">
      <c r="A9531">
        <v>30</v>
      </c>
      <c r="B9531" t="s">
        <v>2134</v>
      </c>
      <c r="C9531" s="10">
        <v>35.74</v>
      </c>
      <c r="D9531" s="10">
        <v>3.21</v>
      </c>
      <c r="E9531" s="16">
        <v>9.8699999999999992</v>
      </c>
      <c r="F9531">
        <v>425035</v>
      </c>
      <c r="G9531" s="5">
        <v>43118</v>
      </c>
    </row>
    <row r="9532" spans="1:7" x14ac:dyDescent="0.4">
      <c r="A9532">
        <v>31</v>
      </c>
      <c r="B9532" t="s">
        <v>2104</v>
      </c>
      <c r="C9532" s="10">
        <v>3.53</v>
      </c>
      <c r="D9532" s="10">
        <v>0.31</v>
      </c>
      <c r="E9532" s="16">
        <v>9.6300000000000008</v>
      </c>
      <c r="F9532">
        <v>189706</v>
      </c>
      <c r="G9532" s="5">
        <v>43118</v>
      </c>
    </row>
    <row r="9533" spans="1:7" x14ac:dyDescent="0.4">
      <c r="A9533">
        <v>32</v>
      </c>
      <c r="B9533" t="s">
        <v>327</v>
      </c>
      <c r="C9533" s="10">
        <v>22.01</v>
      </c>
      <c r="D9533" s="10">
        <v>1.91</v>
      </c>
      <c r="E9533" s="16">
        <v>9.5</v>
      </c>
      <c r="F9533">
        <v>1091324</v>
      </c>
      <c r="G9533" s="5">
        <v>43118</v>
      </c>
    </row>
    <row r="9534" spans="1:7" x14ac:dyDescent="0.4">
      <c r="A9534">
        <v>33</v>
      </c>
      <c r="B9534" t="s">
        <v>334</v>
      </c>
      <c r="C9534" s="10">
        <v>3.64</v>
      </c>
      <c r="D9534" s="10">
        <v>0.31</v>
      </c>
      <c r="E9534" s="16">
        <v>9.31</v>
      </c>
      <c r="F9534">
        <v>330928</v>
      </c>
      <c r="G9534" s="5">
        <v>43118</v>
      </c>
    </row>
    <row r="9535" spans="1:7" x14ac:dyDescent="0.4">
      <c r="A9535">
        <v>34</v>
      </c>
      <c r="B9535" t="s">
        <v>361</v>
      </c>
      <c r="C9535" s="10">
        <v>3.71</v>
      </c>
      <c r="D9535" s="10">
        <v>0.31</v>
      </c>
      <c r="E9535" s="16">
        <v>9.1199999999999992</v>
      </c>
      <c r="F9535">
        <v>1231087</v>
      </c>
      <c r="G9535" s="5">
        <v>43118</v>
      </c>
    </row>
    <row r="9536" spans="1:7" x14ac:dyDescent="0.4">
      <c r="A9536">
        <v>35</v>
      </c>
      <c r="B9536" t="s">
        <v>2135</v>
      </c>
      <c r="C9536" s="10">
        <v>33.11</v>
      </c>
      <c r="D9536" s="10">
        <v>2.76</v>
      </c>
      <c r="E9536" s="16">
        <v>9.09</v>
      </c>
      <c r="F9536">
        <v>1107503</v>
      </c>
      <c r="G9536" s="5">
        <v>43118</v>
      </c>
    </row>
    <row r="9537" spans="1:7" x14ac:dyDescent="0.4">
      <c r="A9537">
        <v>36</v>
      </c>
      <c r="B9537" t="s">
        <v>2136</v>
      </c>
      <c r="C9537" s="10">
        <v>12.01</v>
      </c>
      <c r="D9537" s="10">
        <v>0.99</v>
      </c>
      <c r="E9537" s="16">
        <v>8.98</v>
      </c>
      <c r="F9537">
        <v>359873</v>
      </c>
      <c r="G9537" s="5">
        <v>43118</v>
      </c>
    </row>
    <row r="9538" spans="1:7" x14ac:dyDescent="0.4">
      <c r="A9538">
        <v>37</v>
      </c>
      <c r="B9538" t="s">
        <v>2115</v>
      </c>
      <c r="C9538" s="10">
        <v>46.5</v>
      </c>
      <c r="D9538" s="10">
        <v>3.75</v>
      </c>
      <c r="E9538" s="16">
        <v>8.77</v>
      </c>
      <c r="F9538">
        <v>1666673</v>
      </c>
      <c r="G9538" s="5">
        <v>43118</v>
      </c>
    </row>
    <row r="9539" spans="1:7" x14ac:dyDescent="0.4">
      <c r="A9539">
        <v>38</v>
      </c>
      <c r="B9539" t="s">
        <v>2078</v>
      </c>
      <c r="C9539" s="10">
        <v>19.3</v>
      </c>
      <c r="D9539" s="10">
        <v>1.55</v>
      </c>
      <c r="E9539" s="16">
        <v>8.73</v>
      </c>
      <c r="F9539">
        <v>1572605</v>
      </c>
      <c r="G9539" s="5">
        <v>43118</v>
      </c>
    </row>
    <row r="9540" spans="1:7" x14ac:dyDescent="0.4">
      <c r="A9540">
        <v>39</v>
      </c>
      <c r="B9540" t="s">
        <v>218</v>
      </c>
      <c r="C9540" s="10">
        <v>30.19</v>
      </c>
      <c r="D9540" s="10">
        <v>2.41</v>
      </c>
      <c r="E9540" s="16">
        <v>8.68</v>
      </c>
      <c r="F9540">
        <v>414995</v>
      </c>
      <c r="G9540" s="5">
        <v>43118</v>
      </c>
    </row>
    <row r="9541" spans="1:7" x14ac:dyDescent="0.4">
      <c r="A9541">
        <v>40</v>
      </c>
      <c r="B9541" t="s">
        <v>919</v>
      </c>
      <c r="C9541" s="10">
        <v>5.53</v>
      </c>
      <c r="D9541" s="10">
        <v>0.44</v>
      </c>
      <c r="E9541" s="16">
        <v>8.64</v>
      </c>
      <c r="F9541">
        <v>539920</v>
      </c>
      <c r="G9541" s="5">
        <v>43118</v>
      </c>
    </row>
    <row r="9542" spans="1:7" x14ac:dyDescent="0.4">
      <c r="A9542">
        <v>41</v>
      </c>
      <c r="B9542" t="s">
        <v>742</v>
      </c>
      <c r="C9542" s="10">
        <v>176.12</v>
      </c>
      <c r="D9542" s="10">
        <v>13.95</v>
      </c>
      <c r="E9542" s="16">
        <v>8.6</v>
      </c>
      <c r="F9542">
        <v>763648</v>
      </c>
      <c r="G9542" s="5">
        <v>43118</v>
      </c>
    </row>
    <row r="9543" spans="1:7" x14ac:dyDescent="0.4">
      <c r="A9543">
        <v>42</v>
      </c>
      <c r="B9543" t="s">
        <v>1069</v>
      </c>
      <c r="C9543" s="10">
        <v>7.66</v>
      </c>
      <c r="D9543" s="10">
        <v>0.59</v>
      </c>
      <c r="E9543" s="16">
        <v>8.35</v>
      </c>
      <c r="F9543">
        <v>260234</v>
      </c>
      <c r="G9543" s="5">
        <v>43118</v>
      </c>
    </row>
    <row r="9544" spans="1:7" x14ac:dyDescent="0.4">
      <c r="A9544">
        <v>43</v>
      </c>
      <c r="B9544" t="s">
        <v>339</v>
      </c>
      <c r="C9544" s="10">
        <v>19.5</v>
      </c>
      <c r="D9544" s="10">
        <v>1.5</v>
      </c>
      <c r="E9544" s="16">
        <v>8.33</v>
      </c>
      <c r="F9544">
        <v>42315</v>
      </c>
      <c r="G9544" s="5">
        <v>43118</v>
      </c>
    </row>
    <row r="9545" spans="1:7" x14ac:dyDescent="0.4">
      <c r="A9545">
        <v>44</v>
      </c>
      <c r="B9545" t="s">
        <v>215</v>
      </c>
      <c r="C9545" s="10">
        <v>19.5</v>
      </c>
      <c r="D9545" s="10">
        <v>1.47</v>
      </c>
      <c r="E9545" s="16">
        <v>8.15</v>
      </c>
      <c r="F9545">
        <v>38937</v>
      </c>
      <c r="G9545" s="5">
        <v>43118</v>
      </c>
    </row>
    <row r="9546" spans="1:7" x14ac:dyDescent="0.4">
      <c r="A9546">
        <v>45</v>
      </c>
      <c r="B9546" t="s">
        <v>39</v>
      </c>
      <c r="C9546" s="10">
        <v>2.69</v>
      </c>
      <c r="D9546" s="10">
        <v>0.2</v>
      </c>
      <c r="E9546" s="16">
        <v>8.0299999999999994</v>
      </c>
      <c r="F9546">
        <v>4409580</v>
      </c>
      <c r="G9546" s="5">
        <v>43118</v>
      </c>
    </row>
    <row r="9547" spans="1:7" x14ac:dyDescent="0.4">
      <c r="A9547">
        <v>46</v>
      </c>
      <c r="B9547" t="s">
        <v>1617</v>
      </c>
      <c r="C9547" s="10">
        <v>86</v>
      </c>
      <c r="D9547" s="10">
        <v>6.38</v>
      </c>
      <c r="E9547" s="16">
        <v>8.01</v>
      </c>
      <c r="F9547">
        <v>3547780</v>
      </c>
      <c r="G9547" s="5">
        <v>43118</v>
      </c>
    </row>
    <row r="9548" spans="1:7" x14ac:dyDescent="0.4">
      <c r="A9548">
        <v>47</v>
      </c>
      <c r="B9548" t="s">
        <v>1737</v>
      </c>
      <c r="C9548" s="10">
        <v>4.63</v>
      </c>
      <c r="D9548" s="10">
        <v>0.34</v>
      </c>
      <c r="E9548" s="16">
        <v>7.93</v>
      </c>
      <c r="F9548">
        <v>902894</v>
      </c>
      <c r="G9548" s="5">
        <v>43118</v>
      </c>
    </row>
    <row r="9549" spans="1:7" x14ac:dyDescent="0.4">
      <c r="A9549">
        <v>48</v>
      </c>
      <c r="B9549" t="s">
        <v>937</v>
      </c>
      <c r="C9549" s="10">
        <v>9.34</v>
      </c>
      <c r="D9549" s="10">
        <v>0.69</v>
      </c>
      <c r="E9549" s="16">
        <v>7.92</v>
      </c>
      <c r="F9549">
        <v>924793</v>
      </c>
      <c r="G9549" s="5">
        <v>43118</v>
      </c>
    </row>
    <row r="9550" spans="1:7" x14ac:dyDescent="0.4">
      <c r="A9550">
        <v>49</v>
      </c>
      <c r="B9550" t="s">
        <v>2137</v>
      </c>
      <c r="C9550" s="10">
        <v>205.08</v>
      </c>
      <c r="D9550" s="10">
        <v>14.69</v>
      </c>
      <c r="E9550" s="16">
        <v>7.72</v>
      </c>
      <c r="F9550">
        <v>6366202</v>
      </c>
      <c r="G9550" s="5">
        <v>43118</v>
      </c>
    </row>
    <row r="9551" spans="1:7" x14ac:dyDescent="0.4">
      <c r="A9551">
        <v>50</v>
      </c>
      <c r="B9551" t="s">
        <v>490</v>
      </c>
      <c r="C9551" s="10">
        <v>75.650000000000006</v>
      </c>
      <c r="D9551" s="10">
        <v>5.4</v>
      </c>
      <c r="E9551" s="16">
        <v>7.69</v>
      </c>
      <c r="F9551">
        <v>5328257</v>
      </c>
      <c r="G9551" s="5">
        <v>43118</v>
      </c>
    </row>
    <row r="9552" spans="1:7" x14ac:dyDescent="0.4">
      <c r="A9552">
        <v>51</v>
      </c>
      <c r="B9552" t="s">
        <v>37</v>
      </c>
      <c r="C9552" s="10">
        <v>2.81</v>
      </c>
      <c r="D9552" s="10">
        <v>0.2</v>
      </c>
      <c r="E9552" s="16">
        <v>7.66</v>
      </c>
      <c r="F9552">
        <v>487403</v>
      </c>
      <c r="G9552" s="5">
        <v>43118</v>
      </c>
    </row>
    <row r="9553" spans="1:7" x14ac:dyDescent="0.4">
      <c r="A9553">
        <v>52</v>
      </c>
      <c r="B9553" t="s">
        <v>2049</v>
      </c>
      <c r="C9553" s="10">
        <v>3.68</v>
      </c>
      <c r="D9553" s="10">
        <v>0.26</v>
      </c>
      <c r="E9553" s="16">
        <v>7.6</v>
      </c>
      <c r="F9553">
        <v>133595</v>
      </c>
      <c r="G9553" s="5">
        <v>43118</v>
      </c>
    </row>
    <row r="9554" spans="1:7" x14ac:dyDescent="0.4">
      <c r="A9554">
        <v>53</v>
      </c>
      <c r="B9554" t="s">
        <v>575</v>
      </c>
      <c r="C9554" s="10">
        <v>23.67</v>
      </c>
      <c r="D9554" s="10">
        <v>1.66</v>
      </c>
      <c r="E9554" s="16">
        <v>7.54</v>
      </c>
      <c r="F9554">
        <v>1450967</v>
      </c>
      <c r="G9554" s="5">
        <v>43118</v>
      </c>
    </row>
    <row r="9555" spans="1:7" x14ac:dyDescent="0.4">
      <c r="A9555">
        <v>54</v>
      </c>
      <c r="B9555" t="s">
        <v>1375</v>
      </c>
      <c r="C9555" s="10">
        <v>175.25</v>
      </c>
      <c r="D9555" s="10">
        <v>11.9</v>
      </c>
      <c r="E9555" s="16">
        <v>7.28</v>
      </c>
      <c r="F9555">
        <v>1793990</v>
      </c>
      <c r="G9555" s="5">
        <v>43118</v>
      </c>
    </row>
    <row r="9556" spans="1:7" x14ac:dyDescent="0.4">
      <c r="A9556">
        <v>55</v>
      </c>
      <c r="B9556" t="s">
        <v>1049</v>
      </c>
      <c r="C9556" s="10">
        <v>7.37</v>
      </c>
      <c r="D9556" s="10">
        <v>0.5</v>
      </c>
      <c r="E9556" s="16">
        <v>7.28</v>
      </c>
      <c r="F9556">
        <v>52386</v>
      </c>
      <c r="G9556" s="5">
        <v>43118</v>
      </c>
    </row>
    <row r="9557" spans="1:7" x14ac:dyDescent="0.4">
      <c r="A9557">
        <v>56</v>
      </c>
      <c r="B9557" t="s">
        <v>1680</v>
      </c>
      <c r="C9557" s="10">
        <v>20.48</v>
      </c>
      <c r="D9557" s="10">
        <v>1.37</v>
      </c>
      <c r="E9557" s="16">
        <v>7.16</v>
      </c>
      <c r="F9557">
        <v>2519</v>
      </c>
      <c r="G9557" s="5">
        <v>43118</v>
      </c>
    </row>
    <row r="9558" spans="1:7" x14ac:dyDescent="0.4">
      <c r="A9558">
        <v>57</v>
      </c>
      <c r="B9558" t="s">
        <v>1734</v>
      </c>
      <c r="C9558" s="10">
        <v>7.83</v>
      </c>
      <c r="D9558" s="10">
        <v>0.52</v>
      </c>
      <c r="E9558" s="16">
        <v>7.11</v>
      </c>
      <c r="F9558">
        <v>152413</v>
      </c>
      <c r="G9558" s="5">
        <v>43118</v>
      </c>
    </row>
    <row r="9559" spans="1:7" x14ac:dyDescent="0.4">
      <c r="A9559">
        <v>58</v>
      </c>
      <c r="B9559" t="s">
        <v>1898</v>
      </c>
      <c r="C9559" s="10">
        <v>15.68</v>
      </c>
      <c r="D9559" s="10">
        <v>1.02</v>
      </c>
      <c r="E9559" s="16">
        <v>7</v>
      </c>
      <c r="F9559">
        <v>2829291</v>
      </c>
      <c r="G9559" s="5">
        <v>43118</v>
      </c>
    </row>
    <row r="9560" spans="1:7" x14ac:dyDescent="0.4">
      <c r="A9560">
        <v>59</v>
      </c>
      <c r="B9560" t="s">
        <v>1725</v>
      </c>
      <c r="C9560" s="10">
        <v>14.93</v>
      </c>
      <c r="D9560" s="10">
        <v>0.98</v>
      </c>
      <c r="E9560" s="16">
        <v>6.99</v>
      </c>
      <c r="F9560">
        <v>497013</v>
      </c>
      <c r="G9560" s="5">
        <v>43118</v>
      </c>
    </row>
    <row r="9561" spans="1:7" x14ac:dyDescent="0.4">
      <c r="A9561">
        <v>60</v>
      </c>
      <c r="B9561" t="s">
        <v>259</v>
      </c>
      <c r="C9561" s="10">
        <v>4.6500000000000004</v>
      </c>
      <c r="D9561" s="10">
        <v>0.3</v>
      </c>
      <c r="E9561" s="16">
        <v>6.9</v>
      </c>
      <c r="F9561">
        <v>658189</v>
      </c>
      <c r="G9561" s="5">
        <v>43118</v>
      </c>
    </row>
    <row r="9562" spans="1:7" x14ac:dyDescent="0.4">
      <c r="A9562">
        <v>61</v>
      </c>
      <c r="B9562" t="s">
        <v>2138</v>
      </c>
      <c r="C9562" s="10">
        <v>199.18</v>
      </c>
      <c r="D9562" s="10">
        <v>12.8</v>
      </c>
      <c r="E9562" s="16">
        <v>6.87</v>
      </c>
      <c r="F9562">
        <v>2639364</v>
      </c>
      <c r="G9562" s="5">
        <v>43118</v>
      </c>
    </row>
    <row r="9563" spans="1:7" x14ac:dyDescent="0.4">
      <c r="A9563">
        <v>62</v>
      </c>
      <c r="B9563" t="s">
        <v>67</v>
      </c>
      <c r="C9563" s="10">
        <v>25</v>
      </c>
      <c r="D9563" s="10">
        <v>1.59</v>
      </c>
      <c r="E9563" s="16">
        <v>6.79</v>
      </c>
      <c r="F9563">
        <v>5494</v>
      </c>
      <c r="G9563" s="5">
        <v>43118</v>
      </c>
    </row>
    <row r="9564" spans="1:7" x14ac:dyDescent="0.4">
      <c r="A9564">
        <v>63</v>
      </c>
      <c r="B9564" t="s">
        <v>217</v>
      </c>
      <c r="C9564" s="10">
        <v>5.26</v>
      </c>
      <c r="D9564" s="10">
        <v>0.33</v>
      </c>
      <c r="E9564" s="16">
        <v>6.69</v>
      </c>
      <c r="F9564">
        <v>67384</v>
      </c>
      <c r="G9564" s="5">
        <v>43118</v>
      </c>
    </row>
    <row r="9565" spans="1:7" x14ac:dyDescent="0.4">
      <c r="A9565">
        <v>64</v>
      </c>
      <c r="B9565" t="s">
        <v>2139</v>
      </c>
      <c r="C9565" s="10">
        <v>11.2</v>
      </c>
      <c r="D9565" s="10">
        <v>0.7</v>
      </c>
      <c r="E9565" s="16">
        <v>6.67</v>
      </c>
      <c r="F9565">
        <v>880920</v>
      </c>
      <c r="G9565" s="5">
        <v>43118</v>
      </c>
    </row>
    <row r="9566" spans="1:7" x14ac:dyDescent="0.4">
      <c r="A9566">
        <v>65</v>
      </c>
      <c r="B9566" t="s">
        <v>527</v>
      </c>
      <c r="C9566" s="10">
        <v>5.7</v>
      </c>
      <c r="D9566" s="10">
        <v>0.35</v>
      </c>
      <c r="E9566" s="16">
        <v>6.54</v>
      </c>
      <c r="F9566">
        <v>204923</v>
      </c>
      <c r="G9566" s="5">
        <v>43118</v>
      </c>
    </row>
    <row r="9567" spans="1:7" x14ac:dyDescent="0.4">
      <c r="A9567">
        <v>66</v>
      </c>
      <c r="B9567" t="s">
        <v>817</v>
      </c>
      <c r="C9567" s="10">
        <v>4.09</v>
      </c>
      <c r="D9567" s="10">
        <v>0.25</v>
      </c>
      <c r="E9567" s="16">
        <v>6.51</v>
      </c>
      <c r="F9567">
        <v>87582</v>
      </c>
      <c r="G9567" s="5">
        <v>43118</v>
      </c>
    </row>
    <row r="9568" spans="1:7" x14ac:dyDescent="0.4">
      <c r="A9568">
        <v>67</v>
      </c>
      <c r="B9568" t="s">
        <v>1201</v>
      </c>
      <c r="C9568" s="10">
        <v>6.39</v>
      </c>
      <c r="D9568" s="10">
        <v>0.39</v>
      </c>
      <c r="E9568" s="16">
        <v>6.5</v>
      </c>
      <c r="F9568">
        <v>390002</v>
      </c>
      <c r="G9568" s="5">
        <v>43118</v>
      </c>
    </row>
    <row r="9569" spans="1:7" x14ac:dyDescent="0.4">
      <c r="A9569">
        <v>68</v>
      </c>
      <c r="B9569" t="s">
        <v>349</v>
      </c>
      <c r="C9569" s="10">
        <v>21.51</v>
      </c>
      <c r="D9569" s="10">
        <v>1.31</v>
      </c>
      <c r="E9569" s="16">
        <v>6.49</v>
      </c>
      <c r="F9569">
        <v>935965</v>
      </c>
      <c r="G9569" s="5">
        <v>43118</v>
      </c>
    </row>
    <row r="9570" spans="1:7" x14ac:dyDescent="0.4">
      <c r="A9570">
        <v>69</v>
      </c>
      <c r="B9570" t="s">
        <v>754</v>
      </c>
      <c r="C9570" s="10">
        <v>113.38</v>
      </c>
      <c r="D9570" s="10">
        <v>6.89</v>
      </c>
      <c r="E9570" s="16">
        <v>6.47</v>
      </c>
      <c r="F9570">
        <v>68800</v>
      </c>
      <c r="G9570" s="5">
        <v>43118</v>
      </c>
    </row>
    <row r="9571" spans="1:7" x14ac:dyDescent="0.4">
      <c r="A9571">
        <v>70</v>
      </c>
      <c r="B9571" t="s">
        <v>2140</v>
      </c>
      <c r="C9571" s="10">
        <v>19.59</v>
      </c>
      <c r="D9571" s="10">
        <v>1.18</v>
      </c>
      <c r="E9571" s="16">
        <v>6.41</v>
      </c>
      <c r="F9571">
        <v>4703701</v>
      </c>
      <c r="G9571" s="5">
        <v>43118</v>
      </c>
    </row>
    <row r="9572" spans="1:7" x14ac:dyDescent="0.4">
      <c r="A9572">
        <v>71</v>
      </c>
      <c r="B9572" t="s">
        <v>905</v>
      </c>
      <c r="C9572" s="10">
        <v>34.409999999999997</v>
      </c>
      <c r="D9572" s="10">
        <v>2.0699999999999998</v>
      </c>
      <c r="E9572" s="16">
        <v>6.4</v>
      </c>
      <c r="F9572">
        <v>404492</v>
      </c>
      <c r="G9572" s="5">
        <v>43118</v>
      </c>
    </row>
    <row r="9573" spans="1:7" x14ac:dyDescent="0.4">
      <c r="A9573">
        <v>72</v>
      </c>
      <c r="B9573" t="s">
        <v>455</v>
      </c>
      <c r="C9573" s="10">
        <v>104.63</v>
      </c>
      <c r="D9573" s="10">
        <v>6.27</v>
      </c>
      <c r="E9573" s="16">
        <v>6.37</v>
      </c>
      <c r="F9573">
        <v>122516</v>
      </c>
      <c r="G9573" s="5">
        <v>43118</v>
      </c>
    </row>
    <row r="9574" spans="1:7" x14ac:dyDescent="0.4">
      <c r="A9574">
        <v>73</v>
      </c>
      <c r="B9574" t="s">
        <v>521</v>
      </c>
      <c r="C9574" s="10">
        <v>18.18</v>
      </c>
      <c r="D9574" s="10">
        <v>1.08</v>
      </c>
      <c r="E9574" s="16">
        <v>6.32</v>
      </c>
      <c r="F9574">
        <v>256294</v>
      </c>
      <c r="G9574" s="5">
        <v>43118</v>
      </c>
    </row>
    <row r="9575" spans="1:7" x14ac:dyDescent="0.4">
      <c r="A9575">
        <v>74</v>
      </c>
      <c r="B9575" t="s">
        <v>1334</v>
      </c>
      <c r="C9575" s="10">
        <v>6</v>
      </c>
      <c r="D9575" s="10">
        <v>0.35</v>
      </c>
      <c r="E9575" s="16">
        <v>6.29</v>
      </c>
      <c r="F9575">
        <v>71495</v>
      </c>
      <c r="G9575" s="5">
        <v>43118</v>
      </c>
    </row>
    <row r="9576" spans="1:7" x14ac:dyDescent="0.4">
      <c r="A9576">
        <v>75</v>
      </c>
      <c r="B9576" t="s">
        <v>390</v>
      </c>
      <c r="C9576" s="10">
        <v>12.01</v>
      </c>
      <c r="D9576" s="10">
        <v>0.71</v>
      </c>
      <c r="E9576" s="16">
        <v>6.28</v>
      </c>
      <c r="F9576">
        <v>84794</v>
      </c>
      <c r="G9576" s="5">
        <v>43118</v>
      </c>
    </row>
    <row r="9577" spans="1:7" x14ac:dyDescent="0.4">
      <c r="A9577">
        <v>76</v>
      </c>
      <c r="B9577" t="s">
        <v>1357</v>
      </c>
      <c r="C9577" s="10">
        <v>2.54</v>
      </c>
      <c r="D9577" s="10">
        <v>0.15</v>
      </c>
      <c r="E9577" s="16">
        <v>6.28</v>
      </c>
      <c r="F9577">
        <v>16769</v>
      </c>
      <c r="G9577" s="5">
        <v>43118</v>
      </c>
    </row>
    <row r="9578" spans="1:7" x14ac:dyDescent="0.4">
      <c r="A9578">
        <v>77</v>
      </c>
      <c r="B9578" t="s">
        <v>1179</v>
      </c>
      <c r="C9578" s="10">
        <v>6.96</v>
      </c>
      <c r="D9578" s="10">
        <v>0.41</v>
      </c>
      <c r="E9578" s="16">
        <v>6.26</v>
      </c>
      <c r="F9578">
        <v>411897</v>
      </c>
      <c r="G9578" s="5">
        <v>43118</v>
      </c>
    </row>
    <row r="9579" spans="1:7" x14ac:dyDescent="0.4">
      <c r="A9579">
        <v>78</v>
      </c>
      <c r="B9579" t="s">
        <v>2141</v>
      </c>
      <c r="C9579" s="10">
        <v>118.96</v>
      </c>
      <c r="D9579" s="10">
        <v>6.99</v>
      </c>
      <c r="E9579" s="16">
        <v>6.24</v>
      </c>
      <c r="F9579">
        <v>1323884</v>
      </c>
      <c r="G9579" s="5">
        <v>43118</v>
      </c>
    </row>
    <row r="9580" spans="1:7" x14ac:dyDescent="0.4">
      <c r="A9580">
        <v>79</v>
      </c>
      <c r="B9580" t="s">
        <v>461</v>
      </c>
      <c r="C9580" s="10">
        <v>7.35</v>
      </c>
      <c r="D9580" s="10">
        <v>0.43</v>
      </c>
      <c r="E9580" s="16">
        <v>6.21</v>
      </c>
      <c r="F9580">
        <v>634256</v>
      </c>
      <c r="G9580" s="5">
        <v>43118</v>
      </c>
    </row>
    <row r="9581" spans="1:7" x14ac:dyDescent="0.4">
      <c r="A9581">
        <v>80</v>
      </c>
      <c r="B9581" t="s">
        <v>287</v>
      </c>
      <c r="C9581" s="10">
        <v>5.69</v>
      </c>
      <c r="D9581" s="10">
        <v>0.33</v>
      </c>
      <c r="E9581" s="16">
        <v>6.16</v>
      </c>
      <c r="F9581">
        <v>57558</v>
      </c>
      <c r="G9581" s="5">
        <v>43118</v>
      </c>
    </row>
    <row r="9582" spans="1:7" x14ac:dyDescent="0.4">
      <c r="A9582">
        <v>81</v>
      </c>
      <c r="B9582" t="s">
        <v>597</v>
      </c>
      <c r="C9582" s="10">
        <v>24.52</v>
      </c>
      <c r="D9582" s="10">
        <v>1.42</v>
      </c>
      <c r="E9582" s="16">
        <v>6.15</v>
      </c>
      <c r="F9582">
        <v>230057</v>
      </c>
      <c r="G9582" s="5">
        <v>43118</v>
      </c>
    </row>
    <row r="9583" spans="1:7" x14ac:dyDescent="0.4">
      <c r="A9583">
        <v>82</v>
      </c>
      <c r="B9583" t="s">
        <v>1055</v>
      </c>
      <c r="C9583" s="10">
        <v>12.15</v>
      </c>
      <c r="D9583" s="10">
        <v>0.7</v>
      </c>
      <c r="E9583" s="16">
        <v>6.11</v>
      </c>
      <c r="F9583">
        <v>140777</v>
      </c>
      <c r="G9583" s="5">
        <v>43118</v>
      </c>
    </row>
    <row r="9584" spans="1:7" x14ac:dyDescent="0.4">
      <c r="A9584">
        <v>83</v>
      </c>
      <c r="B9584" t="s">
        <v>328</v>
      </c>
      <c r="C9584" s="10">
        <v>6.49</v>
      </c>
      <c r="D9584" s="10">
        <v>0.37</v>
      </c>
      <c r="E9584" s="16">
        <v>6.05</v>
      </c>
      <c r="F9584">
        <v>147678</v>
      </c>
      <c r="G9584" s="5">
        <v>43118</v>
      </c>
    </row>
    <row r="9585" spans="1:7" x14ac:dyDescent="0.4">
      <c r="A9585">
        <v>84</v>
      </c>
      <c r="B9585" t="s">
        <v>48</v>
      </c>
      <c r="C9585" s="10">
        <v>37.770000000000003</v>
      </c>
      <c r="D9585" s="10">
        <v>2.15</v>
      </c>
      <c r="E9585" s="16">
        <v>6.04</v>
      </c>
      <c r="F9585">
        <v>309830</v>
      </c>
      <c r="G9585" s="5">
        <v>43118</v>
      </c>
    </row>
    <row r="9586" spans="1:7" x14ac:dyDescent="0.4">
      <c r="A9586">
        <v>85</v>
      </c>
      <c r="B9586" t="s">
        <v>772</v>
      </c>
      <c r="C9586" s="10">
        <v>41.54</v>
      </c>
      <c r="D9586" s="10">
        <v>2.35</v>
      </c>
      <c r="E9586" s="16">
        <v>6</v>
      </c>
      <c r="F9586">
        <v>6585902</v>
      </c>
      <c r="G9586" s="5">
        <v>43118</v>
      </c>
    </row>
    <row r="9587" spans="1:7" x14ac:dyDescent="0.4">
      <c r="A9587">
        <v>86</v>
      </c>
      <c r="B9587" t="s">
        <v>493</v>
      </c>
      <c r="C9587" s="10">
        <v>17.739999999999998</v>
      </c>
      <c r="D9587" s="10">
        <v>0.99</v>
      </c>
      <c r="E9587" s="16">
        <v>5.91</v>
      </c>
      <c r="F9587">
        <v>350420</v>
      </c>
      <c r="G9587" s="5">
        <v>43118</v>
      </c>
    </row>
    <row r="9588" spans="1:7" x14ac:dyDescent="0.4">
      <c r="A9588">
        <v>87</v>
      </c>
      <c r="B9588" t="s">
        <v>1106</v>
      </c>
      <c r="C9588" s="10">
        <v>18.53</v>
      </c>
      <c r="D9588" s="10">
        <v>1.03</v>
      </c>
      <c r="E9588" s="16">
        <v>5.89</v>
      </c>
      <c r="F9588">
        <v>474107</v>
      </c>
      <c r="G9588" s="5">
        <v>43118</v>
      </c>
    </row>
    <row r="9589" spans="1:7" x14ac:dyDescent="0.4">
      <c r="A9589">
        <v>88</v>
      </c>
      <c r="B9589" t="s">
        <v>2110</v>
      </c>
      <c r="C9589" s="10">
        <v>4.5</v>
      </c>
      <c r="D9589" s="10">
        <v>0.25</v>
      </c>
      <c r="E9589" s="16">
        <v>5.88</v>
      </c>
      <c r="F9589">
        <v>53893</v>
      </c>
      <c r="G9589" s="5">
        <v>43118</v>
      </c>
    </row>
    <row r="9590" spans="1:7" x14ac:dyDescent="0.4">
      <c r="A9590">
        <v>89</v>
      </c>
      <c r="B9590" t="s">
        <v>322</v>
      </c>
      <c r="C9590" s="10">
        <v>9.1</v>
      </c>
      <c r="D9590" s="10">
        <v>0.5</v>
      </c>
      <c r="E9590" s="16">
        <v>5.81</v>
      </c>
      <c r="F9590">
        <v>66078</v>
      </c>
      <c r="G9590" s="5">
        <v>43118</v>
      </c>
    </row>
    <row r="9591" spans="1:7" x14ac:dyDescent="0.4">
      <c r="A9591">
        <v>90</v>
      </c>
      <c r="B9591" t="s">
        <v>291</v>
      </c>
      <c r="C9591" s="10">
        <v>17.3</v>
      </c>
      <c r="D9591" s="10">
        <v>0.95</v>
      </c>
      <c r="E9591" s="16">
        <v>5.81</v>
      </c>
      <c r="F9591">
        <v>231392</v>
      </c>
      <c r="G9591" s="5">
        <v>43118</v>
      </c>
    </row>
    <row r="9592" spans="1:7" x14ac:dyDescent="0.4">
      <c r="A9592">
        <v>91</v>
      </c>
      <c r="B9592" t="s">
        <v>1720</v>
      </c>
      <c r="C9592" s="10">
        <v>6.39</v>
      </c>
      <c r="D9592" s="10">
        <v>0.35</v>
      </c>
      <c r="E9592" s="16">
        <v>5.79</v>
      </c>
      <c r="F9592">
        <v>27336</v>
      </c>
      <c r="G9592" s="5">
        <v>43118</v>
      </c>
    </row>
    <row r="9593" spans="1:7" x14ac:dyDescent="0.4">
      <c r="A9593">
        <v>92</v>
      </c>
      <c r="B9593" t="s">
        <v>1824</v>
      </c>
      <c r="C9593" s="10">
        <v>19.010000000000002</v>
      </c>
      <c r="D9593" s="10">
        <v>1.04</v>
      </c>
      <c r="E9593" s="16">
        <v>5.79</v>
      </c>
      <c r="F9593">
        <v>107692</v>
      </c>
      <c r="G9593" s="5">
        <v>43118</v>
      </c>
    </row>
    <row r="9594" spans="1:7" x14ac:dyDescent="0.4">
      <c r="A9594">
        <v>93</v>
      </c>
      <c r="B9594" t="s">
        <v>2142</v>
      </c>
      <c r="C9594" s="10">
        <v>103.3</v>
      </c>
      <c r="D9594" s="10">
        <v>5.65</v>
      </c>
      <c r="E9594" s="16">
        <v>5.79</v>
      </c>
      <c r="F9594">
        <v>540789</v>
      </c>
      <c r="G9594" s="5">
        <v>43118</v>
      </c>
    </row>
    <row r="9595" spans="1:7" x14ac:dyDescent="0.4">
      <c r="A9595">
        <v>94</v>
      </c>
      <c r="B9595" t="s">
        <v>2143</v>
      </c>
      <c r="C9595" s="10">
        <v>7.34</v>
      </c>
      <c r="D9595" s="10">
        <v>0.4</v>
      </c>
      <c r="E9595" s="16">
        <v>5.76</v>
      </c>
      <c r="F9595">
        <v>16010849</v>
      </c>
      <c r="G9595" s="5">
        <v>43118</v>
      </c>
    </row>
    <row r="9596" spans="1:7" x14ac:dyDescent="0.4">
      <c r="A9596">
        <v>95</v>
      </c>
      <c r="B9596" t="s">
        <v>1372</v>
      </c>
      <c r="C9596" s="10">
        <v>21.72</v>
      </c>
      <c r="D9596" s="10">
        <v>1.18</v>
      </c>
      <c r="E9596" s="16">
        <v>5.74</v>
      </c>
      <c r="F9596">
        <v>455819</v>
      </c>
      <c r="G9596" s="5">
        <v>43118</v>
      </c>
    </row>
    <row r="9597" spans="1:7" x14ac:dyDescent="0.4">
      <c r="A9597">
        <v>96</v>
      </c>
      <c r="B9597" t="s">
        <v>136</v>
      </c>
      <c r="C9597" s="10">
        <v>24.01</v>
      </c>
      <c r="D9597" s="10">
        <v>1.3</v>
      </c>
      <c r="E9597" s="16">
        <v>5.72</v>
      </c>
      <c r="F9597">
        <v>46578</v>
      </c>
      <c r="G9597" s="5">
        <v>43118</v>
      </c>
    </row>
    <row r="9598" spans="1:7" x14ac:dyDescent="0.4">
      <c r="A9598">
        <v>97</v>
      </c>
      <c r="B9598" t="s">
        <v>915</v>
      </c>
      <c r="C9598" s="10">
        <v>11.67</v>
      </c>
      <c r="D9598" s="10">
        <v>0.63</v>
      </c>
      <c r="E9598" s="16">
        <v>5.71</v>
      </c>
      <c r="F9598">
        <v>1274452</v>
      </c>
      <c r="G9598" s="5">
        <v>43118</v>
      </c>
    </row>
    <row r="9599" spans="1:7" x14ac:dyDescent="0.4">
      <c r="A9599">
        <v>98</v>
      </c>
      <c r="B9599" t="s">
        <v>2022</v>
      </c>
      <c r="C9599" s="10">
        <v>20.399999999999999</v>
      </c>
      <c r="D9599" s="10">
        <v>1.1000000000000001</v>
      </c>
      <c r="E9599" s="16">
        <v>5.7</v>
      </c>
      <c r="F9599">
        <v>1255296</v>
      </c>
      <c r="G9599" s="5">
        <v>43118</v>
      </c>
    </row>
    <row r="9600" spans="1:7" x14ac:dyDescent="0.4">
      <c r="A9600">
        <v>99</v>
      </c>
      <c r="B9600" t="s">
        <v>746</v>
      </c>
      <c r="C9600" s="10">
        <v>44.95</v>
      </c>
      <c r="D9600" s="10">
        <v>2.41</v>
      </c>
      <c r="E9600" s="16">
        <v>5.67</v>
      </c>
      <c r="F9600">
        <v>1334863</v>
      </c>
      <c r="G9600" s="5">
        <v>43118</v>
      </c>
    </row>
    <row r="9601" spans="1:7" x14ac:dyDescent="0.4">
      <c r="A9601">
        <v>100</v>
      </c>
      <c r="B9601" t="s">
        <v>1085</v>
      </c>
      <c r="C9601" s="10">
        <v>2.8</v>
      </c>
      <c r="D9601" s="10">
        <v>0.15</v>
      </c>
      <c r="E9601" s="16">
        <v>5.66</v>
      </c>
      <c r="F9601">
        <v>219256</v>
      </c>
      <c r="G9601" s="5">
        <v>43118</v>
      </c>
    </row>
    <row r="9602" spans="1:7" x14ac:dyDescent="0.4">
      <c r="A9602">
        <v>1</v>
      </c>
      <c r="B9602" t="s">
        <v>1208</v>
      </c>
      <c r="C9602" s="10">
        <v>5.26</v>
      </c>
      <c r="D9602" s="10">
        <v>1.79</v>
      </c>
      <c r="E9602" s="16">
        <v>51.59</v>
      </c>
      <c r="F9602">
        <v>50197780</v>
      </c>
      <c r="G9602" s="5">
        <v>43118</v>
      </c>
    </row>
    <row r="9603" spans="1:7" x14ac:dyDescent="0.4">
      <c r="A9603">
        <v>2</v>
      </c>
      <c r="B9603" t="s">
        <v>182</v>
      </c>
      <c r="C9603" s="10">
        <v>3.86</v>
      </c>
      <c r="D9603" s="10">
        <v>0.82</v>
      </c>
      <c r="E9603" s="16">
        <v>26.97</v>
      </c>
      <c r="F9603">
        <v>3260776</v>
      </c>
      <c r="G9603" s="5">
        <v>43118</v>
      </c>
    </row>
    <row r="9604" spans="1:7" x14ac:dyDescent="0.4">
      <c r="A9604">
        <v>3</v>
      </c>
      <c r="B9604" t="s">
        <v>2144</v>
      </c>
      <c r="C9604" s="10">
        <v>2.89</v>
      </c>
      <c r="D9604" s="10">
        <v>0.57999999999999996</v>
      </c>
      <c r="E9604" s="16">
        <v>25.11</v>
      </c>
      <c r="F9604">
        <v>13507371</v>
      </c>
      <c r="G9604" s="5">
        <v>43118</v>
      </c>
    </row>
    <row r="9605" spans="1:7" x14ac:dyDescent="0.4">
      <c r="A9605">
        <v>4</v>
      </c>
      <c r="B9605" t="s">
        <v>533</v>
      </c>
      <c r="C9605" s="10">
        <v>3.08</v>
      </c>
      <c r="D9605" s="10">
        <v>0.56000000000000005</v>
      </c>
      <c r="E9605" s="16">
        <v>22.22</v>
      </c>
      <c r="F9605">
        <v>271342</v>
      </c>
      <c r="G9605" s="5">
        <v>43118</v>
      </c>
    </row>
    <row r="9606" spans="1:7" x14ac:dyDescent="0.4">
      <c r="A9606">
        <v>5</v>
      </c>
      <c r="B9606" t="s">
        <v>451</v>
      </c>
      <c r="C9606" s="10">
        <v>10.02</v>
      </c>
      <c r="D9606" s="10">
        <v>1.81</v>
      </c>
      <c r="E9606" s="16">
        <v>22.05</v>
      </c>
      <c r="F9606">
        <v>994167</v>
      </c>
      <c r="G9606" s="5">
        <v>43118</v>
      </c>
    </row>
    <row r="9607" spans="1:7" x14ac:dyDescent="0.4">
      <c r="A9607">
        <v>6</v>
      </c>
      <c r="B9607" t="s">
        <v>327</v>
      </c>
      <c r="C9607" s="10">
        <v>26.3</v>
      </c>
      <c r="D9607" s="10">
        <v>4.29</v>
      </c>
      <c r="E9607" s="16">
        <v>19.489999999999998</v>
      </c>
      <c r="F9607">
        <v>6905293</v>
      </c>
      <c r="G9607" s="5">
        <v>43118</v>
      </c>
    </row>
    <row r="9608" spans="1:7" x14ac:dyDescent="0.4">
      <c r="A9608">
        <v>7</v>
      </c>
      <c r="B9608" t="s">
        <v>434</v>
      </c>
      <c r="C9608" s="10">
        <v>3.4</v>
      </c>
      <c r="D9608" s="10">
        <v>0.54</v>
      </c>
      <c r="E9608" s="16">
        <v>18.88</v>
      </c>
      <c r="F9608">
        <v>2441967</v>
      </c>
      <c r="G9608" s="5">
        <v>43118</v>
      </c>
    </row>
    <row r="9609" spans="1:7" x14ac:dyDescent="0.4">
      <c r="A9609">
        <v>8</v>
      </c>
      <c r="B9609" t="s">
        <v>188</v>
      </c>
      <c r="C9609" s="10">
        <v>3.25</v>
      </c>
      <c r="D9609" s="10">
        <v>0.5</v>
      </c>
      <c r="E9609" s="16">
        <v>18.18</v>
      </c>
      <c r="F9609">
        <v>713095</v>
      </c>
      <c r="G9609" s="5">
        <v>43118</v>
      </c>
    </row>
    <row r="9610" spans="1:7" x14ac:dyDescent="0.4">
      <c r="A9610">
        <v>9</v>
      </c>
      <c r="B9610" t="s">
        <v>2113</v>
      </c>
      <c r="C9610" s="10">
        <v>17.010000000000002</v>
      </c>
      <c r="D9610" s="10">
        <v>2.38</v>
      </c>
      <c r="E9610" s="16">
        <v>16.27</v>
      </c>
      <c r="F9610">
        <v>1862948</v>
      </c>
      <c r="G9610" s="5">
        <v>43118</v>
      </c>
    </row>
    <row r="9611" spans="1:7" x14ac:dyDescent="0.4">
      <c r="A9611">
        <v>10</v>
      </c>
      <c r="B9611" t="s">
        <v>1127</v>
      </c>
      <c r="C9611" s="10">
        <v>3.2</v>
      </c>
      <c r="D9611" s="10">
        <v>0.44</v>
      </c>
      <c r="E9611" s="16">
        <v>15.94</v>
      </c>
      <c r="F9611">
        <v>3380957</v>
      </c>
      <c r="G9611" s="5">
        <v>43118</v>
      </c>
    </row>
    <row r="9612" spans="1:7" x14ac:dyDescent="0.4">
      <c r="A9612">
        <v>11</v>
      </c>
      <c r="B9612" t="s">
        <v>38</v>
      </c>
      <c r="C9612" s="10">
        <v>44.69</v>
      </c>
      <c r="D9612" s="10">
        <v>6.09</v>
      </c>
      <c r="E9612" s="16">
        <v>15.78</v>
      </c>
      <c r="F9612">
        <v>381568</v>
      </c>
      <c r="G9612" s="5">
        <v>43118</v>
      </c>
    </row>
    <row r="9613" spans="1:7" x14ac:dyDescent="0.4">
      <c r="A9613">
        <v>12</v>
      </c>
      <c r="B9613" t="s">
        <v>68</v>
      </c>
      <c r="C9613" s="10">
        <v>19.47</v>
      </c>
      <c r="D9613" s="10">
        <v>2.21</v>
      </c>
      <c r="E9613" s="16">
        <v>12.8</v>
      </c>
      <c r="F9613">
        <v>548005</v>
      </c>
      <c r="G9613" s="5">
        <v>43118</v>
      </c>
    </row>
    <row r="9614" spans="1:7" x14ac:dyDescent="0.4">
      <c r="A9614">
        <v>13</v>
      </c>
      <c r="B9614" t="s">
        <v>1350</v>
      </c>
      <c r="C9614" s="10">
        <v>2.4</v>
      </c>
      <c r="D9614" s="10">
        <v>0.27</v>
      </c>
      <c r="E9614" s="16">
        <v>12.68</v>
      </c>
      <c r="F9614">
        <v>2346307</v>
      </c>
      <c r="G9614" s="5">
        <v>43118</v>
      </c>
    </row>
    <row r="9615" spans="1:7" x14ac:dyDescent="0.4">
      <c r="A9615">
        <v>14</v>
      </c>
      <c r="B9615" t="s">
        <v>550</v>
      </c>
      <c r="C9615" s="10">
        <v>115.56</v>
      </c>
      <c r="D9615" s="10">
        <v>12.93</v>
      </c>
      <c r="E9615" s="16">
        <v>12.6</v>
      </c>
      <c r="F9615">
        <v>1524760</v>
      </c>
      <c r="G9615" s="5">
        <v>43118</v>
      </c>
    </row>
    <row r="9616" spans="1:7" x14ac:dyDescent="0.4">
      <c r="A9616">
        <v>15</v>
      </c>
      <c r="B9616" t="s">
        <v>2145</v>
      </c>
      <c r="C9616" s="10">
        <v>12.2</v>
      </c>
      <c r="D9616" s="10">
        <v>1.35</v>
      </c>
      <c r="E9616" s="16">
        <v>12.44</v>
      </c>
      <c r="F9616">
        <v>531652</v>
      </c>
      <c r="G9616" s="5">
        <v>43118</v>
      </c>
    </row>
    <row r="9617" spans="1:7" x14ac:dyDescent="0.4">
      <c r="A9617">
        <v>16</v>
      </c>
      <c r="B9617" t="s">
        <v>349</v>
      </c>
      <c r="C9617" s="10">
        <v>23.99</v>
      </c>
      <c r="D9617" s="10">
        <v>2.48</v>
      </c>
      <c r="E9617" s="16">
        <v>11.53</v>
      </c>
      <c r="F9617">
        <v>1242457</v>
      </c>
      <c r="G9617" s="5">
        <v>43118</v>
      </c>
    </row>
    <row r="9618" spans="1:7" x14ac:dyDescent="0.4">
      <c r="A9618">
        <v>17</v>
      </c>
      <c r="B9618" t="s">
        <v>377</v>
      </c>
      <c r="C9618" s="10">
        <v>19.8</v>
      </c>
      <c r="D9618" s="10">
        <v>2.04</v>
      </c>
      <c r="E9618" s="16">
        <v>11.49</v>
      </c>
      <c r="F9618">
        <v>5523914</v>
      </c>
      <c r="G9618" s="5">
        <v>43118</v>
      </c>
    </row>
    <row r="9619" spans="1:7" x14ac:dyDescent="0.4">
      <c r="A9619">
        <v>18</v>
      </c>
      <c r="B9619" t="s">
        <v>438</v>
      </c>
      <c r="C9619" s="10">
        <v>10.07</v>
      </c>
      <c r="D9619" s="10">
        <v>1.03</v>
      </c>
      <c r="E9619" s="16">
        <v>11.39</v>
      </c>
      <c r="F9619">
        <v>289626</v>
      </c>
      <c r="G9619" s="5">
        <v>43118</v>
      </c>
    </row>
    <row r="9620" spans="1:7" x14ac:dyDescent="0.4">
      <c r="A9620">
        <v>19</v>
      </c>
      <c r="B9620" t="s">
        <v>1013</v>
      </c>
      <c r="C9620" s="10">
        <v>3.82</v>
      </c>
      <c r="D9620" s="10">
        <v>0.39</v>
      </c>
      <c r="E9620" s="16">
        <v>11.37</v>
      </c>
      <c r="F9620">
        <v>7623831</v>
      </c>
      <c r="G9620" s="5">
        <v>43118</v>
      </c>
    </row>
    <row r="9621" spans="1:7" x14ac:dyDescent="0.4">
      <c r="A9621">
        <v>20</v>
      </c>
      <c r="B9621" t="s">
        <v>727</v>
      </c>
      <c r="C9621" s="10">
        <v>3.32</v>
      </c>
      <c r="D9621" s="10">
        <v>0.33</v>
      </c>
      <c r="E9621" s="16">
        <v>11.08</v>
      </c>
      <c r="F9621">
        <v>188340</v>
      </c>
      <c r="G9621" s="5">
        <v>43118</v>
      </c>
    </row>
    <row r="9622" spans="1:7" x14ac:dyDescent="0.4">
      <c r="A9622">
        <v>21</v>
      </c>
      <c r="B9622" t="s">
        <v>2109</v>
      </c>
      <c r="C9622" s="10">
        <v>6.1</v>
      </c>
      <c r="D9622" s="10">
        <v>0.6</v>
      </c>
      <c r="E9622" s="16">
        <v>10.91</v>
      </c>
      <c r="F9622">
        <v>2559</v>
      </c>
      <c r="G9622" s="5">
        <v>43118</v>
      </c>
    </row>
    <row r="9623" spans="1:7" x14ac:dyDescent="0.4">
      <c r="A9623">
        <v>22</v>
      </c>
      <c r="B9623" t="s">
        <v>1478</v>
      </c>
      <c r="C9623" s="10">
        <v>12.8</v>
      </c>
      <c r="D9623" s="10">
        <v>1.25</v>
      </c>
      <c r="E9623" s="16">
        <v>10.82</v>
      </c>
      <c r="F9623">
        <v>892199</v>
      </c>
      <c r="G9623" s="5">
        <v>43118</v>
      </c>
    </row>
    <row r="9624" spans="1:7" x14ac:dyDescent="0.4">
      <c r="A9624">
        <v>23</v>
      </c>
      <c r="B9624" t="s">
        <v>562</v>
      </c>
      <c r="C9624" s="10">
        <v>21.75</v>
      </c>
      <c r="D9624" s="10">
        <v>2.1</v>
      </c>
      <c r="E9624" s="16">
        <v>10.69</v>
      </c>
      <c r="F9624">
        <v>835539</v>
      </c>
      <c r="G9624" s="5">
        <v>43118</v>
      </c>
    </row>
    <row r="9625" spans="1:7" x14ac:dyDescent="0.4">
      <c r="A9625">
        <v>24</v>
      </c>
      <c r="B9625" t="s">
        <v>173</v>
      </c>
      <c r="C9625" s="10">
        <v>5.64</v>
      </c>
      <c r="D9625" s="10">
        <v>0.55000000000000004</v>
      </c>
      <c r="E9625" s="16">
        <v>10.69</v>
      </c>
      <c r="F9625">
        <v>159574</v>
      </c>
      <c r="G9625" s="5">
        <v>43118</v>
      </c>
    </row>
    <row r="9626" spans="1:7" x14ac:dyDescent="0.4">
      <c r="A9626">
        <v>25</v>
      </c>
      <c r="B9626" t="s">
        <v>954</v>
      </c>
      <c r="C9626" s="10">
        <v>6.13</v>
      </c>
      <c r="D9626" s="10">
        <v>0.55000000000000004</v>
      </c>
      <c r="E9626" s="16">
        <v>9.86</v>
      </c>
      <c r="F9626">
        <v>239398</v>
      </c>
      <c r="G9626" s="5">
        <v>43118</v>
      </c>
    </row>
    <row r="9627" spans="1:7" x14ac:dyDescent="0.4">
      <c r="A9627">
        <v>26</v>
      </c>
      <c r="B9627" t="s">
        <v>348</v>
      </c>
      <c r="C9627" s="10">
        <v>14.49</v>
      </c>
      <c r="D9627" s="10">
        <v>1.28</v>
      </c>
      <c r="E9627" s="16">
        <v>9.69</v>
      </c>
      <c r="F9627">
        <v>25025</v>
      </c>
      <c r="G9627" s="5">
        <v>43118</v>
      </c>
    </row>
    <row r="9628" spans="1:7" x14ac:dyDescent="0.4">
      <c r="A9628">
        <v>27</v>
      </c>
      <c r="B9628" t="s">
        <v>1096</v>
      </c>
      <c r="C9628" s="10">
        <v>5.0999999999999996</v>
      </c>
      <c r="D9628" s="10">
        <v>0.45</v>
      </c>
      <c r="E9628" s="16">
        <v>9.68</v>
      </c>
      <c r="F9628">
        <v>2296902</v>
      </c>
      <c r="G9628" s="5">
        <v>43118</v>
      </c>
    </row>
    <row r="9629" spans="1:7" x14ac:dyDescent="0.4">
      <c r="A9629">
        <v>28</v>
      </c>
      <c r="B9629" t="s">
        <v>532</v>
      </c>
      <c r="C9629" s="10">
        <v>28.85</v>
      </c>
      <c r="D9629" s="10">
        <v>2.48</v>
      </c>
      <c r="E9629" s="16">
        <v>9.4</v>
      </c>
      <c r="F9629">
        <v>363689</v>
      </c>
      <c r="G9629" s="5">
        <v>43118</v>
      </c>
    </row>
    <row r="9630" spans="1:7" x14ac:dyDescent="0.4">
      <c r="A9630">
        <v>29</v>
      </c>
      <c r="B9630" t="s">
        <v>2090</v>
      </c>
      <c r="C9630" s="10">
        <v>9.77</v>
      </c>
      <c r="D9630" s="10">
        <v>0.82</v>
      </c>
      <c r="E9630" s="16">
        <v>9.16</v>
      </c>
      <c r="F9630">
        <v>133312</v>
      </c>
      <c r="G9630" s="5">
        <v>43118</v>
      </c>
    </row>
    <row r="9631" spans="1:7" x14ac:dyDescent="0.4">
      <c r="A9631">
        <v>30</v>
      </c>
      <c r="B9631" t="s">
        <v>2061</v>
      </c>
      <c r="C9631" s="10">
        <v>15.79</v>
      </c>
      <c r="D9631" s="10">
        <v>1.29</v>
      </c>
      <c r="E9631" s="16">
        <v>8.93</v>
      </c>
      <c r="F9631">
        <v>206434</v>
      </c>
      <c r="G9631" s="5">
        <v>43118</v>
      </c>
    </row>
    <row r="9632" spans="1:7" x14ac:dyDescent="0.4">
      <c r="A9632">
        <v>31</v>
      </c>
      <c r="B9632" t="s">
        <v>961</v>
      </c>
      <c r="C9632" s="10">
        <v>27</v>
      </c>
      <c r="D9632" s="10">
        <v>2.2000000000000002</v>
      </c>
      <c r="E9632" s="16">
        <v>8.8699999999999992</v>
      </c>
      <c r="F9632">
        <v>710764</v>
      </c>
      <c r="G9632" s="5">
        <v>43118</v>
      </c>
    </row>
    <row r="9633" spans="1:7" x14ac:dyDescent="0.4">
      <c r="A9633">
        <v>32</v>
      </c>
      <c r="B9633" t="s">
        <v>1733</v>
      </c>
      <c r="C9633" s="10">
        <v>2.5</v>
      </c>
      <c r="D9633" s="10">
        <v>0.2</v>
      </c>
      <c r="E9633" s="16">
        <v>8.6999999999999993</v>
      </c>
      <c r="F9633">
        <v>139455</v>
      </c>
      <c r="G9633" s="5">
        <v>43118</v>
      </c>
    </row>
    <row r="9634" spans="1:7" x14ac:dyDescent="0.4">
      <c r="A9634">
        <v>33</v>
      </c>
      <c r="B9634" t="s">
        <v>813</v>
      </c>
      <c r="C9634" s="10">
        <v>2.4900000000000002</v>
      </c>
      <c r="D9634" s="10">
        <v>0.2</v>
      </c>
      <c r="E9634" s="16">
        <v>8.67</v>
      </c>
      <c r="F9634">
        <v>90634</v>
      </c>
      <c r="G9634" s="5">
        <v>43118</v>
      </c>
    </row>
    <row r="9635" spans="1:7" x14ac:dyDescent="0.4">
      <c r="A9635">
        <v>34</v>
      </c>
      <c r="B9635" t="s">
        <v>1136</v>
      </c>
      <c r="C9635" s="10">
        <v>18.63</v>
      </c>
      <c r="D9635" s="10">
        <v>1.48</v>
      </c>
      <c r="E9635" s="16">
        <v>8.6300000000000008</v>
      </c>
      <c r="F9635">
        <v>839020</v>
      </c>
      <c r="G9635" s="5">
        <v>43118</v>
      </c>
    </row>
    <row r="9636" spans="1:7" x14ac:dyDescent="0.4">
      <c r="A9636">
        <v>35</v>
      </c>
      <c r="B9636" t="s">
        <v>343</v>
      </c>
      <c r="C9636" s="10">
        <v>3.85</v>
      </c>
      <c r="D9636" s="10">
        <v>0.3</v>
      </c>
      <c r="E9636" s="16">
        <v>8.4499999999999993</v>
      </c>
      <c r="F9636">
        <v>19834</v>
      </c>
      <c r="G9636" s="5">
        <v>43118</v>
      </c>
    </row>
    <row r="9637" spans="1:7" x14ac:dyDescent="0.4">
      <c r="A9637">
        <v>36</v>
      </c>
      <c r="B9637" t="s">
        <v>388</v>
      </c>
      <c r="C9637" s="10">
        <v>11.55</v>
      </c>
      <c r="D9637" s="10">
        <v>0.89</v>
      </c>
      <c r="E9637" s="16">
        <v>8.35</v>
      </c>
      <c r="F9637">
        <v>409629</v>
      </c>
      <c r="G9637" s="5">
        <v>43118</v>
      </c>
    </row>
    <row r="9638" spans="1:7" x14ac:dyDescent="0.4">
      <c r="A9638">
        <v>37</v>
      </c>
      <c r="B9638" t="s">
        <v>525</v>
      </c>
      <c r="C9638" s="10">
        <v>3.25</v>
      </c>
      <c r="D9638" s="10">
        <v>0.25</v>
      </c>
      <c r="E9638" s="16">
        <v>8.33</v>
      </c>
      <c r="F9638">
        <v>66309</v>
      </c>
      <c r="G9638" s="5">
        <v>43118</v>
      </c>
    </row>
    <row r="9639" spans="1:7" x14ac:dyDescent="0.4">
      <c r="A9639">
        <v>38</v>
      </c>
      <c r="B9639" t="s">
        <v>2146</v>
      </c>
      <c r="C9639" s="10">
        <v>32.840000000000003</v>
      </c>
      <c r="D9639" s="10">
        <v>2.46</v>
      </c>
      <c r="E9639" s="16">
        <v>8.1</v>
      </c>
      <c r="F9639">
        <v>1521921</v>
      </c>
      <c r="G9639" s="5">
        <v>43118</v>
      </c>
    </row>
    <row r="9640" spans="1:7" x14ac:dyDescent="0.4">
      <c r="A9640">
        <v>39</v>
      </c>
      <c r="B9640" t="s">
        <v>1935</v>
      </c>
      <c r="C9640" s="10">
        <v>63.78</v>
      </c>
      <c r="D9640" s="10">
        <v>4.6900000000000004</v>
      </c>
      <c r="E9640" s="16">
        <v>7.94</v>
      </c>
      <c r="F9640">
        <v>2639327</v>
      </c>
      <c r="G9640" s="5">
        <v>43118</v>
      </c>
    </row>
    <row r="9641" spans="1:7" x14ac:dyDescent="0.4">
      <c r="A9641">
        <v>40</v>
      </c>
      <c r="B9641" t="s">
        <v>987</v>
      </c>
      <c r="C9641" s="10">
        <v>8.89</v>
      </c>
      <c r="D9641" s="10">
        <v>0.65</v>
      </c>
      <c r="E9641" s="16">
        <v>7.89</v>
      </c>
      <c r="F9641">
        <v>475544</v>
      </c>
      <c r="G9641" s="5">
        <v>43118</v>
      </c>
    </row>
    <row r="9642" spans="1:7" x14ac:dyDescent="0.4">
      <c r="A9642">
        <v>41</v>
      </c>
      <c r="B9642" t="s">
        <v>941</v>
      </c>
      <c r="C9642" s="10">
        <v>7</v>
      </c>
      <c r="D9642" s="10">
        <v>0.5</v>
      </c>
      <c r="E9642" s="16">
        <v>7.69</v>
      </c>
      <c r="F9642">
        <v>4544</v>
      </c>
      <c r="G9642" s="5">
        <v>43118</v>
      </c>
    </row>
    <row r="9643" spans="1:7" x14ac:dyDescent="0.4">
      <c r="A9643">
        <v>42</v>
      </c>
      <c r="B9643" t="s">
        <v>1066</v>
      </c>
      <c r="C9643" s="10">
        <v>13.99</v>
      </c>
      <c r="D9643" s="10">
        <v>0.99</v>
      </c>
      <c r="E9643" s="16">
        <v>7.62</v>
      </c>
      <c r="F9643">
        <v>1469792</v>
      </c>
      <c r="G9643" s="5">
        <v>43118</v>
      </c>
    </row>
    <row r="9644" spans="1:7" x14ac:dyDescent="0.4">
      <c r="A9644">
        <v>43</v>
      </c>
      <c r="B9644" t="s">
        <v>784</v>
      </c>
      <c r="C9644" s="10">
        <v>26.88</v>
      </c>
      <c r="D9644" s="10">
        <v>1.9</v>
      </c>
      <c r="E9644" s="16">
        <v>7.61</v>
      </c>
      <c r="F9644">
        <v>3314710</v>
      </c>
      <c r="G9644" s="5">
        <v>43118</v>
      </c>
    </row>
    <row r="9645" spans="1:7" x14ac:dyDescent="0.4">
      <c r="A9645">
        <v>44</v>
      </c>
      <c r="B9645" t="s">
        <v>859</v>
      </c>
      <c r="C9645" s="10">
        <v>28.97</v>
      </c>
      <c r="D9645" s="10">
        <v>2.04</v>
      </c>
      <c r="E9645" s="16">
        <v>7.58</v>
      </c>
      <c r="F9645">
        <v>442230</v>
      </c>
      <c r="G9645" s="5">
        <v>43118</v>
      </c>
    </row>
    <row r="9646" spans="1:7" x14ac:dyDescent="0.4">
      <c r="A9646">
        <v>45</v>
      </c>
      <c r="B9646" t="s">
        <v>1436</v>
      </c>
      <c r="C9646" s="10">
        <v>11.53</v>
      </c>
      <c r="D9646" s="10">
        <v>0.81</v>
      </c>
      <c r="E9646" s="16">
        <v>7.56</v>
      </c>
      <c r="F9646">
        <v>29570663</v>
      </c>
      <c r="G9646" s="5">
        <v>43118</v>
      </c>
    </row>
    <row r="9647" spans="1:7" x14ac:dyDescent="0.4">
      <c r="A9647">
        <v>46</v>
      </c>
      <c r="B9647" t="s">
        <v>1310</v>
      </c>
      <c r="C9647" s="10">
        <v>3.73</v>
      </c>
      <c r="D9647" s="10">
        <v>0.26</v>
      </c>
      <c r="E9647" s="16">
        <v>7.49</v>
      </c>
      <c r="F9647">
        <v>7985546</v>
      </c>
      <c r="G9647" s="5">
        <v>43118</v>
      </c>
    </row>
    <row r="9648" spans="1:7" x14ac:dyDescent="0.4">
      <c r="A9648">
        <v>47</v>
      </c>
      <c r="B9648" t="s">
        <v>1049</v>
      </c>
      <c r="C9648" s="10">
        <v>7.92</v>
      </c>
      <c r="D9648" s="10">
        <v>0.55000000000000004</v>
      </c>
      <c r="E9648" s="16">
        <v>7.46</v>
      </c>
      <c r="F9648">
        <v>26910</v>
      </c>
      <c r="G9648" s="5">
        <v>43118</v>
      </c>
    </row>
    <row r="9649" spans="1:7" x14ac:dyDescent="0.4">
      <c r="A9649">
        <v>48</v>
      </c>
      <c r="B9649" t="s">
        <v>366</v>
      </c>
      <c r="C9649" s="10">
        <v>10.15</v>
      </c>
      <c r="D9649" s="10">
        <v>0.7</v>
      </c>
      <c r="E9649" s="16">
        <v>7.41</v>
      </c>
      <c r="F9649">
        <v>9677755</v>
      </c>
      <c r="G9649" s="5">
        <v>43118</v>
      </c>
    </row>
    <row r="9650" spans="1:7" x14ac:dyDescent="0.4">
      <c r="A9650">
        <v>49</v>
      </c>
      <c r="B9650" t="s">
        <v>932</v>
      </c>
      <c r="C9650" s="10">
        <v>6.88</v>
      </c>
      <c r="D9650" s="10">
        <v>0.47</v>
      </c>
      <c r="E9650" s="16">
        <v>7.33</v>
      </c>
      <c r="F9650">
        <v>1309786</v>
      </c>
      <c r="G9650" s="5">
        <v>43118</v>
      </c>
    </row>
    <row r="9651" spans="1:7" x14ac:dyDescent="0.4">
      <c r="A9651">
        <v>50</v>
      </c>
      <c r="B9651" t="s">
        <v>694</v>
      </c>
      <c r="C9651" s="10">
        <v>3.25</v>
      </c>
      <c r="D9651" s="10">
        <v>0.22</v>
      </c>
      <c r="E9651" s="16">
        <v>7.26</v>
      </c>
      <c r="F9651">
        <v>164149</v>
      </c>
      <c r="G9651" s="5">
        <v>43118</v>
      </c>
    </row>
    <row r="9652" spans="1:7" x14ac:dyDescent="0.4">
      <c r="A9652">
        <v>51</v>
      </c>
      <c r="B9652" t="s">
        <v>1894</v>
      </c>
      <c r="C9652" s="10">
        <v>30.2</v>
      </c>
      <c r="D9652" s="10">
        <v>2.02</v>
      </c>
      <c r="E9652" s="16">
        <v>7.17</v>
      </c>
      <c r="F9652">
        <v>556057</v>
      </c>
      <c r="G9652" s="5">
        <v>43118</v>
      </c>
    </row>
    <row r="9653" spans="1:7" x14ac:dyDescent="0.4">
      <c r="A9653">
        <v>52</v>
      </c>
      <c r="B9653" t="s">
        <v>226</v>
      </c>
      <c r="C9653" s="10">
        <v>4.51</v>
      </c>
      <c r="D9653" s="10">
        <v>0.3</v>
      </c>
      <c r="E9653" s="16">
        <v>7.13</v>
      </c>
      <c r="F9653">
        <v>368915</v>
      </c>
      <c r="G9653" s="5">
        <v>43118</v>
      </c>
    </row>
    <row r="9654" spans="1:7" x14ac:dyDescent="0.4">
      <c r="A9654">
        <v>53</v>
      </c>
      <c r="B9654" t="s">
        <v>181</v>
      </c>
      <c r="C9654" s="10">
        <v>2.71</v>
      </c>
      <c r="D9654" s="10">
        <v>0.18</v>
      </c>
      <c r="E9654" s="16">
        <v>7.11</v>
      </c>
      <c r="F9654">
        <v>28675</v>
      </c>
      <c r="G9654" s="5">
        <v>43118</v>
      </c>
    </row>
    <row r="9655" spans="1:7" x14ac:dyDescent="0.4">
      <c r="A9655">
        <v>54</v>
      </c>
      <c r="B9655" t="s">
        <v>1383</v>
      </c>
      <c r="C9655" s="10">
        <v>4.6900000000000004</v>
      </c>
      <c r="D9655" s="10">
        <v>0.31</v>
      </c>
      <c r="E9655" s="16">
        <v>7.08</v>
      </c>
      <c r="F9655">
        <v>690804</v>
      </c>
      <c r="G9655" s="5">
        <v>43118</v>
      </c>
    </row>
    <row r="9656" spans="1:7" x14ac:dyDescent="0.4">
      <c r="A9656">
        <v>55</v>
      </c>
      <c r="B9656" t="s">
        <v>2102</v>
      </c>
      <c r="C9656" s="10">
        <v>2.4500000000000002</v>
      </c>
      <c r="D9656" s="10">
        <v>0.16</v>
      </c>
      <c r="E9656" s="16">
        <v>6.99</v>
      </c>
      <c r="F9656">
        <v>627980</v>
      </c>
      <c r="G9656" s="5">
        <v>43118</v>
      </c>
    </row>
    <row r="9657" spans="1:7" x14ac:dyDescent="0.4">
      <c r="A9657">
        <v>56</v>
      </c>
      <c r="B9657" t="s">
        <v>2147</v>
      </c>
      <c r="C9657" s="10">
        <v>34.5</v>
      </c>
      <c r="D9657" s="10">
        <v>2.2200000000000002</v>
      </c>
      <c r="E9657" s="16">
        <v>6.88</v>
      </c>
      <c r="F9657">
        <v>3909064</v>
      </c>
      <c r="G9657" s="5">
        <v>43118</v>
      </c>
    </row>
    <row r="9658" spans="1:7" x14ac:dyDescent="0.4">
      <c r="A9658">
        <v>57</v>
      </c>
      <c r="B9658" t="s">
        <v>1090</v>
      </c>
      <c r="C9658" s="10">
        <v>32.75</v>
      </c>
      <c r="D9658" s="10">
        <v>2.09</v>
      </c>
      <c r="E9658" s="16">
        <v>6.82</v>
      </c>
      <c r="F9658">
        <v>2633142</v>
      </c>
      <c r="G9658" s="5">
        <v>43118</v>
      </c>
    </row>
    <row r="9659" spans="1:7" x14ac:dyDescent="0.4">
      <c r="A9659">
        <v>58</v>
      </c>
      <c r="B9659" t="s">
        <v>455</v>
      </c>
      <c r="C9659" s="10">
        <v>111.67</v>
      </c>
      <c r="D9659" s="10">
        <v>7.04</v>
      </c>
      <c r="E9659" s="16">
        <v>6.73</v>
      </c>
      <c r="F9659">
        <v>230827</v>
      </c>
      <c r="G9659" s="5">
        <v>43118</v>
      </c>
    </row>
    <row r="9660" spans="1:7" x14ac:dyDescent="0.4">
      <c r="A9660">
        <v>59</v>
      </c>
      <c r="B9660" t="s">
        <v>2148</v>
      </c>
      <c r="C9660" s="10">
        <v>36.119999999999997</v>
      </c>
      <c r="D9660" s="10">
        <v>2.2599999999999998</v>
      </c>
      <c r="E9660" s="16">
        <v>6.67</v>
      </c>
      <c r="F9660">
        <v>1305451</v>
      </c>
      <c r="G9660" s="5">
        <v>43118</v>
      </c>
    </row>
    <row r="9661" spans="1:7" x14ac:dyDescent="0.4">
      <c r="A9661">
        <v>60</v>
      </c>
      <c r="B9661" t="s">
        <v>337</v>
      </c>
      <c r="C9661" s="10">
        <v>10.55</v>
      </c>
      <c r="D9661" s="10">
        <v>0.66</v>
      </c>
      <c r="E9661" s="16">
        <v>6.67</v>
      </c>
      <c r="F9661">
        <v>4557032</v>
      </c>
      <c r="G9661" s="5">
        <v>43118</v>
      </c>
    </row>
    <row r="9662" spans="1:7" x14ac:dyDescent="0.4">
      <c r="A9662">
        <v>61</v>
      </c>
      <c r="B9662" t="s">
        <v>1001</v>
      </c>
      <c r="C9662" s="10">
        <v>5.12</v>
      </c>
      <c r="D9662" s="10">
        <v>0.32</v>
      </c>
      <c r="E9662" s="16">
        <v>6.67</v>
      </c>
      <c r="F9662">
        <v>139645</v>
      </c>
      <c r="G9662" s="5">
        <v>43118</v>
      </c>
    </row>
    <row r="9663" spans="1:7" x14ac:dyDescent="0.4">
      <c r="A9663">
        <v>62</v>
      </c>
      <c r="B9663" t="s">
        <v>2114</v>
      </c>
      <c r="C9663" s="10">
        <v>9.93</v>
      </c>
      <c r="D9663" s="10">
        <v>0.62</v>
      </c>
      <c r="E9663" s="16">
        <v>6.66</v>
      </c>
      <c r="F9663">
        <v>93603</v>
      </c>
      <c r="G9663" s="5">
        <v>43118</v>
      </c>
    </row>
    <row r="9664" spans="1:7" x14ac:dyDescent="0.4">
      <c r="A9664">
        <v>63</v>
      </c>
      <c r="B9664" t="s">
        <v>1533</v>
      </c>
      <c r="C9664" s="10">
        <v>22.43</v>
      </c>
      <c r="D9664" s="10">
        <v>1.37</v>
      </c>
      <c r="E9664" s="16">
        <v>6.51</v>
      </c>
      <c r="F9664">
        <v>7982774</v>
      </c>
      <c r="G9664" s="5">
        <v>43118</v>
      </c>
    </row>
    <row r="9665" spans="1:7" x14ac:dyDescent="0.4">
      <c r="A9665">
        <v>64</v>
      </c>
      <c r="B9665" t="s">
        <v>1581</v>
      </c>
      <c r="C9665" s="10">
        <v>13.25</v>
      </c>
      <c r="D9665" s="10">
        <v>0.8</v>
      </c>
      <c r="E9665" s="16">
        <v>6.43</v>
      </c>
      <c r="F9665">
        <v>2857982</v>
      </c>
      <c r="G9665" s="5">
        <v>43118</v>
      </c>
    </row>
    <row r="9666" spans="1:7" x14ac:dyDescent="0.4">
      <c r="A9666">
        <v>65</v>
      </c>
      <c r="B9666" t="s">
        <v>2108</v>
      </c>
      <c r="C9666" s="10">
        <v>13.09</v>
      </c>
      <c r="D9666" s="10">
        <v>0.78</v>
      </c>
      <c r="E9666" s="16">
        <v>6.34</v>
      </c>
      <c r="F9666">
        <v>659439</v>
      </c>
      <c r="G9666" s="5">
        <v>43118</v>
      </c>
    </row>
    <row r="9667" spans="1:7" x14ac:dyDescent="0.4">
      <c r="A9667">
        <v>66</v>
      </c>
      <c r="B9667" t="s">
        <v>2105</v>
      </c>
      <c r="C9667" s="10">
        <v>23.58</v>
      </c>
      <c r="D9667" s="10">
        <v>1.39</v>
      </c>
      <c r="E9667" s="16">
        <v>6.26</v>
      </c>
      <c r="F9667">
        <v>3072869</v>
      </c>
      <c r="G9667" s="5">
        <v>43118</v>
      </c>
    </row>
    <row r="9668" spans="1:7" x14ac:dyDescent="0.4">
      <c r="A9668">
        <v>67</v>
      </c>
      <c r="B9668" t="s">
        <v>1815</v>
      </c>
      <c r="C9668" s="10">
        <v>33.950000000000003</v>
      </c>
      <c r="D9668" s="10">
        <v>1.99</v>
      </c>
      <c r="E9668" s="16">
        <v>6.23</v>
      </c>
      <c r="F9668">
        <v>10221049</v>
      </c>
      <c r="G9668" s="5">
        <v>43118</v>
      </c>
    </row>
    <row r="9669" spans="1:7" x14ac:dyDescent="0.4">
      <c r="A9669">
        <v>68</v>
      </c>
      <c r="B9669" t="s">
        <v>2149</v>
      </c>
      <c r="C9669" s="10">
        <v>12.68</v>
      </c>
      <c r="D9669" s="10">
        <v>0.74</v>
      </c>
      <c r="E9669" s="16">
        <v>6.2</v>
      </c>
      <c r="F9669">
        <v>187885</v>
      </c>
      <c r="G9669" s="5">
        <v>43118</v>
      </c>
    </row>
    <row r="9670" spans="1:7" x14ac:dyDescent="0.4">
      <c r="A9670">
        <v>69</v>
      </c>
      <c r="B9670" t="s">
        <v>1463</v>
      </c>
      <c r="C9670" s="10">
        <v>30.08</v>
      </c>
      <c r="D9670" s="10">
        <v>1.74</v>
      </c>
      <c r="E9670" s="16">
        <v>6.14</v>
      </c>
      <c r="F9670">
        <v>573760</v>
      </c>
      <c r="G9670" s="5">
        <v>43118</v>
      </c>
    </row>
    <row r="9671" spans="1:7" x14ac:dyDescent="0.4">
      <c r="A9671">
        <v>70</v>
      </c>
      <c r="B9671" t="s">
        <v>503</v>
      </c>
      <c r="C9671" s="10">
        <v>15.83</v>
      </c>
      <c r="D9671" s="10">
        <v>0.91</v>
      </c>
      <c r="E9671" s="16">
        <v>6.1</v>
      </c>
      <c r="F9671">
        <v>22380</v>
      </c>
      <c r="G9671" s="5">
        <v>43118</v>
      </c>
    </row>
    <row r="9672" spans="1:7" x14ac:dyDescent="0.4">
      <c r="A9672">
        <v>71</v>
      </c>
      <c r="B9672" t="s">
        <v>2150</v>
      </c>
      <c r="C9672" s="10">
        <v>31.64</v>
      </c>
      <c r="D9672" s="10">
        <v>1.81</v>
      </c>
      <c r="E9672" s="16">
        <v>6.07</v>
      </c>
      <c r="F9672">
        <v>473300</v>
      </c>
      <c r="G9672" s="5">
        <v>43118</v>
      </c>
    </row>
    <row r="9673" spans="1:7" x14ac:dyDescent="0.4">
      <c r="A9673">
        <v>72</v>
      </c>
      <c r="B9673" t="s">
        <v>1044</v>
      </c>
      <c r="C9673" s="10">
        <v>6.2</v>
      </c>
      <c r="D9673" s="10">
        <v>0.35</v>
      </c>
      <c r="E9673" s="16">
        <v>5.98</v>
      </c>
      <c r="F9673">
        <v>57667</v>
      </c>
      <c r="G9673" s="5">
        <v>43118</v>
      </c>
    </row>
    <row r="9674" spans="1:7" x14ac:dyDescent="0.4">
      <c r="A9674">
        <v>73</v>
      </c>
      <c r="B9674" t="s">
        <v>2084</v>
      </c>
      <c r="C9674" s="10">
        <v>2.5099999999999998</v>
      </c>
      <c r="D9674" s="10">
        <v>0.14000000000000001</v>
      </c>
      <c r="E9674" s="16">
        <v>5.91</v>
      </c>
      <c r="F9674">
        <v>301982</v>
      </c>
      <c r="G9674" s="5">
        <v>43118</v>
      </c>
    </row>
    <row r="9675" spans="1:7" x14ac:dyDescent="0.4">
      <c r="A9675">
        <v>74</v>
      </c>
      <c r="B9675" t="s">
        <v>1204</v>
      </c>
      <c r="C9675" s="10">
        <v>12.83</v>
      </c>
      <c r="D9675" s="10">
        <v>0.71</v>
      </c>
      <c r="E9675" s="16">
        <v>5.86</v>
      </c>
      <c r="F9675">
        <v>171107</v>
      </c>
      <c r="G9675" s="5">
        <v>43118</v>
      </c>
    </row>
    <row r="9676" spans="1:7" x14ac:dyDescent="0.4">
      <c r="A9676">
        <v>75</v>
      </c>
      <c r="B9676" t="s">
        <v>829</v>
      </c>
      <c r="C9676" s="10">
        <v>49.56</v>
      </c>
      <c r="D9676" s="10">
        <v>2.71</v>
      </c>
      <c r="E9676" s="16">
        <v>5.78</v>
      </c>
      <c r="F9676">
        <v>2203848</v>
      </c>
      <c r="G9676" s="5">
        <v>43118</v>
      </c>
    </row>
    <row r="9677" spans="1:7" x14ac:dyDescent="0.4">
      <c r="A9677">
        <v>76</v>
      </c>
      <c r="B9677" t="s">
        <v>1081</v>
      </c>
      <c r="C9677" s="10">
        <v>4.04</v>
      </c>
      <c r="D9677" s="10">
        <v>0.22</v>
      </c>
      <c r="E9677" s="16">
        <v>5.75</v>
      </c>
      <c r="F9677">
        <v>47560</v>
      </c>
      <c r="G9677" s="5">
        <v>43118</v>
      </c>
    </row>
    <row r="9678" spans="1:7" x14ac:dyDescent="0.4">
      <c r="A9678">
        <v>77</v>
      </c>
      <c r="B9678" t="s">
        <v>1971</v>
      </c>
      <c r="C9678" s="10">
        <v>4.25</v>
      </c>
      <c r="D9678" s="10">
        <v>0.23</v>
      </c>
      <c r="E9678" s="16">
        <v>5.72</v>
      </c>
      <c r="F9678">
        <v>134614</v>
      </c>
      <c r="G9678" s="5">
        <v>43118</v>
      </c>
    </row>
    <row r="9679" spans="1:7" x14ac:dyDescent="0.4">
      <c r="A9679">
        <v>78</v>
      </c>
      <c r="B9679" t="s">
        <v>2044</v>
      </c>
      <c r="C9679" s="10">
        <v>6.6</v>
      </c>
      <c r="D9679" s="10">
        <v>0.35</v>
      </c>
      <c r="E9679" s="16">
        <v>5.6</v>
      </c>
      <c r="F9679">
        <v>85639</v>
      </c>
      <c r="G9679" s="5">
        <v>43118</v>
      </c>
    </row>
    <row r="9680" spans="1:7" x14ac:dyDescent="0.4">
      <c r="A9680">
        <v>79</v>
      </c>
      <c r="B9680" t="s">
        <v>1984</v>
      </c>
      <c r="C9680" s="10">
        <v>4.5</v>
      </c>
      <c r="D9680" s="10">
        <v>0.24</v>
      </c>
      <c r="E9680" s="16">
        <v>5.53</v>
      </c>
      <c r="F9680">
        <v>60188</v>
      </c>
      <c r="G9680" s="5">
        <v>43118</v>
      </c>
    </row>
    <row r="9681" spans="1:7" x14ac:dyDescent="0.4">
      <c r="A9681">
        <v>80</v>
      </c>
      <c r="B9681" t="s">
        <v>476</v>
      </c>
      <c r="C9681" s="10">
        <v>91</v>
      </c>
      <c r="D9681" s="10">
        <v>4.7</v>
      </c>
      <c r="E9681" s="16">
        <v>5.45</v>
      </c>
      <c r="F9681">
        <v>5360</v>
      </c>
      <c r="G9681" s="5">
        <v>43118</v>
      </c>
    </row>
    <row r="9682" spans="1:7" x14ac:dyDescent="0.4">
      <c r="A9682">
        <v>81</v>
      </c>
      <c r="B9682" t="s">
        <v>2151</v>
      </c>
      <c r="C9682" s="10">
        <v>45.28</v>
      </c>
      <c r="D9682" s="10">
        <v>2.31</v>
      </c>
      <c r="E9682" s="16">
        <v>5.38</v>
      </c>
      <c r="F9682">
        <v>644552</v>
      </c>
      <c r="G9682" s="5">
        <v>43118</v>
      </c>
    </row>
    <row r="9683" spans="1:7" x14ac:dyDescent="0.4">
      <c r="A9683">
        <v>82</v>
      </c>
      <c r="B9683" t="s">
        <v>667</v>
      </c>
      <c r="C9683" s="10">
        <v>34.549999999999997</v>
      </c>
      <c r="D9683" s="10">
        <v>1.75</v>
      </c>
      <c r="E9683" s="16">
        <v>5.34</v>
      </c>
      <c r="F9683">
        <v>19266</v>
      </c>
      <c r="G9683" s="5">
        <v>43118</v>
      </c>
    </row>
    <row r="9684" spans="1:7" x14ac:dyDescent="0.4">
      <c r="A9684">
        <v>83</v>
      </c>
      <c r="B9684" t="s">
        <v>180</v>
      </c>
      <c r="C9684" s="10">
        <v>8.9</v>
      </c>
      <c r="D9684" s="10">
        <v>0.45</v>
      </c>
      <c r="E9684" s="16">
        <v>5.33</v>
      </c>
      <c r="F9684">
        <v>475318</v>
      </c>
      <c r="G9684" s="5">
        <v>43118</v>
      </c>
    </row>
    <row r="9685" spans="1:7" x14ac:dyDescent="0.4">
      <c r="A9685">
        <v>84</v>
      </c>
      <c r="B9685" t="s">
        <v>830</v>
      </c>
      <c r="C9685" s="10">
        <v>8.14</v>
      </c>
      <c r="D9685" s="10">
        <v>0.41</v>
      </c>
      <c r="E9685" s="16">
        <v>5.3</v>
      </c>
      <c r="F9685">
        <v>5532886</v>
      </c>
      <c r="G9685" s="5">
        <v>43118</v>
      </c>
    </row>
    <row r="9686" spans="1:7" x14ac:dyDescent="0.4">
      <c r="A9686">
        <v>85</v>
      </c>
      <c r="B9686" t="s">
        <v>2152</v>
      </c>
      <c r="C9686" s="10">
        <v>27.74</v>
      </c>
      <c r="D9686" s="10">
        <v>1.39</v>
      </c>
      <c r="E9686" s="16">
        <v>5.28</v>
      </c>
      <c r="F9686">
        <v>8052</v>
      </c>
      <c r="G9686" s="5">
        <v>43118</v>
      </c>
    </row>
    <row r="9687" spans="1:7" x14ac:dyDescent="0.4">
      <c r="A9687">
        <v>86</v>
      </c>
      <c r="B9687" t="s">
        <v>527</v>
      </c>
      <c r="C9687" s="10">
        <v>6</v>
      </c>
      <c r="D9687" s="10">
        <v>0.3</v>
      </c>
      <c r="E9687" s="16">
        <v>5.26</v>
      </c>
      <c r="F9687">
        <v>290465</v>
      </c>
      <c r="G9687" s="5">
        <v>43118</v>
      </c>
    </row>
    <row r="9688" spans="1:7" x14ac:dyDescent="0.4">
      <c r="A9688">
        <v>87</v>
      </c>
      <c r="B9688" t="s">
        <v>1734</v>
      </c>
      <c r="C9688" s="10">
        <v>8.24</v>
      </c>
      <c r="D9688" s="10">
        <v>0.41</v>
      </c>
      <c r="E9688" s="16">
        <v>5.24</v>
      </c>
      <c r="F9688">
        <v>181345</v>
      </c>
      <c r="G9688" s="5">
        <v>43118</v>
      </c>
    </row>
    <row r="9689" spans="1:7" x14ac:dyDescent="0.4">
      <c r="A9689">
        <v>88</v>
      </c>
      <c r="B9689" t="s">
        <v>912</v>
      </c>
      <c r="C9689" s="10">
        <v>12.26</v>
      </c>
      <c r="D9689" s="10">
        <v>0.61</v>
      </c>
      <c r="E9689" s="16">
        <v>5.24</v>
      </c>
      <c r="F9689">
        <v>73102</v>
      </c>
      <c r="G9689" s="5">
        <v>43118</v>
      </c>
    </row>
    <row r="9690" spans="1:7" x14ac:dyDescent="0.4">
      <c r="A9690">
        <v>89</v>
      </c>
      <c r="B9690" t="s">
        <v>405</v>
      </c>
      <c r="C9690" s="10">
        <v>29.47</v>
      </c>
      <c r="D9690" s="10">
        <v>1.46</v>
      </c>
      <c r="E9690" s="16">
        <v>5.21</v>
      </c>
      <c r="F9690">
        <v>22696</v>
      </c>
      <c r="G9690" s="5">
        <v>43118</v>
      </c>
    </row>
    <row r="9691" spans="1:7" x14ac:dyDescent="0.4">
      <c r="A9691">
        <v>90</v>
      </c>
      <c r="B9691" t="s">
        <v>1537</v>
      </c>
      <c r="C9691" s="10">
        <v>28.09</v>
      </c>
      <c r="D9691" s="10">
        <v>1.38</v>
      </c>
      <c r="E9691" s="16">
        <v>5.17</v>
      </c>
      <c r="F9691">
        <v>841156</v>
      </c>
      <c r="G9691" s="5">
        <v>43118</v>
      </c>
    </row>
    <row r="9692" spans="1:7" x14ac:dyDescent="0.4">
      <c r="A9692">
        <v>91</v>
      </c>
      <c r="B9692" t="s">
        <v>148</v>
      </c>
      <c r="C9692" s="10">
        <v>2.85</v>
      </c>
      <c r="D9692" s="10">
        <v>0.14000000000000001</v>
      </c>
      <c r="E9692" s="16">
        <v>5.16</v>
      </c>
      <c r="F9692">
        <v>43485</v>
      </c>
      <c r="G9692" s="5">
        <v>43118</v>
      </c>
    </row>
    <row r="9693" spans="1:7" x14ac:dyDescent="0.4">
      <c r="A9693">
        <v>92</v>
      </c>
      <c r="B9693" t="s">
        <v>938</v>
      </c>
      <c r="C9693" s="10">
        <v>5.75</v>
      </c>
      <c r="D9693" s="10">
        <v>0.28000000000000003</v>
      </c>
      <c r="E9693" s="16">
        <v>5.12</v>
      </c>
      <c r="F9693">
        <v>72698</v>
      </c>
      <c r="G9693" s="5">
        <v>43118</v>
      </c>
    </row>
    <row r="9694" spans="1:7" x14ac:dyDescent="0.4">
      <c r="A9694">
        <v>93</v>
      </c>
      <c r="B9694" t="s">
        <v>444</v>
      </c>
      <c r="C9694" s="10">
        <v>15.83</v>
      </c>
      <c r="D9694" s="10">
        <v>0.77</v>
      </c>
      <c r="E9694" s="16">
        <v>5.1100000000000003</v>
      </c>
      <c r="F9694">
        <v>1522656</v>
      </c>
      <c r="G9694" s="5">
        <v>43118</v>
      </c>
    </row>
    <row r="9695" spans="1:7" x14ac:dyDescent="0.4">
      <c r="A9695">
        <v>94</v>
      </c>
      <c r="B9695" t="s">
        <v>481</v>
      </c>
      <c r="C9695" s="10">
        <v>16.97</v>
      </c>
      <c r="D9695" s="10">
        <v>0.82</v>
      </c>
      <c r="E9695" s="16">
        <v>5.08</v>
      </c>
      <c r="F9695">
        <v>20944</v>
      </c>
      <c r="G9695" s="5">
        <v>43118</v>
      </c>
    </row>
    <row r="9696" spans="1:7" x14ac:dyDescent="0.4">
      <c r="A9696">
        <v>95</v>
      </c>
      <c r="B9696" t="s">
        <v>1915</v>
      </c>
      <c r="C9696" s="10">
        <v>110.17</v>
      </c>
      <c r="D9696" s="10">
        <v>5.3</v>
      </c>
      <c r="E9696" s="16">
        <v>5.05</v>
      </c>
      <c r="F9696">
        <v>1026732</v>
      </c>
      <c r="G9696" s="5">
        <v>43118</v>
      </c>
    </row>
    <row r="9697" spans="1:7" x14ac:dyDescent="0.4">
      <c r="A9697">
        <v>96</v>
      </c>
      <c r="B9697" t="s">
        <v>837</v>
      </c>
      <c r="C9697" s="10">
        <v>11.23</v>
      </c>
      <c r="D9697" s="10">
        <v>0.54</v>
      </c>
      <c r="E9697" s="16">
        <v>5.05</v>
      </c>
      <c r="F9697">
        <v>62437</v>
      </c>
      <c r="G9697" s="5">
        <v>43118</v>
      </c>
    </row>
    <row r="9698" spans="1:7" x14ac:dyDescent="0.4">
      <c r="A9698">
        <v>97</v>
      </c>
      <c r="B9698" t="s">
        <v>49</v>
      </c>
      <c r="C9698" s="10">
        <v>3.96</v>
      </c>
      <c r="D9698" s="10">
        <v>0.19</v>
      </c>
      <c r="E9698" s="16">
        <v>5.04</v>
      </c>
      <c r="F9698">
        <v>669535</v>
      </c>
      <c r="G9698" s="5">
        <v>43118</v>
      </c>
    </row>
    <row r="9699" spans="1:7" x14ac:dyDescent="0.4">
      <c r="A9699">
        <v>98</v>
      </c>
      <c r="B9699" t="s">
        <v>962</v>
      </c>
      <c r="C9699" s="10">
        <v>16.29</v>
      </c>
      <c r="D9699" s="10">
        <v>0.78</v>
      </c>
      <c r="E9699" s="16">
        <v>5.03</v>
      </c>
      <c r="F9699">
        <v>783841</v>
      </c>
      <c r="G9699" s="5">
        <v>43118</v>
      </c>
    </row>
    <row r="9700" spans="1:7" x14ac:dyDescent="0.4">
      <c r="A9700">
        <v>99</v>
      </c>
      <c r="B9700" t="s">
        <v>695</v>
      </c>
      <c r="C9700" s="10">
        <v>6.3</v>
      </c>
      <c r="D9700" s="10">
        <v>0.3</v>
      </c>
      <c r="E9700" s="16">
        <v>5</v>
      </c>
      <c r="F9700">
        <v>213731</v>
      </c>
      <c r="G9700" s="5">
        <v>43118</v>
      </c>
    </row>
    <row r="9701" spans="1:7" x14ac:dyDescent="0.4">
      <c r="A9701">
        <v>100</v>
      </c>
      <c r="B9701" t="s">
        <v>2153</v>
      </c>
      <c r="C9701" s="10">
        <v>10.37</v>
      </c>
      <c r="D9701" s="10">
        <v>0.49</v>
      </c>
      <c r="E9701" s="16">
        <v>4.96</v>
      </c>
      <c r="F9701">
        <v>631501</v>
      </c>
      <c r="G9701" s="5">
        <v>43118</v>
      </c>
    </row>
    <row r="9702" spans="1:7" x14ac:dyDescent="0.4">
      <c r="A9702">
        <v>1</v>
      </c>
      <c r="B9702" t="s">
        <v>1927</v>
      </c>
      <c r="C9702" s="10">
        <v>69.25</v>
      </c>
      <c r="D9702" s="10">
        <v>23.65</v>
      </c>
      <c r="E9702" s="16">
        <v>51.86</v>
      </c>
      <c r="F9702">
        <v>21972667</v>
      </c>
      <c r="G9702" s="5">
        <v>43119</v>
      </c>
    </row>
    <row r="9703" spans="1:7" x14ac:dyDescent="0.4">
      <c r="A9703">
        <v>2</v>
      </c>
      <c r="B9703" t="s">
        <v>150</v>
      </c>
      <c r="C9703" s="10">
        <v>2.85</v>
      </c>
      <c r="D9703" s="10">
        <v>0.5</v>
      </c>
      <c r="E9703" s="16">
        <v>21.28</v>
      </c>
      <c r="F9703">
        <v>416304</v>
      </c>
      <c r="G9703" s="5">
        <v>43119</v>
      </c>
    </row>
    <row r="9704" spans="1:7" x14ac:dyDescent="0.4">
      <c r="A9704">
        <v>3</v>
      </c>
      <c r="B9704" t="s">
        <v>1136</v>
      </c>
      <c r="C9704" s="10">
        <v>17.149999999999999</v>
      </c>
      <c r="D9704" s="10">
        <v>2.97</v>
      </c>
      <c r="E9704" s="16">
        <v>20.94</v>
      </c>
      <c r="F9704">
        <v>486591</v>
      </c>
      <c r="G9704" s="5">
        <v>43119</v>
      </c>
    </row>
    <row r="9705" spans="1:7" x14ac:dyDescent="0.4">
      <c r="A9705">
        <v>4</v>
      </c>
      <c r="B9705" t="s">
        <v>1090</v>
      </c>
      <c r="C9705" s="10">
        <v>30.66</v>
      </c>
      <c r="D9705" s="10">
        <v>5.0599999999999996</v>
      </c>
      <c r="E9705" s="16">
        <v>19.77</v>
      </c>
      <c r="F9705">
        <v>3784385</v>
      </c>
      <c r="G9705" s="5">
        <v>43119</v>
      </c>
    </row>
    <row r="9706" spans="1:7" x14ac:dyDescent="0.4">
      <c r="A9706">
        <v>5</v>
      </c>
      <c r="B9706" t="s">
        <v>2131</v>
      </c>
      <c r="C9706" s="10">
        <v>2.41</v>
      </c>
      <c r="D9706" s="10">
        <v>0.34</v>
      </c>
      <c r="E9706" s="16">
        <v>16.43</v>
      </c>
      <c r="F9706">
        <v>16251322</v>
      </c>
      <c r="G9706" s="5">
        <v>43119</v>
      </c>
    </row>
    <row r="9707" spans="1:7" x14ac:dyDescent="0.4">
      <c r="A9707">
        <v>6</v>
      </c>
      <c r="B9707" t="s">
        <v>739</v>
      </c>
      <c r="C9707" s="10">
        <v>13.68</v>
      </c>
      <c r="D9707" s="10">
        <v>1.86</v>
      </c>
      <c r="E9707" s="16">
        <v>15.74</v>
      </c>
      <c r="F9707">
        <v>187220</v>
      </c>
      <c r="G9707" s="5">
        <v>43119</v>
      </c>
    </row>
    <row r="9708" spans="1:7" x14ac:dyDescent="0.4">
      <c r="A9708">
        <v>7</v>
      </c>
      <c r="B9708" t="s">
        <v>2030</v>
      </c>
      <c r="C9708" s="10">
        <v>3.1</v>
      </c>
      <c r="D9708" s="10">
        <v>0.4</v>
      </c>
      <c r="E9708" s="16">
        <v>14.81</v>
      </c>
      <c r="F9708">
        <v>839043</v>
      </c>
      <c r="G9708" s="5">
        <v>43119</v>
      </c>
    </row>
    <row r="9709" spans="1:7" x14ac:dyDescent="0.4">
      <c r="A9709">
        <v>8</v>
      </c>
      <c r="B9709" t="s">
        <v>643</v>
      </c>
      <c r="C9709" s="10">
        <v>7.53</v>
      </c>
      <c r="D9709" s="10">
        <v>0.9</v>
      </c>
      <c r="E9709" s="16">
        <v>13.57</v>
      </c>
      <c r="F9709">
        <v>525595</v>
      </c>
      <c r="G9709" s="5">
        <v>43119</v>
      </c>
    </row>
    <row r="9710" spans="1:7" x14ac:dyDescent="0.4">
      <c r="A9710">
        <v>9</v>
      </c>
      <c r="B9710" t="s">
        <v>987</v>
      </c>
      <c r="C9710" s="10">
        <v>8.24</v>
      </c>
      <c r="D9710" s="10">
        <v>0.96</v>
      </c>
      <c r="E9710" s="16">
        <v>13.19</v>
      </c>
      <c r="F9710">
        <v>225073</v>
      </c>
      <c r="G9710" s="5">
        <v>43119</v>
      </c>
    </row>
    <row r="9711" spans="1:7" x14ac:dyDescent="0.4">
      <c r="A9711">
        <v>10</v>
      </c>
      <c r="B9711" t="s">
        <v>1096</v>
      </c>
      <c r="C9711" s="10">
        <v>4.6500000000000004</v>
      </c>
      <c r="D9711" s="10">
        <v>0.54</v>
      </c>
      <c r="E9711" s="16">
        <v>13.14</v>
      </c>
      <c r="F9711">
        <v>221493</v>
      </c>
      <c r="G9711" s="5">
        <v>43119</v>
      </c>
    </row>
    <row r="9712" spans="1:7" x14ac:dyDescent="0.4">
      <c r="A9712">
        <v>11</v>
      </c>
      <c r="B9712" t="s">
        <v>912</v>
      </c>
      <c r="C9712" s="10">
        <v>11.65</v>
      </c>
      <c r="D9712" s="10">
        <v>1.33</v>
      </c>
      <c r="E9712" s="16">
        <v>12.89</v>
      </c>
      <c r="F9712">
        <v>93410</v>
      </c>
      <c r="G9712" s="5">
        <v>43119</v>
      </c>
    </row>
    <row r="9713" spans="1:7" x14ac:dyDescent="0.4">
      <c r="A9713">
        <v>12</v>
      </c>
      <c r="B9713" t="s">
        <v>1094</v>
      </c>
      <c r="C9713" s="10">
        <v>15.78</v>
      </c>
      <c r="D9713" s="10">
        <v>1.78</v>
      </c>
      <c r="E9713" s="16">
        <v>12.74</v>
      </c>
      <c r="F9713">
        <v>8468</v>
      </c>
      <c r="G9713" s="5">
        <v>43119</v>
      </c>
    </row>
    <row r="9714" spans="1:7" x14ac:dyDescent="0.4">
      <c r="A9714">
        <v>13</v>
      </c>
      <c r="B9714" t="s">
        <v>925</v>
      </c>
      <c r="C9714" s="10">
        <v>7.91</v>
      </c>
      <c r="D9714" s="10">
        <v>0.89</v>
      </c>
      <c r="E9714" s="16">
        <v>12.68</v>
      </c>
      <c r="F9714">
        <v>303644</v>
      </c>
      <c r="G9714" s="5">
        <v>43119</v>
      </c>
    </row>
    <row r="9715" spans="1:7" x14ac:dyDescent="0.4">
      <c r="A9715">
        <v>14</v>
      </c>
      <c r="B9715" t="s">
        <v>371</v>
      </c>
      <c r="C9715" s="10">
        <v>16.25</v>
      </c>
      <c r="D9715" s="10">
        <v>1.78</v>
      </c>
      <c r="E9715" s="16">
        <v>12.3</v>
      </c>
      <c r="F9715">
        <v>28409</v>
      </c>
      <c r="G9715" s="5">
        <v>43119</v>
      </c>
    </row>
    <row r="9716" spans="1:7" x14ac:dyDescent="0.4">
      <c r="A9716">
        <v>15</v>
      </c>
      <c r="B9716" t="s">
        <v>438</v>
      </c>
      <c r="C9716" s="10">
        <v>9.0399999999999991</v>
      </c>
      <c r="D9716" s="10">
        <v>0.98</v>
      </c>
      <c r="E9716" s="16">
        <v>12.16</v>
      </c>
      <c r="F9716">
        <v>419048</v>
      </c>
      <c r="G9716" s="5">
        <v>43119</v>
      </c>
    </row>
    <row r="9717" spans="1:7" x14ac:dyDescent="0.4">
      <c r="A9717">
        <v>16</v>
      </c>
      <c r="B9717" t="s">
        <v>2080</v>
      </c>
      <c r="C9717" s="10">
        <v>12.79</v>
      </c>
      <c r="D9717" s="10">
        <v>1.35</v>
      </c>
      <c r="E9717" s="16">
        <v>11.8</v>
      </c>
      <c r="F9717">
        <v>408487</v>
      </c>
      <c r="G9717" s="5">
        <v>43119</v>
      </c>
    </row>
    <row r="9718" spans="1:7" x14ac:dyDescent="0.4">
      <c r="A9718">
        <v>17</v>
      </c>
      <c r="B9718" t="s">
        <v>166</v>
      </c>
      <c r="C9718" s="10">
        <v>5.97</v>
      </c>
      <c r="D9718" s="10">
        <v>0.63</v>
      </c>
      <c r="E9718" s="16">
        <v>11.8</v>
      </c>
      <c r="F9718">
        <v>1090949</v>
      </c>
      <c r="G9718" s="5">
        <v>43119</v>
      </c>
    </row>
    <row r="9719" spans="1:7" x14ac:dyDescent="0.4">
      <c r="A9719">
        <v>18</v>
      </c>
      <c r="B9719" t="s">
        <v>1036</v>
      </c>
      <c r="C9719" s="10">
        <v>2.82</v>
      </c>
      <c r="D9719" s="10">
        <v>0.28999999999999998</v>
      </c>
      <c r="E9719" s="16">
        <v>11.46</v>
      </c>
      <c r="F9719">
        <v>1301286</v>
      </c>
      <c r="G9719" s="5">
        <v>43119</v>
      </c>
    </row>
    <row r="9720" spans="1:7" x14ac:dyDescent="0.4">
      <c r="A9720">
        <v>19</v>
      </c>
      <c r="B9720" t="s">
        <v>2132</v>
      </c>
      <c r="C9720" s="10">
        <v>17.2</v>
      </c>
      <c r="D9720" s="10">
        <v>1.75</v>
      </c>
      <c r="E9720" s="16">
        <v>11.33</v>
      </c>
      <c r="F9720">
        <v>1744078</v>
      </c>
      <c r="G9720" s="5">
        <v>43119</v>
      </c>
    </row>
    <row r="9721" spans="1:7" x14ac:dyDescent="0.4">
      <c r="A9721">
        <v>20</v>
      </c>
      <c r="B9721" t="s">
        <v>559</v>
      </c>
      <c r="C9721" s="10">
        <v>27.95</v>
      </c>
      <c r="D9721" s="10">
        <v>2.82</v>
      </c>
      <c r="E9721" s="16">
        <v>11.22</v>
      </c>
      <c r="F9721">
        <v>13146190</v>
      </c>
      <c r="G9721" s="5">
        <v>43119</v>
      </c>
    </row>
    <row r="9722" spans="1:7" x14ac:dyDescent="0.4">
      <c r="A9722">
        <v>21</v>
      </c>
      <c r="B9722" t="s">
        <v>366</v>
      </c>
      <c r="C9722" s="10">
        <v>9.4499999999999993</v>
      </c>
      <c r="D9722" s="10">
        <v>0.95</v>
      </c>
      <c r="E9722" s="16">
        <v>11.18</v>
      </c>
      <c r="F9722">
        <v>8801486</v>
      </c>
      <c r="G9722" s="5">
        <v>43119</v>
      </c>
    </row>
    <row r="9723" spans="1:7" x14ac:dyDescent="0.4">
      <c r="A9723">
        <v>22</v>
      </c>
      <c r="B9723" t="s">
        <v>17</v>
      </c>
      <c r="C9723" s="10">
        <v>12.52</v>
      </c>
      <c r="D9723" s="10">
        <v>1.25</v>
      </c>
      <c r="E9723" s="16">
        <v>11.09</v>
      </c>
      <c r="F9723">
        <v>501723</v>
      </c>
      <c r="G9723" s="5">
        <v>43119</v>
      </c>
    </row>
    <row r="9724" spans="1:7" x14ac:dyDescent="0.4">
      <c r="A9724">
        <v>23</v>
      </c>
      <c r="B9724" t="s">
        <v>296</v>
      </c>
      <c r="C9724" s="10">
        <v>4.5199999999999996</v>
      </c>
      <c r="D9724" s="10">
        <v>0.45</v>
      </c>
      <c r="E9724" s="16">
        <v>11.06</v>
      </c>
      <c r="F9724">
        <v>218199</v>
      </c>
      <c r="G9724" s="5">
        <v>43119</v>
      </c>
    </row>
    <row r="9725" spans="1:7" x14ac:dyDescent="0.4">
      <c r="A9725">
        <v>24</v>
      </c>
      <c r="B9725" t="s">
        <v>2133</v>
      </c>
      <c r="C9725" s="10">
        <v>17.89</v>
      </c>
      <c r="D9725" s="10">
        <v>1.73</v>
      </c>
      <c r="E9725" s="16">
        <v>10.71</v>
      </c>
      <c r="F9725">
        <v>4672726</v>
      </c>
      <c r="G9725" s="5">
        <v>43119</v>
      </c>
    </row>
    <row r="9726" spans="1:7" x14ac:dyDescent="0.4">
      <c r="A9726">
        <v>25</v>
      </c>
      <c r="B9726" t="s">
        <v>1872</v>
      </c>
      <c r="C9726" s="10">
        <v>3.79</v>
      </c>
      <c r="D9726" s="10">
        <v>0.36</v>
      </c>
      <c r="E9726" s="16">
        <v>10.49</v>
      </c>
      <c r="F9726">
        <v>280187</v>
      </c>
      <c r="G9726" s="5">
        <v>43119</v>
      </c>
    </row>
    <row r="9727" spans="1:7" x14ac:dyDescent="0.4">
      <c r="A9727">
        <v>26</v>
      </c>
      <c r="B9727" t="s">
        <v>572</v>
      </c>
      <c r="C9727" s="10">
        <v>10.1</v>
      </c>
      <c r="D9727" s="10">
        <v>0.95</v>
      </c>
      <c r="E9727" s="16">
        <v>10.38</v>
      </c>
      <c r="F9727">
        <v>117216</v>
      </c>
      <c r="G9727" s="5">
        <v>43119</v>
      </c>
    </row>
    <row r="9728" spans="1:7" x14ac:dyDescent="0.4">
      <c r="A9728">
        <v>27</v>
      </c>
      <c r="B9728" t="s">
        <v>185</v>
      </c>
      <c r="C9728" s="10">
        <v>3.46</v>
      </c>
      <c r="D9728" s="10">
        <v>0.31</v>
      </c>
      <c r="E9728" s="16">
        <v>10.02</v>
      </c>
      <c r="F9728">
        <v>676992</v>
      </c>
      <c r="G9728" s="5">
        <v>43119</v>
      </c>
    </row>
    <row r="9729" spans="1:7" x14ac:dyDescent="0.4">
      <c r="A9729">
        <v>28</v>
      </c>
      <c r="B9729" t="s">
        <v>188</v>
      </c>
      <c r="C9729" s="10">
        <v>2.75</v>
      </c>
      <c r="D9729" s="10">
        <v>0.25</v>
      </c>
      <c r="E9729" s="16">
        <v>10</v>
      </c>
      <c r="F9729">
        <v>150190</v>
      </c>
      <c r="G9729" s="5">
        <v>43119</v>
      </c>
    </row>
    <row r="9730" spans="1:7" x14ac:dyDescent="0.4">
      <c r="A9730">
        <v>29</v>
      </c>
      <c r="B9730" t="s">
        <v>395</v>
      </c>
      <c r="C9730" s="10">
        <v>2.88</v>
      </c>
      <c r="D9730" s="10">
        <v>0.26</v>
      </c>
      <c r="E9730" s="16">
        <v>9.92</v>
      </c>
      <c r="F9730">
        <v>509836</v>
      </c>
      <c r="G9730" s="5">
        <v>43119</v>
      </c>
    </row>
    <row r="9731" spans="1:7" x14ac:dyDescent="0.4">
      <c r="A9731">
        <v>30</v>
      </c>
      <c r="B9731" t="s">
        <v>2134</v>
      </c>
      <c r="C9731" s="10">
        <v>35.74</v>
      </c>
      <c r="D9731" s="10">
        <v>3.21</v>
      </c>
      <c r="E9731" s="16">
        <v>9.8699999999999992</v>
      </c>
      <c r="F9731">
        <v>425035</v>
      </c>
      <c r="G9731" s="5">
        <v>43119</v>
      </c>
    </row>
    <row r="9732" spans="1:7" x14ac:dyDescent="0.4">
      <c r="A9732">
        <v>31</v>
      </c>
      <c r="B9732" t="s">
        <v>2104</v>
      </c>
      <c r="C9732" s="10">
        <v>3.53</v>
      </c>
      <c r="D9732" s="10">
        <v>0.31</v>
      </c>
      <c r="E9732" s="16">
        <v>9.6300000000000008</v>
      </c>
      <c r="F9732">
        <v>189706</v>
      </c>
      <c r="G9732" s="5">
        <v>43119</v>
      </c>
    </row>
    <row r="9733" spans="1:7" x14ac:dyDescent="0.4">
      <c r="A9733">
        <v>32</v>
      </c>
      <c r="B9733" t="s">
        <v>327</v>
      </c>
      <c r="C9733" s="10">
        <v>22.01</v>
      </c>
      <c r="D9733" s="10">
        <v>1.91</v>
      </c>
      <c r="E9733" s="16">
        <v>9.5</v>
      </c>
      <c r="F9733">
        <v>1091324</v>
      </c>
      <c r="G9733" s="5">
        <v>43119</v>
      </c>
    </row>
    <row r="9734" spans="1:7" x14ac:dyDescent="0.4">
      <c r="A9734">
        <v>33</v>
      </c>
      <c r="B9734" t="s">
        <v>334</v>
      </c>
      <c r="C9734" s="10">
        <v>3.64</v>
      </c>
      <c r="D9734" s="10">
        <v>0.31</v>
      </c>
      <c r="E9734" s="16">
        <v>9.31</v>
      </c>
      <c r="F9734">
        <v>330928</v>
      </c>
      <c r="G9734" s="5">
        <v>43119</v>
      </c>
    </row>
    <row r="9735" spans="1:7" x14ac:dyDescent="0.4">
      <c r="A9735">
        <v>34</v>
      </c>
      <c r="B9735" t="s">
        <v>361</v>
      </c>
      <c r="C9735" s="10">
        <v>3.71</v>
      </c>
      <c r="D9735" s="10">
        <v>0.31</v>
      </c>
      <c r="E9735" s="16">
        <v>9.1199999999999992</v>
      </c>
      <c r="F9735">
        <v>1231087</v>
      </c>
      <c r="G9735" s="5">
        <v>43119</v>
      </c>
    </row>
    <row r="9736" spans="1:7" x14ac:dyDescent="0.4">
      <c r="A9736">
        <v>35</v>
      </c>
      <c r="B9736" t="s">
        <v>2135</v>
      </c>
      <c r="C9736" s="10">
        <v>33.11</v>
      </c>
      <c r="D9736" s="10">
        <v>2.76</v>
      </c>
      <c r="E9736" s="16">
        <v>9.09</v>
      </c>
      <c r="F9736">
        <v>1107503</v>
      </c>
      <c r="G9736" s="5">
        <v>43119</v>
      </c>
    </row>
    <row r="9737" spans="1:7" x14ac:dyDescent="0.4">
      <c r="A9737">
        <v>36</v>
      </c>
      <c r="B9737" t="s">
        <v>2136</v>
      </c>
      <c r="C9737" s="10">
        <v>12.01</v>
      </c>
      <c r="D9737" s="10">
        <v>0.99</v>
      </c>
      <c r="E9737" s="16">
        <v>8.98</v>
      </c>
      <c r="F9737">
        <v>359873</v>
      </c>
      <c r="G9737" s="5">
        <v>43119</v>
      </c>
    </row>
    <row r="9738" spans="1:7" x14ac:dyDescent="0.4">
      <c r="A9738">
        <v>37</v>
      </c>
      <c r="B9738" t="s">
        <v>2115</v>
      </c>
      <c r="C9738" s="10">
        <v>46.5</v>
      </c>
      <c r="D9738" s="10">
        <v>3.75</v>
      </c>
      <c r="E9738" s="16">
        <v>8.77</v>
      </c>
      <c r="F9738">
        <v>1666673</v>
      </c>
      <c r="G9738" s="5">
        <v>43119</v>
      </c>
    </row>
    <row r="9739" spans="1:7" x14ac:dyDescent="0.4">
      <c r="A9739">
        <v>38</v>
      </c>
      <c r="B9739" t="s">
        <v>2078</v>
      </c>
      <c r="C9739" s="10">
        <v>19.3</v>
      </c>
      <c r="D9739" s="10">
        <v>1.55</v>
      </c>
      <c r="E9739" s="16">
        <v>8.73</v>
      </c>
      <c r="F9739">
        <v>1572605</v>
      </c>
      <c r="G9739" s="5">
        <v>43119</v>
      </c>
    </row>
    <row r="9740" spans="1:7" x14ac:dyDescent="0.4">
      <c r="A9740">
        <v>39</v>
      </c>
      <c r="B9740" t="s">
        <v>218</v>
      </c>
      <c r="C9740" s="10">
        <v>30.19</v>
      </c>
      <c r="D9740" s="10">
        <v>2.41</v>
      </c>
      <c r="E9740" s="16">
        <v>8.68</v>
      </c>
      <c r="F9740">
        <v>414995</v>
      </c>
      <c r="G9740" s="5">
        <v>43119</v>
      </c>
    </row>
    <row r="9741" spans="1:7" x14ac:dyDescent="0.4">
      <c r="A9741">
        <v>40</v>
      </c>
      <c r="B9741" t="s">
        <v>919</v>
      </c>
      <c r="C9741" s="10">
        <v>5.53</v>
      </c>
      <c r="D9741" s="10">
        <v>0.44</v>
      </c>
      <c r="E9741" s="16">
        <v>8.64</v>
      </c>
      <c r="F9741">
        <v>539920</v>
      </c>
      <c r="G9741" s="5">
        <v>43119</v>
      </c>
    </row>
    <row r="9742" spans="1:7" x14ac:dyDescent="0.4">
      <c r="A9742">
        <v>41</v>
      </c>
      <c r="B9742" t="s">
        <v>742</v>
      </c>
      <c r="C9742" s="10">
        <v>176.12</v>
      </c>
      <c r="D9742" s="10">
        <v>13.95</v>
      </c>
      <c r="E9742" s="16">
        <v>8.6</v>
      </c>
      <c r="F9742">
        <v>763648</v>
      </c>
      <c r="G9742" s="5">
        <v>43119</v>
      </c>
    </row>
    <row r="9743" spans="1:7" x14ac:dyDescent="0.4">
      <c r="A9743">
        <v>42</v>
      </c>
      <c r="B9743" t="s">
        <v>1069</v>
      </c>
      <c r="C9743" s="10">
        <v>7.66</v>
      </c>
      <c r="D9743" s="10">
        <v>0.59</v>
      </c>
      <c r="E9743" s="16">
        <v>8.35</v>
      </c>
      <c r="F9743">
        <v>260234</v>
      </c>
      <c r="G9743" s="5">
        <v>43119</v>
      </c>
    </row>
    <row r="9744" spans="1:7" x14ac:dyDescent="0.4">
      <c r="A9744">
        <v>43</v>
      </c>
      <c r="B9744" t="s">
        <v>339</v>
      </c>
      <c r="C9744" s="10">
        <v>19.5</v>
      </c>
      <c r="D9744" s="10">
        <v>1.5</v>
      </c>
      <c r="E9744" s="16">
        <v>8.33</v>
      </c>
      <c r="F9744">
        <v>42315</v>
      </c>
      <c r="G9744" s="5">
        <v>43119</v>
      </c>
    </row>
    <row r="9745" spans="1:7" x14ac:dyDescent="0.4">
      <c r="A9745">
        <v>44</v>
      </c>
      <c r="B9745" t="s">
        <v>215</v>
      </c>
      <c r="C9745" s="10">
        <v>19.5</v>
      </c>
      <c r="D9745" s="10">
        <v>1.47</v>
      </c>
      <c r="E9745" s="16">
        <v>8.15</v>
      </c>
      <c r="F9745">
        <v>38937</v>
      </c>
      <c r="G9745" s="5">
        <v>43119</v>
      </c>
    </row>
    <row r="9746" spans="1:7" x14ac:dyDescent="0.4">
      <c r="A9746">
        <v>45</v>
      </c>
      <c r="B9746" t="s">
        <v>39</v>
      </c>
      <c r="C9746" s="10">
        <v>2.69</v>
      </c>
      <c r="D9746" s="10">
        <v>0.2</v>
      </c>
      <c r="E9746" s="16">
        <v>8.0299999999999994</v>
      </c>
      <c r="F9746">
        <v>4409580</v>
      </c>
      <c r="G9746" s="5">
        <v>43119</v>
      </c>
    </row>
    <row r="9747" spans="1:7" x14ac:dyDescent="0.4">
      <c r="A9747">
        <v>46</v>
      </c>
      <c r="B9747" t="s">
        <v>1617</v>
      </c>
      <c r="C9747" s="10">
        <v>86</v>
      </c>
      <c r="D9747" s="10">
        <v>6.38</v>
      </c>
      <c r="E9747" s="16">
        <v>8.01</v>
      </c>
      <c r="F9747">
        <v>3547780</v>
      </c>
      <c r="G9747" s="5">
        <v>43119</v>
      </c>
    </row>
    <row r="9748" spans="1:7" x14ac:dyDescent="0.4">
      <c r="A9748">
        <v>47</v>
      </c>
      <c r="B9748" t="s">
        <v>1737</v>
      </c>
      <c r="C9748" s="10">
        <v>4.63</v>
      </c>
      <c r="D9748" s="10">
        <v>0.34</v>
      </c>
      <c r="E9748" s="16">
        <v>7.93</v>
      </c>
      <c r="F9748">
        <v>902894</v>
      </c>
      <c r="G9748" s="5">
        <v>43119</v>
      </c>
    </row>
    <row r="9749" spans="1:7" x14ac:dyDescent="0.4">
      <c r="A9749">
        <v>48</v>
      </c>
      <c r="B9749" t="s">
        <v>937</v>
      </c>
      <c r="C9749" s="10">
        <v>9.34</v>
      </c>
      <c r="D9749" s="10">
        <v>0.69</v>
      </c>
      <c r="E9749" s="16">
        <v>7.92</v>
      </c>
      <c r="F9749">
        <v>924793</v>
      </c>
      <c r="G9749" s="5">
        <v>43119</v>
      </c>
    </row>
    <row r="9750" spans="1:7" x14ac:dyDescent="0.4">
      <c r="A9750">
        <v>49</v>
      </c>
      <c r="B9750" t="s">
        <v>2137</v>
      </c>
      <c r="C9750" s="10">
        <v>205.08</v>
      </c>
      <c r="D9750" s="10">
        <v>14.69</v>
      </c>
      <c r="E9750" s="16">
        <v>7.72</v>
      </c>
      <c r="F9750">
        <v>6366202</v>
      </c>
      <c r="G9750" s="5">
        <v>43119</v>
      </c>
    </row>
    <row r="9751" spans="1:7" x14ac:dyDescent="0.4">
      <c r="A9751">
        <v>50</v>
      </c>
      <c r="B9751" t="s">
        <v>490</v>
      </c>
      <c r="C9751" s="10">
        <v>75.650000000000006</v>
      </c>
      <c r="D9751" s="10">
        <v>5.4</v>
      </c>
      <c r="E9751" s="16">
        <v>7.69</v>
      </c>
      <c r="F9751">
        <v>5328257</v>
      </c>
      <c r="G9751" s="5">
        <v>43119</v>
      </c>
    </row>
    <row r="9752" spans="1:7" x14ac:dyDescent="0.4">
      <c r="A9752">
        <v>51</v>
      </c>
      <c r="B9752" t="s">
        <v>37</v>
      </c>
      <c r="C9752" s="10">
        <v>2.81</v>
      </c>
      <c r="D9752" s="10">
        <v>0.2</v>
      </c>
      <c r="E9752" s="16">
        <v>7.66</v>
      </c>
      <c r="F9752">
        <v>487403</v>
      </c>
      <c r="G9752" s="5">
        <v>43119</v>
      </c>
    </row>
    <row r="9753" spans="1:7" x14ac:dyDescent="0.4">
      <c r="A9753">
        <v>52</v>
      </c>
      <c r="B9753" t="s">
        <v>2049</v>
      </c>
      <c r="C9753" s="10">
        <v>3.68</v>
      </c>
      <c r="D9753" s="10">
        <v>0.26</v>
      </c>
      <c r="E9753" s="16">
        <v>7.6</v>
      </c>
      <c r="F9753">
        <v>133595</v>
      </c>
      <c r="G9753" s="5">
        <v>43119</v>
      </c>
    </row>
    <row r="9754" spans="1:7" x14ac:dyDescent="0.4">
      <c r="A9754">
        <v>53</v>
      </c>
      <c r="B9754" t="s">
        <v>575</v>
      </c>
      <c r="C9754" s="10">
        <v>23.67</v>
      </c>
      <c r="D9754" s="10">
        <v>1.66</v>
      </c>
      <c r="E9754" s="16">
        <v>7.54</v>
      </c>
      <c r="F9754">
        <v>1450967</v>
      </c>
      <c r="G9754" s="5">
        <v>43119</v>
      </c>
    </row>
    <row r="9755" spans="1:7" x14ac:dyDescent="0.4">
      <c r="A9755">
        <v>54</v>
      </c>
      <c r="B9755" t="s">
        <v>1375</v>
      </c>
      <c r="C9755" s="10">
        <v>175.25</v>
      </c>
      <c r="D9755" s="10">
        <v>11.9</v>
      </c>
      <c r="E9755" s="16">
        <v>7.28</v>
      </c>
      <c r="F9755">
        <v>1793990</v>
      </c>
      <c r="G9755" s="5">
        <v>43119</v>
      </c>
    </row>
    <row r="9756" spans="1:7" x14ac:dyDescent="0.4">
      <c r="A9756">
        <v>55</v>
      </c>
      <c r="B9756" t="s">
        <v>1049</v>
      </c>
      <c r="C9756" s="10">
        <v>7.37</v>
      </c>
      <c r="D9756" s="10">
        <v>0.5</v>
      </c>
      <c r="E9756" s="16">
        <v>7.28</v>
      </c>
      <c r="F9756">
        <v>52386</v>
      </c>
      <c r="G9756" s="5">
        <v>43119</v>
      </c>
    </row>
    <row r="9757" spans="1:7" x14ac:dyDescent="0.4">
      <c r="A9757">
        <v>56</v>
      </c>
      <c r="B9757" t="s">
        <v>1680</v>
      </c>
      <c r="C9757" s="10">
        <v>20.48</v>
      </c>
      <c r="D9757" s="10">
        <v>1.37</v>
      </c>
      <c r="E9757" s="16">
        <v>7.16</v>
      </c>
      <c r="F9757">
        <v>2519</v>
      </c>
      <c r="G9757" s="5">
        <v>43119</v>
      </c>
    </row>
    <row r="9758" spans="1:7" x14ac:dyDescent="0.4">
      <c r="A9758">
        <v>57</v>
      </c>
      <c r="B9758" t="s">
        <v>1734</v>
      </c>
      <c r="C9758" s="10">
        <v>7.83</v>
      </c>
      <c r="D9758" s="10">
        <v>0.52</v>
      </c>
      <c r="E9758" s="16">
        <v>7.11</v>
      </c>
      <c r="F9758">
        <v>152413</v>
      </c>
      <c r="G9758" s="5">
        <v>43119</v>
      </c>
    </row>
    <row r="9759" spans="1:7" x14ac:dyDescent="0.4">
      <c r="A9759">
        <v>58</v>
      </c>
      <c r="B9759" t="s">
        <v>1898</v>
      </c>
      <c r="C9759" s="10">
        <v>15.68</v>
      </c>
      <c r="D9759" s="10">
        <v>1.02</v>
      </c>
      <c r="E9759" s="16">
        <v>7</v>
      </c>
      <c r="F9759">
        <v>2829291</v>
      </c>
      <c r="G9759" s="5">
        <v>43119</v>
      </c>
    </row>
    <row r="9760" spans="1:7" x14ac:dyDescent="0.4">
      <c r="A9760">
        <v>59</v>
      </c>
      <c r="B9760" t="s">
        <v>1725</v>
      </c>
      <c r="C9760" s="10">
        <v>14.93</v>
      </c>
      <c r="D9760" s="10">
        <v>0.98</v>
      </c>
      <c r="E9760" s="16">
        <v>6.99</v>
      </c>
      <c r="F9760">
        <v>497013</v>
      </c>
      <c r="G9760" s="5">
        <v>43119</v>
      </c>
    </row>
    <row r="9761" spans="1:7" x14ac:dyDescent="0.4">
      <c r="A9761">
        <v>60</v>
      </c>
      <c r="B9761" t="s">
        <v>259</v>
      </c>
      <c r="C9761" s="10">
        <v>4.6500000000000004</v>
      </c>
      <c r="D9761" s="10">
        <v>0.3</v>
      </c>
      <c r="E9761" s="16">
        <v>6.9</v>
      </c>
      <c r="F9761">
        <v>658189</v>
      </c>
      <c r="G9761" s="5">
        <v>43119</v>
      </c>
    </row>
    <row r="9762" spans="1:7" x14ac:dyDescent="0.4">
      <c r="A9762">
        <v>61</v>
      </c>
      <c r="B9762" t="s">
        <v>2138</v>
      </c>
      <c r="C9762" s="10">
        <v>199.18</v>
      </c>
      <c r="D9762" s="10">
        <v>12.8</v>
      </c>
      <c r="E9762" s="16">
        <v>6.87</v>
      </c>
      <c r="F9762">
        <v>2639364</v>
      </c>
      <c r="G9762" s="5">
        <v>43119</v>
      </c>
    </row>
    <row r="9763" spans="1:7" x14ac:dyDescent="0.4">
      <c r="A9763">
        <v>62</v>
      </c>
      <c r="B9763" t="s">
        <v>67</v>
      </c>
      <c r="C9763" s="10">
        <v>25</v>
      </c>
      <c r="D9763" s="10">
        <v>1.59</v>
      </c>
      <c r="E9763" s="16">
        <v>6.79</v>
      </c>
      <c r="F9763">
        <v>5494</v>
      </c>
      <c r="G9763" s="5">
        <v>43119</v>
      </c>
    </row>
    <row r="9764" spans="1:7" x14ac:dyDescent="0.4">
      <c r="A9764">
        <v>63</v>
      </c>
      <c r="B9764" t="s">
        <v>217</v>
      </c>
      <c r="C9764" s="10">
        <v>5.26</v>
      </c>
      <c r="D9764" s="10">
        <v>0.33</v>
      </c>
      <c r="E9764" s="16">
        <v>6.69</v>
      </c>
      <c r="F9764">
        <v>67384</v>
      </c>
      <c r="G9764" s="5">
        <v>43119</v>
      </c>
    </row>
    <row r="9765" spans="1:7" x14ac:dyDescent="0.4">
      <c r="A9765">
        <v>64</v>
      </c>
      <c r="B9765" t="s">
        <v>2139</v>
      </c>
      <c r="C9765" s="10">
        <v>11.2</v>
      </c>
      <c r="D9765" s="10">
        <v>0.7</v>
      </c>
      <c r="E9765" s="16">
        <v>6.67</v>
      </c>
      <c r="F9765">
        <v>880920</v>
      </c>
      <c r="G9765" s="5">
        <v>43119</v>
      </c>
    </row>
    <row r="9766" spans="1:7" x14ac:dyDescent="0.4">
      <c r="A9766">
        <v>65</v>
      </c>
      <c r="B9766" t="s">
        <v>527</v>
      </c>
      <c r="C9766" s="10">
        <v>5.7</v>
      </c>
      <c r="D9766" s="10">
        <v>0.35</v>
      </c>
      <c r="E9766" s="16">
        <v>6.54</v>
      </c>
      <c r="F9766">
        <v>204923</v>
      </c>
      <c r="G9766" s="5">
        <v>43119</v>
      </c>
    </row>
    <row r="9767" spans="1:7" x14ac:dyDescent="0.4">
      <c r="A9767">
        <v>66</v>
      </c>
      <c r="B9767" t="s">
        <v>817</v>
      </c>
      <c r="C9767" s="10">
        <v>4.09</v>
      </c>
      <c r="D9767" s="10">
        <v>0.25</v>
      </c>
      <c r="E9767" s="16">
        <v>6.51</v>
      </c>
      <c r="F9767">
        <v>87582</v>
      </c>
      <c r="G9767" s="5">
        <v>43119</v>
      </c>
    </row>
    <row r="9768" spans="1:7" x14ac:dyDescent="0.4">
      <c r="A9768">
        <v>67</v>
      </c>
      <c r="B9768" t="s">
        <v>1201</v>
      </c>
      <c r="C9768" s="10">
        <v>6.39</v>
      </c>
      <c r="D9768" s="10">
        <v>0.39</v>
      </c>
      <c r="E9768" s="16">
        <v>6.5</v>
      </c>
      <c r="F9768">
        <v>390002</v>
      </c>
      <c r="G9768" s="5">
        <v>43119</v>
      </c>
    </row>
    <row r="9769" spans="1:7" x14ac:dyDescent="0.4">
      <c r="A9769">
        <v>68</v>
      </c>
      <c r="B9769" t="s">
        <v>349</v>
      </c>
      <c r="C9769" s="10">
        <v>21.51</v>
      </c>
      <c r="D9769" s="10">
        <v>1.31</v>
      </c>
      <c r="E9769" s="16">
        <v>6.49</v>
      </c>
      <c r="F9769">
        <v>935965</v>
      </c>
      <c r="G9769" s="5">
        <v>43119</v>
      </c>
    </row>
    <row r="9770" spans="1:7" x14ac:dyDescent="0.4">
      <c r="A9770">
        <v>69</v>
      </c>
      <c r="B9770" t="s">
        <v>754</v>
      </c>
      <c r="C9770" s="10">
        <v>113.38</v>
      </c>
      <c r="D9770" s="10">
        <v>6.89</v>
      </c>
      <c r="E9770" s="16">
        <v>6.47</v>
      </c>
      <c r="F9770">
        <v>68800</v>
      </c>
      <c r="G9770" s="5">
        <v>43119</v>
      </c>
    </row>
    <row r="9771" spans="1:7" x14ac:dyDescent="0.4">
      <c r="A9771">
        <v>70</v>
      </c>
      <c r="B9771" t="s">
        <v>2140</v>
      </c>
      <c r="C9771" s="10">
        <v>19.59</v>
      </c>
      <c r="D9771" s="10">
        <v>1.18</v>
      </c>
      <c r="E9771" s="16">
        <v>6.41</v>
      </c>
      <c r="F9771">
        <v>4703701</v>
      </c>
      <c r="G9771" s="5">
        <v>43119</v>
      </c>
    </row>
    <row r="9772" spans="1:7" x14ac:dyDescent="0.4">
      <c r="A9772">
        <v>71</v>
      </c>
      <c r="B9772" t="s">
        <v>905</v>
      </c>
      <c r="C9772" s="10">
        <v>34.409999999999997</v>
      </c>
      <c r="D9772" s="10">
        <v>2.0699999999999998</v>
      </c>
      <c r="E9772" s="16">
        <v>6.4</v>
      </c>
      <c r="F9772">
        <v>404492</v>
      </c>
      <c r="G9772" s="5">
        <v>43119</v>
      </c>
    </row>
    <row r="9773" spans="1:7" x14ac:dyDescent="0.4">
      <c r="A9773">
        <v>72</v>
      </c>
      <c r="B9773" t="s">
        <v>455</v>
      </c>
      <c r="C9773" s="10">
        <v>104.63</v>
      </c>
      <c r="D9773" s="10">
        <v>6.27</v>
      </c>
      <c r="E9773" s="16">
        <v>6.37</v>
      </c>
      <c r="F9773">
        <v>122516</v>
      </c>
      <c r="G9773" s="5">
        <v>43119</v>
      </c>
    </row>
    <row r="9774" spans="1:7" x14ac:dyDescent="0.4">
      <c r="A9774">
        <v>73</v>
      </c>
      <c r="B9774" t="s">
        <v>521</v>
      </c>
      <c r="C9774" s="10">
        <v>18.18</v>
      </c>
      <c r="D9774" s="10">
        <v>1.08</v>
      </c>
      <c r="E9774" s="16">
        <v>6.32</v>
      </c>
      <c r="F9774">
        <v>256294</v>
      </c>
      <c r="G9774" s="5">
        <v>43119</v>
      </c>
    </row>
    <row r="9775" spans="1:7" x14ac:dyDescent="0.4">
      <c r="A9775">
        <v>74</v>
      </c>
      <c r="B9775" t="s">
        <v>1334</v>
      </c>
      <c r="C9775" s="10">
        <v>6</v>
      </c>
      <c r="D9775" s="10">
        <v>0.35</v>
      </c>
      <c r="E9775" s="16">
        <v>6.29</v>
      </c>
      <c r="F9775">
        <v>71495</v>
      </c>
      <c r="G9775" s="5">
        <v>43119</v>
      </c>
    </row>
    <row r="9776" spans="1:7" x14ac:dyDescent="0.4">
      <c r="A9776">
        <v>75</v>
      </c>
      <c r="B9776" t="s">
        <v>390</v>
      </c>
      <c r="C9776" s="10">
        <v>12.01</v>
      </c>
      <c r="D9776" s="10">
        <v>0.71</v>
      </c>
      <c r="E9776" s="16">
        <v>6.28</v>
      </c>
      <c r="F9776">
        <v>84794</v>
      </c>
      <c r="G9776" s="5">
        <v>43119</v>
      </c>
    </row>
    <row r="9777" spans="1:7" x14ac:dyDescent="0.4">
      <c r="A9777">
        <v>76</v>
      </c>
      <c r="B9777" t="s">
        <v>1357</v>
      </c>
      <c r="C9777" s="10">
        <v>2.54</v>
      </c>
      <c r="D9777" s="10">
        <v>0.15</v>
      </c>
      <c r="E9777" s="16">
        <v>6.28</v>
      </c>
      <c r="F9777">
        <v>16769</v>
      </c>
      <c r="G9777" s="5">
        <v>43119</v>
      </c>
    </row>
    <row r="9778" spans="1:7" x14ac:dyDescent="0.4">
      <c r="A9778">
        <v>77</v>
      </c>
      <c r="B9778" t="s">
        <v>1179</v>
      </c>
      <c r="C9778" s="10">
        <v>6.96</v>
      </c>
      <c r="D9778" s="10">
        <v>0.41</v>
      </c>
      <c r="E9778" s="16">
        <v>6.26</v>
      </c>
      <c r="F9778">
        <v>411897</v>
      </c>
      <c r="G9778" s="5">
        <v>43119</v>
      </c>
    </row>
    <row r="9779" spans="1:7" x14ac:dyDescent="0.4">
      <c r="A9779">
        <v>78</v>
      </c>
      <c r="B9779" t="s">
        <v>2141</v>
      </c>
      <c r="C9779" s="10">
        <v>118.96</v>
      </c>
      <c r="D9779" s="10">
        <v>6.99</v>
      </c>
      <c r="E9779" s="16">
        <v>6.24</v>
      </c>
      <c r="F9779">
        <v>1323884</v>
      </c>
      <c r="G9779" s="5">
        <v>43119</v>
      </c>
    </row>
    <row r="9780" spans="1:7" x14ac:dyDescent="0.4">
      <c r="A9780">
        <v>79</v>
      </c>
      <c r="B9780" t="s">
        <v>461</v>
      </c>
      <c r="C9780" s="10">
        <v>7.35</v>
      </c>
      <c r="D9780" s="10">
        <v>0.43</v>
      </c>
      <c r="E9780" s="16">
        <v>6.21</v>
      </c>
      <c r="F9780">
        <v>634256</v>
      </c>
      <c r="G9780" s="5">
        <v>43119</v>
      </c>
    </row>
    <row r="9781" spans="1:7" x14ac:dyDescent="0.4">
      <c r="A9781">
        <v>80</v>
      </c>
      <c r="B9781" t="s">
        <v>287</v>
      </c>
      <c r="C9781" s="10">
        <v>5.69</v>
      </c>
      <c r="D9781" s="10">
        <v>0.33</v>
      </c>
      <c r="E9781" s="16">
        <v>6.16</v>
      </c>
      <c r="F9781">
        <v>57558</v>
      </c>
      <c r="G9781" s="5">
        <v>43119</v>
      </c>
    </row>
    <row r="9782" spans="1:7" x14ac:dyDescent="0.4">
      <c r="A9782">
        <v>81</v>
      </c>
      <c r="B9782" t="s">
        <v>597</v>
      </c>
      <c r="C9782" s="10">
        <v>24.52</v>
      </c>
      <c r="D9782" s="10">
        <v>1.42</v>
      </c>
      <c r="E9782" s="16">
        <v>6.15</v>
      </c>
      <c r="F9782">
        <v>230057</v>
      </c>
      <c r="G9782" s="5">
        <v>43119</v>
      </c>
    </row>
    <row r="9783" spans="1:7" x14ac:dyDescent="0.4">
      <c r="A9783">
        <v>82</v>
      </c>
      <c r="B9783" t="s">
        <v>1055</v>
      </c>
      <c r="C9783" s="10">
        <v>12.15</v>
      </c>
      <c r="D9783" s="10">
        <v>0.7</v>
      </c>
      <c r="E9783" s="16">
        <v>6.11</v>
      </c>
      <c r="F9783">
        <v>140777</v>
      </c>
      <c r="G9783" s="5">
        <v>43119</v>
      </c>
    </row>
    <row r="9784" spans="1:7" x14ac:dyDescent="0.4">
      <c r="A9784">
        <v>83</v>
      </c>
      <c r="B9784" t="s">
        <v>328</v>
      </c>
      <c r="C9784" s="10">
        <v>6.49</v>
      </c>
      <c r="D9784" s="10">
        <v>0.37</v>
      </c>
      <c r="E9784" s="16">
        <v>6.05</v>
      </c>
      <c r="F9784">
        <v>147678</v>
      </c>
      <c r="G9784" s="5">
        <v>43119</v>
      </c>
    </row>
    <row r="9785" spans="1:7" x14ac:dyDescent="0.4">
      <c r="A9785">
        <v>84</v>
      </c>
      <c r="B9785" t="s">
        <v>48</v>
      </c>
      <c r="C9785" s="10">
        <v>37.770000000000003</v>
      </c>
      <c r="D9785" s="10">
        <v>2.15</v>
      </c>
      <c r="E9785" s="16">
        <v>6.04</v>
      </c>
      <c r="F9785">
        <v>309830</v>
      </c>
      <c r="G9785" s="5">
        <v>43119</v>
      </c>
    </row>
    <row r="9786" spans="1:7" x14ac:dyDescent="0.4">
      <c r="A9786">
        <v>85</v>
      </c>
      <c r="B9786" t="s">
        <v>772</v>
      </c>
      <c r="C9786" s="10">
        <v>41.54</v>
      </c>
      <c r="D9786" s="10">
        <v>2.35</v>
      </c>
      <c r="E9786" s="16">
        <v>6</v>
      </c>
      <c r="F9786">
        <v>6585902</v>
      </c>
      <c r="G9786" s="5">
        <v>43119</v>
      </c>
    </row>
    <row r="9787" spans="1:7" x14ac:dyDescent="0.4">
      <c r="A9787">
        <v>86</v>
      </c>
      <c r="B9787" t="s">
        <v>493</v>
      </c>
      <c r="C9787" s="10">
        <v>17.739999999999998</v>
      </c>
      <c r="D9787" s="10">
        <v>0.99</v>
      </c>
      <c r="E9787" s="16">
        <v>5.91</v>
      </c>
      <c r="F9787">
        <v>350420</v>
      </c>
      <c r="G9787" s="5">
        <v>43119</v>
      </c>
    </row>
    <row r="9788" spans="1:7" x14ac:dyDescent="0.4">
      <c r="A9788">
        <v>87</v>
      </c>
      <c r="B9788" t="s">
        <v>1106</v>
      </c>
      <c r="C9788" s="10">
        <v>18.53</v>
      </c>
      <c r="D9788" s="10">
        <v>1.03</v>
      </c>
      <c r="E9788" s="16">
        <v>5.89</v>
      </c>
      <c r="F9788">
        <v>474107</v>
      </c>
      <c r="G9788" s="5">
        <v>43119</v>
      </c>
    </row>
    <row r="9789" spans="1:7" x14ac:dyDescent="0.4">
      <c r="A9789">
        <v>88</v>
      </c>
      <c r="B9789" t="s">
        <v>2110</v>
      </c>
      <c r="C9789" s="10">
        <v>4.5</v>
      </c>
      <c r="D9789" s="10">
        <v>0.25</v>
      </c>
      <c r="E9789" s="16">
        <v>5.88</v>
      </c>
      <c r="F9789">
        <v>53893</v>
      </c>
      <c r="G9789" s="5">
        <v>43119</v>
      </c>
    </row>
    <row r="9790" spans="1:7" x14ac:dyDescent="0.4">
      <c r="A9790">
        <v>89</v>
      </c>
      <c r="B9790" t="s">
        <v>322</v>
      </c>
      <c r="C9790" s="10">
        <v>9.1</v>
      </c>
      <c r="D9790" s="10">
        <v>0.5</v>
      </c>
      <c r="E9790" s="16">
        <v>5.81</v>
      </c>
      <c r="F9790">
        <v>66078</v>
      </c>
      <c r="G9790" s="5">
        <v>43119</v>
      </c>
    </row>
    <row r="9791" spans="1:7" x14ac:dyDescent="0.4">
      <c r="A9791">
        <v>90</v>
      </c>
      <c r="B9791" t="s">
        <v>291</v>
      </c>
      <c r="C9791" s="10">
        <v>17.3</v>
      </c>
      <c r="D9791" s="10">
        <v>0.95</v>
      </c>
      <c r="E9791" s="16">
        <v>5.81</v>
      </c>
      <c r="F9791">
        <v>231392</v>
      </c>
      <c r="G9791" s="5">
        <v>43119</v>
      </c>
    </row>
    <row r="9792" spans="1:7" x14ac:dyDescent="0.4">
      <c r="A9792">
        <v>91</v>
      </c>
      <c r="B9792" t="s">
        <v>1720</v>
      </c>
      <c r="C9792" s="10">
        <v>6.39</v>
      </c>
      <c r="D9792" s="10">
        <v>0.35</v>
      </c>
      <c r="E9792" s="16">
        <v>5.79</v>
      </c>
      <c r="F9792">
        <v>27336</v>
      </c>
      <c r="G9792" s="5">
        <v>43119</v>
      </c>
    </row>
    <row r="9793" spans="1:7" x14ac:dyDescent="0.4">
      <c r="A9793">
        <v>92</v>
      </c>
      <c r="B9793" t="s">
        <v>1824</v>
      </c>
      <c r="C9793" s="10">
        <v>19.010000000000002</v>
      </c>
      <c r="D9793" s="10">
        <v>1.04</v>
      </c>
      <c r="E9793" s="16">
        <v>5.79</v>
      </c>
      <c r="F9793">
        <v>107692</v>
      </c>
      <c r="G9793" s="5">
        <v>43119</v>
      </c>
    </row>
    <row r="9794" spans="1:7" x14ac:dyDescent="0.4">
      <c r="A9794">
        <v>93</v>
      </c>
      <c r="B9794" t="s">
        <v>2142</v>
      </c>
      <c r="C9794" s="10">
        <v>103.3</v>
      </c>
      <c r="D9794" s="10">
        <v>5.65</v>
      </c>
      <c r="E9794" s="16">
        <v>5.79</v>
      </c>
      <c r="F9794">
        <v>540789</v>
      </c>
      <c r="G9794" s="5">
        <v>43119</v>
      </c>
    </row>
    <row r="9795" spans="1:7" x14ac:dyDescent="0.4">
      <c r="A9795">
        <v>94</v>
      </c>
      <c r="B9795" t="s">
        <v>2143</v>
      </c>
      <c r="C9795" s="10">
        <v>7.34</v>
      </c>
      <c r="D9795" s="10">
        <v>0.4</v>
      </c>
      <c r="E9795" s="16">
        <v>5.76</v>
      </c>
      <c r="F9795">
        <v>16010849</v>
      </c>
      <c r="G9795" s="5">
        <v>43119</v>
      </c>
    </row>
    <row r="9796" spans="1:7" x14ac:dyDescent="0.4">
      <c r="A9796">
        <v>95</v>
      </c>
      <c r="B9796" t="s">
        <v>1372</v>
      </c>
      <c r="C9796" s="10">
        <v>21.72</v>
      </c>
      <c r="D9796" s="10">
        <v>1.18</v>
      </c>
      <c r="E9796" s="16">
        <v>5.74</v>
      </c>
      <c r="F9796">
        <v>455819</v>
      </c>
      <c r="G9796" s="5">
        <v>43119</v>
      </c>
    </row>
    <row r="9797" spans="1:7" x14ac:dyDescent="0.4">
      <c r="A9797">
        <v>96</v>
      </c>
      <c r="B9797" t="s">
        <v>136</v>
      </c>
      <c r="C9797" s="10">
        <v>24.01</v>
      </c>
      <c r="D9797" s="10">
        <v>1.3</v>
      </c>
      <c r="E9797" s="16">
        <v>5.72</v>
      </c>
      <c r="F9797">
        <v>46578</v>
      </c>
      <c r="G9797" s="5">
        <v>43119</v>
      </c>
    </row>
    <row r="9798" spans="1:7" x14ac:dyDescent="0.4">
      <c r="A9798">
        <v>97</v>
      </c>
      <c r="B9798" t="s">
        <v>915</v>
      </c>
      <c r="C9798" s="10">
        <v>11.67</v>
      </c>
      <c r="D9798" s="10">
        <v>0.63</v>
      </c>
      <c r="E9798" s="16">
        <v>5.71</v>
      </c>
      <c r="F9798">
        <v>1274452</v>
      </c>
      <c r="G9798" s="5">
        <v>43119</v>
      </c>
    </row>
    <row r="9799" spans="1:7" x14ac:dyDescent="0.4">
      <c r="A9799">
        <v>98</v>
      </c>
      <c r="B9799" t="s">
        <v>2022</v>
      </c>
      <c r="C9799" s="10">
        <v>20.399999999999999</v>
      </c>
      <c r="D9799" s="10">
        <v>1.1000000000000001</v>
      </c>
      <c r="E9799" s="16">
        <v>5.7</v>
      </c>
      <c r="F9799">
        <v>1255296</v>
      </c>
      <c r="G9799" s="5">
        <v>43119</v>
      </c>
    </row>
    <row r="9800" spans="1:7" x14ac:dyDescent="0.4">
      <c r="A9800">
        <v>99</v>
      </c>
      <c r="B9800" t="s">
        <v>746</v>
      </c>
      <c r="C9800" s="10">
        <v>44.95</v>
      </c>
      <c r="D9800" s="10">
        <v>2.41</v>
      </c>
      <c r="E9800" s="16">
        <v>5.67</v>
      </c>
      <c r="F9800">
        <v>1334863</v>
      </c>
      <c r="G9800" s="5">
        <v>43119</v>
      </c>
    </row>
    <row r="9801" spans="1:7" x14ac:dyDescent="0.4">
      <c r="A9801">
        <v>100</v>
      </c>
      <c r="B9801" t="s">
        <v>1085</v>
      </c>
      <c r="C9801" s="10">
        <v>2.8</v>
      </c>
      <c r="D9801" s="10">
        <v>0.15</v>
      </c>
      <c r="E9801" s="16">
        <v>5.66</v>
      </c>
      <c r="F9801">
        <v>219256</v>
      </c>
      <c r="G9801" s="5">
        <v>43119</v>
      </c>
    </row>
    <row r="9802" spans="1:7" x14ac:dyDescent="0.4">
      <c r="A9802">
        <v>1</v>
      </c>
      <c r="B9802" t="s">
        <v>1208</v>
      </c>
      <c r="C9802" s="10">
        <v>5.26</v>
      </c>
      <c r="D9802" s="10">
        <v>1.79</v>
      </c>
      <c r="E9802" s="16">
        <v>51.59</v>
      </c>
      <c r="F9802">
        <v>50197780</v>
      </c>
      <c r="G9802" s="5">
        <v>43119</v>
      </c>
    </row>
    <row r="9803" spans="1:7" x14ac:dyDescent="0.4">
      <c r="A9803">
        <v>2</v>
      </c>
      <c r="B9803" t="s">
        <v>182</v>
      </c>
      <c r="C9803" s="10">
        <v>3.86</v>
      </c>
      <c r="D9803" s="10">
        <v>0.82</v>
      </c>
      <c r="E9803" s="16">
        <v>26.97</v>
      </c>
      <c r="F9803">
        <v>3260776</v>
      </c>
      <c r="G9803" s="5">
        <v>43119</v>
      </c>
    </row>
    <row r="9804" spans="1:7" x14ac:dyDescent="0.4">
      <c r="A9804">
        <v>3</v>
      </c>
      <c r="B9804" t="s">
        <v>2144</v>
      </c>
      <c r="C9804" s="10">
        <v>2.89</v>
      </c>
      <c r="D9804" s="10">
        <v>0.57999999999999996</v>
      </c>
      <c r="E9804" s="16">
        <v>25.11</v>
      </c>
      <c r="F9804">
        <v>13507371</v>
      </c>
      <c r="G9804" s="5">
        <v>43119</v>
      </c>
    </row>
    <row r="9805" spans="1:7" x14ac:dyDescent="0.4">
      <c r="A9805">
        <v>4</v>
      </c>
      <c r="B9805" t="s">
        <v>533</v>
      </c>
      <c r="C9805" s="10">
        <v>3.08</v>
      </c>
      <c r="D9805" s="10">
        <v>0.56000000000000005</v>
      </c>
      <c r="E9805" s="16">
        <v>22.22</v>
      </c>
      <c r="F9805">
        <v>271342</v>
      </c>
      <c r="G9805" s="5">
        <v>43119</v>
      </c>
    </row>
    <row r="9806" spans="1:7" x14ac:dyDescent="0.4">
      <c r="A9806">
        <v>5</v>
      </c>
      <c r="B9806" t="s">
        <v>451</v>
      </c>
      <c r="C9806" s="10">
        <v>10.02</v>
      </c>
      <c r="D9806" s="10">
        <v>1.81</v>
      </c>
      <c r="E9806" s="16">
        <v>22.05</v>
      </c>
      <c r="F9806">
        <v>994167</v>
      </c>
      <c r="G9806" s="5">
        <v>43119</v>
      </c>
    </row>
    <row r="9807" spans="1:7" x14ac:dyDescent="0.4">
      <c r="A9807">
        <v>6</v>
      </c>
      <c r="B9807" t="s">
        <v>327</v>
      </c>
      <c r="C9807" s="10">
        <v>26.3</v>
      </c>
      <c r="D9807" s="10">
        <v>4.29</v>
      </c>
      <c r="E9807" s="16">
        <v>19.489999999999998</v>
      </c>
      <c r="F9807">
        <v>6905293</v>
      </c>
      <c r="G9807" s="5">
        <v>43119</v>
      </c>
    </row>
    <row r="9808" spans="1:7" x14ac:dyDescent="0.4">
      <c r="A9808">
        <v>7</v>
      </c>
      <c r="B9808" t="s">
        <v>434</v>
      </c>
      <c r="C9808" s="10">
        <v>3.4</v>
      </c>
      <c r="D9808" s="10">
        <v>0.54</v>
      </c>
      <c r="E9808" s="16">
        <v>18.88</v>
      </c>
      <c r="F9808">
        <v>2441967</v>
      </c>
      <c r="G9808" s="5">
        <v>43119</v>
      </c>
    </row>
    <row r="9809" spans="1:7" x14ac:dyDescent="0.4">
      <c r="A9809">
        <v>8</v>
      </c>
      <c r="B9809" t="s">
        <v>188</v>
      </c>
      <c r="C9809" s="10">
        <v>3.25</v>
      </c>
      <c r="D9809" s="10">
        <v>0.5</v>
      </c>
      <c r="E9809" s="16">
        <v>18.18</v>
      </c>
      <c r="F9809">
        <v>713095</v>
      </c>
      <c r="G9809" s="5">
        <v>43119</v>
      </c>
    </row>
    <row r="9810" spans="1:7" x14ac:dyDescent="0.4">
      <c r="A9810">
        <v>9</v>
      </c>
      <c r="B9810" t="s">
        <v>2113</v>
      </c>
      <c r="C9810" s="10">
        <v>17.010000000000002</v>
      </c>
      <c r="D9810" s="10">
        <v>2.38</v>
      </c>
      <c r="E9810" s="16">
        <v>16.27</v>
      </c>
      <c r="F9810">
        <v>1862948</v>
      </c>
      <c r="G9810" s="5">
        <v>43119</v>
      </c>
    </row>
    <row r="9811" spans="1:7" x14ac:dyDescent="0.4">
      <c r="A9811">
        <v>10</v>
      </c>
      <c r="B9811" t="s">
        <v>1127</v>
      </c>
      <c r="C9811" s="10">
        <v>3.2</v>
      </c>
      <c r="D9811" s="10">
        <v>0.44</v>
      </c>
      <c r="E9811" s="16">
        <v>15.94</v>
      </c>
      <c r="F9811">
        <v>3380957</v>
      </c>
      <c r="G9811" s="5">
        <v>43119</v>
      </c>
    </row>
    <row r="9812" spans="1:7" x14ac:dyDescent="0.4">
      <c r="A9812">
        <v>11</v>
      </c>
      <c r="B9812" t="s">
        <v>38</v>
      </c>
      <c r="C9812" s="10">
        <v>44.69</v>
      </c>
      <c r="D9812" s="10">
        <v>6.09</v>
      </c>
      <c r="E9812" s="16">
        <v>15.78</v>
      </c>
      <c r="F9812">
        <v>381568</v>
      </c>
      <c r="G9812" s="5">
        <v>43119</v>
      </c>
    </row>
    <row r="9813" spans="1:7" x14ac:dyDescent="0.4">
      <c r="A9813">
        <v>12</v>
      </c>
      <c r="B9813" t="s">
        <v>68</v>
      </c>
      <c r="C9813" s="10">
        <v>19.47</v>
      </c>
      <c r="D9813" s="10">
        <v>2.21</v>
      </c>
      <c r="E9813" s="16">
        <v>12.8</v>
      </c>
      <c r="F9813">
        <v>548005</v>
      </c>
      <c r="G9813" s="5">
        <v>43119</v>
      </c>
    </row>
    <row r="9814" spans="1:7" x14ac:dyDescent="0.4">
      <c r="A9814">
        <v>13</v>
      </c>
      <c r="B9814" t="s">
        <v>1350</v>
      </c>
      <c r="C9814" s="10">
        <v>2.4</v>
      </c>
      <c r="D9814" s="10">
        <v>0.27</v>
      </c>
      <c r="E9814" s="16">
        <v>12.68</v>
      </c>
      <c r="F9814">
        <v>2346307</v>
      </c>
      <c r="G9814" s="5">
        <v>43119</v>
      </c>
    </row>
    <row r="9815" spans="1:7" x14ac:dyDescent="0.4">
      <c r="A9815">
        <v>14</v>
      </c>
      <c r="B9815" t="s">
        <v>550</v>
      </c>
      <c r="C9815" s="10">
        <v>115.56</v>
      </c>
      <c r="D9815" s="10">
        <v>12.93</v>
      </c>
      <c r="E9815" s="16">
        <v>12.6</v>
      </c>
      <c r="F9815">
        <v>1524760</v>
      </c>
      <c r="G9815" s="5">
        <v>43119</v>
      </c>
    </row>
    <row r="9816" spans="1:7" x14ac:dyDescent="0.4">
      <c r="A9816">
        <v>15</v>
      </c>
      <c r="B9816" t="s">
        <v>2145</v>
      </c>
      <c r="C9816" s="10">
        <v>12.2</v>
      </c>
      <c r="D9816" s="10">
        <v>1.35</v>
      </c>
      <c r="E9816" s="16">
        <v>12.44</v>
      </c>
      <c r="F9816">
        <v>531652</v>
      </c>
      <c r="G9816" s="5">
        <v>43119</v>
      </c>
    </row>
    <row r="9817" spans="1:7" x14ac:dyDescent="0.4">
      <c r="A9817">
        <v>16</v>
      </c>
      <c r="B9817" t="s">
        <v>349</v>
      </c>
      <c r="C9817" s="10">
        <v>23.99</v>
      </c>
      <c r="D9817" s="10">
        <v>2.48</v>
      </c>
      <c r="E9817" s="16">
        <v>11.53</v>
      </c>
      <c r="F9817">
        <v>1242457</v>
      </c>
      <c r="G9817" s="5">
        <v>43119</v>
      </c>
    </row>
    <row r="9818" spans="1:7" x14ac:dyDescent="0.4">
      <c r="A9818">
        <v>17</v>
      </c>
      <c r="B9818" t="s">
        <v>377</v>
      </c>
      <c r="C9818" s="10">
        <v>19.8</v>
      </c>
      <c r="D9818" s="10">
        <v>2.04</v>
      </c>
      <c r="E9818" s="16">
        <v>11.49</v>
      </c>
      <c r="F9818">
        <v>5523914</v>
      </c>
      <c r="G9818" s="5">
        <v>43119</v>
      </c>
    </row>
    <row r="9819" spans="1:7" x14ac:dyDescent="0.4">
      <c r="A9819">
        <v>18</v>
      </c>
      <c r="B9819" t="s">
        <v>438</v>
      </c>
      <c r="C9819" s="10">
        <v>10.07</v>
      </c>
      <c r="D9819" s="10">
        <v>1.03</v>
      </c>
      <c r="E9819" s="16">
        <v>11.39</v>
      </c>
      <c r="F9819">
        <v>289626</v>
      </c>
      <c r="G9819" s="5">
        <v>43119</v>
      </c>
    </row>
    <row r="9820" spans="1:7" x14ac:dyDescent="0.4">
      <c r="A9820">
        <v>19</v>
      </c>
      <c r="B9820" t="s">
        <v>1013</v>
      </c>
      <c r="C9820" s="10">
        <v>3.82</v>
      </c>
      <c r="D9820" s="10">
        <v>0.39</v>
      </c>
      <c r="E9820" s="16">
        <v>11.37</v>
      </c>
      <c r="F9820">
        <v>7623831</v>
      </c>
      <c r="G9820" s="5">
        <v>43119</v>
      </c>
    </row>
    <row r="9821" spans="1:7" x14ac:dyDescent="0.4">
      <c r="A9821">
        <v>20</v>
      </c>
      <c r="B9821" t="s">
        <v>727</v>
      </c>
      <c r="C9821" s="10">
        <v>3.32</v>
      </c>
      <c r="D9821" s="10">
        <v>0.33</v>
      </c>
      <c r="E9821" s="16">
        <v>11.08</v>
      </c>
      <c r="F9821">
        <v>188340</v>
      </c>
      <c r="G9821" s="5">
        <v>43119</v>
      </c>
    </row>
    <row r="9822" spans="1:7" x14ac:dyDescent="0.4">
      <c r="A9822">
        <v>21</v>
      </c>
      <c r="B9822" t="s">
        <v>2109</v>
      </c>
      <c r="C9822" s="10">
        <v>6.1</v>
      </c>
      <c r="D9822" s="10">
        <v>0.6</v>
      </c>
      <c r="E9822" s="16">
        <v>10.91</v>
      </c>
      <c r="F9822">
        <v>2559</v>
      </c>
      <c r="G9822" s="5">
        <v>43119</v>
      </c>
    </row>
    <row r="9823" spans="1:7" x14ac:dyDescent="0.4">
      <c r="A9823">
        <v>22</v>
      </c>
      <c r="B9823" t="s">
        <v>1478</v>
      </c>
      <c r="C9823" s="10">
        <v>12.8</v>
      </c>
      <c r="D9823" s="10">
        <v>1.25</v>
      </c>
      <c r="E9823" s="16">
        <v>10.82</v>
      </c>
      <c r="F9823">
        <v>892199</v>
      </c>
      <c r="G9823" s="5">
        <v>43119</v>
      </c>
    </row>
    <row r="9824" spans="1:7" x14ac:dyDescent="0.4">
      <c r="A9824">
        <v>23</v>
      </c>
      <c r="B9824" t="s">
        <v>562</v>
      </c>
      <c r="C9824" s="10">
        <v>21.75</v>
      </c>
      <c r="D9824" s="10">
        <v>2.1</v>
      </c>
      <c r="E9824" s="16">
        <v>10.69</v>
      </c>
      <c r="F9824">
        <v>835539</v>
      </c>
      <c r="G9824" s="5">
        <v>43119</v>
      </c>
    </row>
    <row r="9825" spans="1:7" x14ac:dyDescent="0.4">
      <c r="A9825">
        <v>24</v>
      </c>
      <c r="B9825" t="s">
        <v>173</v>
      </c>
      <c r="C9825" s="10">
        <v>5.64</v>
      </c>
      <c r="D9825" s="10">
        <v>0.55000000000000004</v>
      </c>
      <c r="E9825" s="16">
        <v>10.69</v>
      </c>
      <c r="F9825">
        <v>159574</v>
      </c>
      <c r="G9825" s="5">
        <v>43119</v>
      </c>
    </row>
    <row r="9826" spans="1:7" x14ac:dyDescent="0.4">
      <c r="A9826">
        <v>25</v>
      </c>
      <c r="B9826" t="s">
        <v>954</v>
      </c>
      <c r="C9826" s="10">
        <v>6.13</v>
      </c>
      <c r="D9826" s="10">
        <v>0.55000000000000004</v>
      </c>
      <c r="E9826" s="16">
        <v>9.86</v>
      </c>
      <c r="F9826">
        <v>239398</v>
      </c>
      <c r="G9826" s="5">
        <v>43119</v>
      </c>
    </row>
    <row r="9827" spans="1:7" x14ac:dyDescent="0.4">
      <c r="A9827">
        <v>26</v>
      </c>
      <c r="B9827" t="s">
        <v>348</v>
      </c>
      <c r="C9827" s="10">
        <v>14.49</v>
      </c>
      <c r="D9827" s="10">
        <v>1.28</v>
      </c>
      <c r="E9827" s="16">
        <v>9.69</v>
      </c>
      <c r="F9827">
        <v>25025</v>
      </c>
      <c r="G9827" s="5">
        <v>43119</v>
      </c>
    </row>
    <row r="9828" spans="1:7" x14ac:dyDescent="0.4">
      <c r="A9828">
        <v>27</v>
      </c>
      <c r="B9828" t="s">
        <v>1096</v>
      </c>
      <c r="C9828" s="10">
        <v>5.0999999999999996</v>
      </c>
      <c r="D9828" s="10">
        <v>0.45</v>
      </c>
      <c r="E9828" s="16">
        <v>9.68</v>
      </c>
      <c r="F9828">
        <v>2296902</v>
      </c>
      <c r="G9828" s="5">
        <v>43119</v>
      </c>
    </row>
    <row r="9829" spans="1:7" x14ac:dyDescent="0.4">
      <c r="A9829">
        <v>28</v>
      </c>
      <c r="B9829" t="s">
        <v>532</v>
      </c>
      <c r="C9829" s="10">
        <v>28.85</v>
      </c>
      <c r="D9829" s="10">
        <v>2.48</v>
      </c>
      <c r="E9829" s="16">
        <v>9.4</v>
      </c>
      <c r="F9829">
        <v>363689</v>
      </c>
      <c r="G9829" s="5">
        <v>43119</v>
      </c>
    </row>
    <row r="9830" spans="1:7" x14ac:dyDescent="0.4">
      <c r="A9830">
        <v>29</v>
      </c>
      <c r="B9830" t="s">
        <v>2090</v>
      </c>
      <c r="C9830" s="10">
        <v>9.77</v>
      </c>
      <c r="D9830" s="10">
        <v>0.82</v>
      </c>
      <c r="E9830" s="16">
        <v>9.16</v>
      </c>
      <c r="F9830">
        <v>133312</v>
      </c>
      <c r="G9830" s="5">
        <v>43119</v>
      </c>
    </row>
    <row r="9831" spans="1:7" x14ac:dyDescent="0.4">
      <c r="A9831">
        <v>30</v>
      </c>
      <c r="B9831" t="s">
        <v>2061</v>
      </c>
      <c r="C9831" s="10">
        <v>15.79</v>
      </c>
      <c r="D9831" s="10">
        <v>1.29</v>
      </c>
      <c r="E9831" s="16">
        <v>8.93</v>
      </c>
      <c r="F9831">
        <v>206434</v>
      </c>
      <c r="G9831" s="5">
        <v>43119</v>
      </c>
    </row>
    <row r="9832" spans="1:7" x14ac:dyDescent="0.4">
      <c r="A9832">
        <v>31</v>
      </c>
      <c r="B9832" t="s">
        <v>961</v>
      </c>
      <c r="C9832" s="10">
        <v>27</v>
      </c>
      <c r="D9832" s="10">
        <v>2.2000000000000002</v>
      </c>
      <c r="E9832" s="16">
        <v>8.8699999999999992</v>
      </c>
      <c r="F9832">
        <v>710764</v>
      </c>
      <c r="G9832" s="5">
        <v>43119</v>
      </c>
    </row>
    <row r="9833" spans="1:7" x14ac:dyDescent="0.4">
      <c r="A9833">
        <v>32</v>
      </c>
      <c r="B9833" t="s">
        <v>1733</v>
      </c>
      <c r="C9833" s="10">
        <v>2.5</v>
      </c>
      <c r="D9833" s="10">
        <v>0.2</v>
      </c>
      <c r="E9833" s="16">
        <v>8.6999999999999993</v>
      </c>
      <c r="F9833">
        <v>139455</v>
      </c>
      <c r="G9833" s="5">
        <v>43119</v>
      </c>
    </row>
    <row r="9834" spans="1:7" x14ac:dyDescent="0.4">
      <c r="A9834">
        <v>33</v>
      </c>
      <c r="B9834" t="s">
        <v>813</v>
      </c>
      <c r="C9834" s="10">
        <v>2.4900000000000002</v>
      </c>
      <c r="D9834" s="10">
        <v>0.2</v>
      </c>
      <c r="E9834" s="16">
        <v>8.67</v>
      </c>
      <c r="F9834">
        <v>90634</v>
      </c>
      <c r="G9834" s="5">
        <v>43119</v>
      </c>
    </row>
    <row r="9835" spans="1:7" x14ac:dyDescent="0.4">
      <c r="A9835">
        <v>34</v>
      </c>
      <c r="B9835" t="s">
        <v>1136</v>
      </c>
      <c r="C9835" s="10">
        <v>18.63</v>
      </c>
      <c r="D9835" s="10">
        <v>1.48</v>
      </c>
      <c r="E9835" s="16">
        <v>8.6300000000000008</v>
      </c>
      <c r="F9835">
        <v>839020</v>
      </c>
      <c r="G9835" s="5">
        <v>43119</v>
      </c>
    </row>
    <row r="9836" spans="1:7" x14ac:dyDescent="0.4">
      <c r="A9836">
        <v>35</v>
      </c>
      <c r="B9836" t="s">
        <v>343</v>
      </c>
      <c r="C9836" s="10">
        <v>3.85</v>
      </c>
      <c r="D9836" s="10">
        <v>0.3</v>
      </c>
      <c r="E9836" s="16">
        <v>8.4499999999999993</v>
      </c>
      <c r="F9836">
        <v>19834</v>
      </c>
      <c r="G9836" s="5">
        <v>43119</v>
      </c>
    </row>
    <row r="9837" spans="1:7" x14ac:dyDescent="0.4">
      <c r="A9837">
        <v>36</v>
      </c>
      <c r="B9837" t="s">
        <v>388</v>
      </c>
      <c r="C9837" s="10">
        <v>11.55</v>
      </c>
      <c r="D9837" s="10">
        <v>0.89</v>
      </c>
      <c r="E9837" s="16">
        <v>8.35</v>
      </c>
      <c r="F9837">
        <v>409629</v>
      </c>
      <c r="G9837" s="5">
        <v>43119</v>
      </c>
    </row>
    <row r="9838" spans="1:7" x14ac:dyDescent="0.4">
      <c r="A9838">
        <v>37</v>
      </c>
      <c r="B9838" t="s">
        <v>525</v>
      </c>
      <c r="C9838" s="10">
        <v>3.25</v>
      </c>
      <c r="D9838" s="10">
        <v>0.25</v>
      </c>
      <c r="E9838" s="16">
        <v>8.33</v>
      </c>
      <c r="F9838">
        <v>66309</v>
      </c>
      <c r="G9838" s="5">
        <v>43119</v>
      </c>
    </row>
    <row r="9839" spans="1:7" x14ac:dyDescent="0.4">
      <c r="A9839">
        <v>38</v>
      </c>
      <c r="B9839" t="s">
        <v>2146</v>
      </c>
      <c r="C9839" s="10">
        <v>32.840000000000003</v>
      </c>
      <c r="D9839" s="10">
        <v>2.46</v>
      </c>
      <c r="E9839" s="16">
        <v>8.1</v>
      </c>
      <c r="F9839">
        <v>1521921</v>
      </c>
      <c r="G9839" s="5">
        <v>43119</v>
      </c>
    </row>
    <row r="9840" spans="1:7" x14ac:dyDescent="0.4">
      <c r="A9840">
        <v>39</v>
      </c>
      <c r="B9840" t="s">
        <v>1935</v>
      </c>
      <c r="C9840" s="10">
        <v>63.78</v>
      </c>
      <c r="D9840" s="10">
        <v>4.6900000000000004</v>
      </c>
      <c r="E9840" s="16">
        <v>7.94</v>
      </c>
      <c r="F9840">
        <v>2639327</v>
      </c>
      <c r="G9840" s="5">
        <v>43119</v>
      </c>
    </row>
    <row r="9841" spans="1:7" x14ac:dyDescent="0.4">
      <c r="A9841">
        <v>40</v>
      </c>
      <c r="B9841" t="s">
        <v>987</v>
      </c>
      <c r="C9841" s="10">
        <v>8.89</v>
      </c>
      <c r="D9841" s="10">
        <v>0.65</v>
      </c>
      <c r="E9841" s="16">
        <v>7.89</v>
      </c>
      <c r="F9841">
        <v>475544</v>
      </c>
      <c r="G9841" s="5">
        <v>43119</v>
      </c>
    </row>
    <row r="9842" spans="1:7" x14ac:dyDescent="0.4">
      <c r="A9842">
        <v>41</v>
      </c>
      <c r="B9842" t="s">
        <v>941</v>
      </c>
      <c r="C9842" s="10">
        <v>7</v>
      </c>
      <c r="D9842" s="10">
        <v>0.5</v>
      </c>
      <c r="E9842" s="16">
        <v>7.69</v>
      </c>
      <c r="F9842">
        <v>4544</v>
      </c>
      <c r="G9842" s="5">
        <v>43119</v>
      </c>
    </row>
    <row r="9843" spans="1:7" x14ac:dyDescent="0.4">
      <c r="A9843">
        <v>42</v>
      </c>
      <c r="B9843" t="s">
        <v>1066</v>
      </c>
      <c r="C9843" s="10">
        <v>13.99</v>
      </c>
      <c r="D9843" s="10">
        <v>0.99</v>
      </c>
      <c r="E9843" s="16">
        <v>7.62</v>
      </c>
      <c r="F9843">
        <v>1469792</v>
      </c>
      <c r="G9843" s="5">
        <v>43119</v>
      </c>
    </row>
    <row r="9844" spans="1:7" x14ac:dyDescent="0.4">
      <c r="A9844">
        <v>43</v>
      </c>
      <c r="B9844" t="s">
        <v>784</v>
      </c>
      <c r="C9844" s="10">
        <v>26.88</v>
      </c>
      <c r="D9844" s="10">
        <v>1.9</v>
      </c>
      <c r="E9844" s="16">
        <v>7.61</v>
      </c>
      <c r="F9844">
        <v>3314710</v>
      </c>
      <c r="G9844" s="5">
        <v>43119</v>
      </c>
    </row>
    <row r="9845" spans="1:7" x14ac:dyDescent="0.4">
      <c r="A9845">
        <v>44</v>
      </c>
      <c r="B9845" t="s">
        <v>859</v>
      </c>
      <c r="C9845" s="10">
        <v>28.97</v>
      </c>
      <c r="D9845" s="10">
        <v>2.04</v>
      </c>
      <c r="E9845" s="16">
        <v>7.58</v>
      </c>
      <c r="F9845">
        <v>442230</v>
      </c>
      <c r="G9845" s="5">
        <v>43119</v>
      </c>
    </row>
    <row r="9846" spans="1:7" x14ac:dyDescent="0.4">
      <c r="A9846">
        <v>45</v>
      </c>
      <c r="B9846" t="s">
        <v>1436</v>
      </c>
      <c r="C9846" s="10">
        <v>11.53</v>
      </c>
      <c r="D9846" s="10">
        <v>0.81</v>
      </c>
      <c r="E9846" s="16">
        <v>7.56</v>
      </c>
      <c r="F9846">
        <v>29570663</v>
      </c>
      <c r="G9846" s="5">
        <v>43119</v>
      </c>
    </row>
    <row r="9847" spans="1:7" x14ac:dyDescent="0.4">
      <c r="A9847">
        <v>46</v>
      </c>
      <c r="B9847" t="s">
        <v>1310</v>
      </c>
      <c r="C9847" s="10">
        <v>3.73</v>
      </c>
      <c r="D9847" s="10">
        <v>0.26</v>
      </c>
      <c r="E9847" s="16">
        <v>7.49</v>
      </c>
      <c r="F9847">
        <v>7985546</v>
      </c>
      <c r="G9847" s="5">
        <v>43119</v>
      </c>
    </row>
    <row r="9848" spans="1:7" x14ac:dyDescent="0.4">
      <c r="A9848">
        <v>47</v>
      </c>
      <c r="B9848" t="s">
        <v>1049</v>
      </c>
      <c r="C9848" s="10">
        <v>7.92</v>
      </c>
      <c r="D9848" s="10">
        <v>0.55000000000000004</v>
      </c>
      <c r="E9848" s="16">
        <v>7.46</v>
      </c>
      <c r="F9848">
        <v>26910</v>
      </c>
      <c r="G9848" s="5">
        <v>43119</v>
      </c>
    </row>
    <row r="9849" spans="1:7" x14ac:dyDescent="0.4">
      <c r="A9849">
        <v>48</v>
      </c>
      <c r="B9849" t="s">
        <v>366</v>
      </c>
      <c r="C9849" s="10">
        <v>10.15</v>
      </c>
      <c r="D9849" s="10">
        <v>0.7</v>
      </c>
      <c r="E9849" s="16">
        <v>7.41</v>
      </c>
      <c r="F9849">
        <v>9677755</v>
      </c>
      <c r="G9849" s="5">
        <v>43119</v>
      </c>
    </row>
    <row r="9850" spans="1:7" x14ac:dyDescent="0.4">
      <c r="A9850">
        <v>49</v>
      </c>
      <c r="B9850" t="s">
        <v>932</v>
      </c>
      <c r="C9850" s="10">
        <v>6.88</v>
      </c>
      <c r="D9850" s="10">
        <v>0.47</v>
      </c>
      <c r="E9850" s="16">
        <v>7.33</v>
      </c>
      <c r="F9850">
        <v>1309786</v>
      </c>
      <c r="G9850" s="5">
        <v>43119</v>
      </c>
    </row>
    <row r="9851" spans="1:7" x14ac:dyDescent="0.4">
      <c r="A9851">
        <v>50</v>
      </c>
      <c r="B9851" t="s">
        <v>694</v>
      </c>
      <c r="C9851" s="10">
        <v>3.25</v>
      </c>
      <c r="D9851" s="10">
        <v>0.22</v>
      </c>
      <c r="E9851" s="16">
        <v>7.26</v>
      </c>
      <c r="F9851">
        <v>164149</v>
      </c>
      <c r="G9851" s="5">
        <v>43119</v>
      </c>
    </row>
    <row r="9852" spans="1:7" x14ac:dyDescent="0.4">
      <c r="A9852">
        <v>51</v>
      </c>
      <c r="B9852" t="s">
        <v>1894</v>
      </c>
      <c r="C9852" s="10">
        <v>30.2</v>
      </c>
      <c r="D9852" s="10">
        <v>2.02</v>
      </c>
      <c r="E9852" s="16">
        <v>7.17</v>
      </c>
      <c r="F9852">
        <v>556057</v>
      </c>
      <c r="G9852" s="5">
        <v>43119</v>
      </c>
    </row>
    <row r="9853" spans="1:7" x14ac:dyDescent="0.4">
      <c r="A9853">
        <v>52</v>
      </c>
      <c r="B9853" t="s">
        <v>226</v>
      </c>
      <c r="C9853" s="10">
        <v>4.51</v>
      </c>
      <c r="D9853" s="10">
        <v>0.3</v>
      </c>
      <c r="E9853" s="16">
        <v>7.13</v>
      </c>
      <c r="F9853">
        <v>368915</v>
      </c>
      <c r="G9853" s="5">
        <v>43119</v>
      </c>
    </row>
    <row r="9854" spans="1:7" x14ac:dyDescent="0.4">
      <c r="A9854">
        <v>53</v>
      </c>
      <c r="B9854" t="s">
        <v>181</v>
      </c>
      <c r="C9854" s="10">
        <v>2.71</v>
      </c>
      <c r="D9854" s="10">
        <v>0.18</v>
      </c>
      <c r="E9854" s="16">
        <v>7.11</v>
      </c>
      <c r="F9854">
        <v>28675</v>
      </c>
      <c r="G9854" s="5">
        <v>43119</v>
      </c>
    </row>
    <row r="9855" spans="1:7" x14ac:dyDescent="0.4">
      <c r="A9855">
        <v>54</v>
      </c>
      <c r="B9855" t="s">
        <v>1383</v>
      </c>
      <c r="C9855" s="10">
        <v>4.6900000000000004</v>
      </c>
      <c r="D9855" s="10">
        <v>0.31</v>
      </c>
      <c r="E9855" s="16">
        <v>7.08</v>
      </c>
      <c r="F9855">
        <v>690804</v>
      </c>
      <c r="G9855" s="5">
        <v>43119</v>
      </c>
    </row>
    <row r="9856" spans="1:7" x14ac:dyDescent="0.4">
      <c r="A9856">
        <v>55</v>
      </c>
      <c r="B9856" t="s">
        <v>2102</v>
      </c>
      <c r="C9856" s="10">
        <v>2.4500000000000002</v>
      </c>
      <c r="D9856" s="10">
        <v>0.16</v>
      </c>
      <c r="E9856" s="16">
        <v>6.99</v>
      </c>
      <c r="F9856">
        <v>627980</v>
      </c>
      <c r="G9856" s="5">
        <v>43119</v>
      </c>
    </row>
    <row r="9857" spans="1:7" x14ac:dyDescent="0.4">
      <c r="A9857">
        <v>56</v>
      </c>
      <c r="B9857" t="s">
        <v>2147</v>
      </c>
      <c r="C9857" s="10">
        <v>34.5</v>
      </c>
      <c r="D9857" s="10">
        <v>2.2200000000000002</v>
      </c>
      <c r="E9857" s="16">
        <v>6.88</v>
      </c>
      <c r="F9857">
        <v>3909064</v>
      </c>
      <c r="G9857" s="5">
        <v>43119</v>
      </c>
    </row>
    <row r="9858" spans="1:7" x14ac:dyDescent="0.4">
      <c r="A9858">
        <v>57</v>
      </c>
      <c r="B9858" t="s">
        <v>1090</v>
      </c>
      <c r="C9858" s="10">
        <v>32.75</v>
      </c>
      <c r="D9858" s="10">
        <v>2.09</v>
      </c>
      <c r="E9858" s="16">
        <v>6.82</v>
      </c>
      <c r="F9858">
        <v>2633142</v>
      </c>
      <c r="G9858" s="5">
        <v>43119</v>
      </c>
    </row>
    <row r="9859" spans="1:7" x14ac:dyDescent="0.4">
      <c r="A9859">
        <v>58</v>
      </c>
      <c r="B9859" t="s">
        <v>455</v>
      </c>
      <c r="C9859" s="10">
        <v>111.67</v>
      </c>
      <c r="D9859" s="10">
        <v>7.04</v>
      </c>
      <c r="E9859" s="16">
        <v>6.73</v>
      </c>
      <c r="F9859">
        <v>230827</v>
      </c>
      <c r="G9859" s="5">
        <v>43119</v>
      </c>
    </row>
    <row r="9860" spans="1:7" x14ac:dyDescent="0.4">
      <c r="A9860">
        <v>59</v>
      </c>
      <c r="B9860" t="s">
        <v>2148</v>
      </c>
      <c r="C9860" s="10">
        <v>36.119999999999997</v>
      </c>
      <c r="D9860" s="10">
        <v>2.2599999999999998</v>
      </c>
      <c r="E9860" s="16">
        <v>6.67</v>
      </c>
      <c r="F9860">
        <v>1305451</v>
      </c>
      <c r="G9860" s="5">
        <v>43119</v>
      </c>
    </row>
    <row r="9861" spans="1:7" x14ac:dyDescent="0.4">
      <c r="A9861">
        <v>60</v>
      </c>
      <c r="B9861" t="s">
        <v>337</v>
      </c>
      <c r="C9861" s="10">
        <v>10.55</v>
      </c>
      <c r="D9861" s="10">
        <v>0.66</v>
      </c>
      <c r="E9861" s="16">
        <v>6.67</v>
      </c>
      <c r="F9861">
        <v>4557032</v>
      </c>
      <c r="G9861" s="5">
        <v>43119</v>
      </c>
    </row>
    <row r="9862" spans="1:7" x14ac:dyDescent="0.4">
      <c r="A9862">
        <v>61</v>
      </c>
      <c r="B9862" t="s">
        <v>1001</v>
      </c>
      <c r="C9862" s="10">
        <v>5.12</v>
      </c>
      <c r="D9862" s="10">
        <v>0.32</v>
      </c>
      <c r="E9862" s="16">
        <v>6.67</v>
      </c>
      <c r="F9862">
        <v>139645</v>
      </c>
      <c r="G9862" s="5">
        <v>43119</v>
      </c>
    </row>
    <row r="9863" spans="1:7" x14ac:dyDescent="0.4">
      <c r="A9863">
        <v>62</v>
      </c>
      <c r="B9863" t="s">
        <v>2114</v>
      </c>
      <c r="C9863" s="10">
        <v>9.93</v>
      </c>
      <c r="D9863" s="10">
        <v>0.62</v>
      </c>
      <c r="E9863" s="16">
        <v>6.66</v>
      </c>
      <c r="F9863">
        <v>93603</v>
      </c>
      <c r="G9863" s="5">
        <v>43119</v>
      </c>
    </row>
    <row r="9864" spans="1:7" x14ac:dyDescent="0.4">
      <c r="A9864">
        <v>63</v>
      </c>
      <c r="B9864" t="s">
        <v>1533</v>
      </c>
      <c r="C9864" s="10">
        <v>22.43</v>
      </c>
      <c r="D9864" s="10">
        <v>1.37</v>
      </c>
      <c r="E9864" s="16">
        <v>6.51</v>
      </c>
      <c r="F9864">
        <v>7982774</v>
      </c>
      <c r="G9864" s="5">
        <v>43119</v>
      </c>
    </row>
    <row r="9865" spans="1:7" x14ac:dyDescent="0.4">
      <c r="A9865">
        <v>64</v>
      </c>
      <c r="B9865" t="s">
        <v>1581</v>
      </c>
      <c r="C9865" s="10">
        <v>13.25</v>
      </c>
      <c r="D9865" s="10">
        <v>0.8</v>
      </c>
      <c r="E9865" s="16">
        <v>6.43</v>
      </c>
      <c r="F9865">
        <v>2857982</v>
      </c>
      <c r="G9865" s="5">
        <v>43119</v>
      </c>
    </row>
    <row r="9866" spans="1:7" x14ac:dyDescent="0.4">
      <c r="A9866">
        <v>65</v>
      </c>
      <c r="B9866" t="s">
        <v>2108</v>
      </c>
      <c r="C9866" s="10">
        <v>13.09</v>
      </c>
      <c r="D9866" s="10">
        <v>0.78</v>
      </c>
      <c r="E9866" s="16">
        <v>6.34</v>
      </c>
      <c r="F9866">
        <v>659439</v>
      </c>
      <c r="G9866" s="5">
        <v>43119</v>
      </c>
    </row>
    <row r="9867" spans="1:7" x14ac:dyDescent="0.4">
      <c r="A9867">
        <v>66</v>
      </c>
      <c r="B9867" t="s">
        <v>2105</v>
      </c>
      <c r="C9867" s="10">
        <v>23.58</v>
      </c>
      <c r="D9867" s="10">
        <v>1.39</v>
      </c>
      <c r="E9867" s="16">
        <v>6.26</v>
      </c>
      <c r="F9867">
        <v>3072869</v>
      </c>
      <c r="G9867" s="5">
        <v>43119</v>
      </c>
    </row>
    <row r="9868" spans="1:7" x14ac:dyDescent="0.4">
      <c r="A9868">
        <v>67</v>
      </c>
      <c r="B9868" t="s">
        <v>1815</v>
      </c>
      <c r="C9868" s="10">
        <v>33.950000000000003</v>
      </c>
      <c r="D9868" s="10">
        <v>1.99</v>
      </c>
      <c r="E9868" s="16">
        <v>6.23</v>
      </c>
      <c r="F9868">
        <v>10221049</v>
      </c>
      <c r="G9868" s="5">
        <v>43119</v>
      </c>
    </row>
    <row r="9869" spans="1:7" x14ac:dyDescent="0.4">
      <c r="A9869">
        <v>68</v>
      </c>
      <c r="B9869" t="s">
        <v>2149</v>
      </c>
      <c r="C9869" s="10">
        <v>12.68</v>
      </c>
      <c r="D9869" s="10">
        <v>0.74</v>
      </c>
      <c r="E9869" s="16">
        <v>6.2</v>
      </c>
      <c r="F9869">
        <v>187885</v>
      </c>
      <c r="G9869" s="5">
        <v>43119</v>
      </c>
    </row>
    <row r="9870" spans="1:7" x14ac:dyDescent="0.4">
      <c r="A9870">
        <v>69</v>
      </c>
      <c r="B9870" t="s">
        <v>1463</v>
      </c>
      <c r="C9870" s="10">
        <v>30.08</v>
      </c>
      <c r="D9870" s="10">
        <v>1.74</v>
      </c>
      <c r="E9870" s="16">
        <v>6.14</v>
      </c>
      <c r="F9870">
        <v>573760</v>
      </c>
      <c r="G9870" s="5">
        <v>43119</v>
      </c>
    </row>
    <row r="9871" spans="1:7" x14ac:dyDescent="0.4">
      <c r="A9871">
        <v>70</v>
      </c>
      <c r="B9871" t="s">
        <v>503</v>
      </c>
      <c r="C9871" s="10">
        <v>15.83</v>
      </c>
      <c r="D9871" s="10">
        <v>0.91</v>
      </c>
      <c r="E9871" s="16">
        <v>6.1</v>
      </c>
      <c r="F9871">
        <v>22380</v>
      </c>
      <c r="G9871" s="5">
        <v>43119</v>
      </c>
    </row>
    <row r="9872" spans="1:7" x14ac:dyDescent="0.4">
      <c r="A9872">
        <v>71</v>
      </c>
      <c r="B9872" t="s">
        <v>2150</v>
      </c>
      <c r="C9872" s="10">
        <v>31.64</v>
      </c>
      <c r="D9872" s="10">
        <v>1.81</v>
      </c>
      <c r="E9872" s="16">
        <v>6.07</v>
      </c>
      <c r="F9872">
        <v>473300</v>
      </c>
      <c r="G9872" s="5">
        <v>43119</v>
      </c>
    </row>
    <row r="9873" spans="1:7" x14ac:dyDescent="0.4">
      <c r="A9873">
        <v>72</v>
      </c>
      <c r="B9873" t="s">
        <v>1044</v>
      </c>
      <c r="C9873" s="10">
        <v>6.2</v>
      </c>
      <c r="D9873" s="10">
        <v>0.35</v>
      </c>
      <c r="E9873" s="16">
        <v>5.98</v>
      </c>
      <c r="F9873">
        <v>57667</v>
      </c>
      <c r="G9873" s="5">
        <v>43119</v>
      </c>
    </row>
    <row r="9874" spans="1:7" x14ac:dyDescent="0.4">
      <c r="A9874">
        <v>73</v>
      </c>
      <c r="B9874" t="s">
        <v>2084</v>
      </c>
      <c r="C9874" s="10">
        <v>2.5099999999999998</v>
      </c>
      <c r="D9874" s="10">
        <v>0.14000000000000001</v>
      </c>
      <c r="E9874" s="16">
        <v>5.91</v>
      </c>
      <c r="F9874">
        <v>301982</v>
      </c>
      <c r="G9874" s="5">
        <v>43119</v>
      </c>
    </row>
    <row r="9875" spans="1:7" x14ac:dyDescent="0.4">
      <c r="A9875">
        <v>74</v>
      </c>
      <c r="B9875" t="s">
        <v>1204</v>
      </c>
      <c r="C9875" s="10">
        <v>12.83</v>
      </c>
      <c r="D9875" s="10">
        <v>0.71</v>
      </c>
      <c r="E9875" s="16">
        <v>5.86</v>
      </c>
      <c r="F9875">
        <v>171107</v>
      </c>
      <c r="G9875" s="5">
        <v>43119</v>
      </c>
    </row>
    <row r="9876" spans="1:7" x14ac:dyDescent="0.4">
      <c r="A9876">
        <v>75</v>
      </c>
      <c r="B9876" t="s">
        <v>829</v>
      </c>
      <c r="C9876" s="10">
        <v>49.56</v>
      </c>
      <c r="D9876" s="10">
        <v>2.71</v>
      </c>
      <c r="E9876" s="16">
        <v>5.78</v>
      </c>
      <c r="F9876">
        <v>2203848</v>
      </c>
      <c r="G9876" s="5">
        <v>43119</v>
      </c>
    </row>
    <row r="9877" spans="1:7" x14ac:dyDescent="0.4">
      <c r="A9877">
        <v>76</v>
      </c>
      <c r="B9877" t="s">
        <v>1081</v>
      </c>
      <c r="C9877" s="10">
        <v>4.04</v>
      </c>
      <c r="D9877" s="10">
        <v>0.22</v>
      </c>
      <c r="E9877" s="16">
        <v>5.75</v>
      </c>
      <c r="F9877">
        <v>47560</v>
      </c>
      <c r="G9877" s="5">
        <v>43119</v>
      </c>
    </row>
    <row r="9878" spans="1:7" x14ac:dyDescent="0.4">
      <c r="A9878">
        <v>77</v>
      </c>
      <c r="B9878" t="s">
        <v>1971</v>
      </c>
      <c r="C9878" s="10">
        <v>4.25</v>
      </c>
      <c r="D9878" s="10">
        <v>0.23</v>
      </c>
      <c r="E9878" s="16">
        <v>5.72</v>
      </c>
      <c r="F9878">
        <v>134614</v>
      </c>
      <c r="G9878" s="5">
        <v>43119</v>
      </c>
    </row>
    <row r="9879" spans="1:7" x14ac:dyDescent="0.4">
      <c r="A9879">
        <v>78</v>
      </c>
      <c r="B9879" t="s">
        <v>2044</v>
      </c>
      <c r="C9879" s="10">
        <v>6.6</v>
      </c>
      <c r="D9879" s="10">
        <v>0.35</v>
      </c>
      <c r="E9879" s="16">
        <v>5.6</v>
      </c>
      <c r="F9879">
        <v>85639</v>
      </c>
      <c r="G9879" s="5">
        <v>43119</v>
      </c>
    </row>
    <row r="9880" spans="1:7" x14ac:dyDescent="0.4">
      <c r="A9880">
        <v>79</v>
      </c>
      <c r="B9880" t="s">
        <v>1984</v>
      </c>
      <c r="C9880" s="10">
        <v>4.5</v>
      </c>
      <c r="D9880" s="10">
        <v>0.24</v>
      </c>
      <c r="E9880" s="16">
        <v>5.53</v>
      </c>
      <c r="F9880">
        <v>60188</v>
      </c>
      <c r="G9880" s="5">
        <v>43119</v>
      </c>
    </row>
    <row r="9881" spans="1:7" x14ac:dyDescent="0.4">
      <c r="A9881">
        <v>80</v>
      </c>
      <c r="B9881" t="s">
        <v>476</v>
      </c>
      <c r="C9881" s="10">
        <v>91</v>
      </c>
      <c r="D9881" s="10">
        <v>4.7</v>
      </c>
      <c r="E9881" s="16">
        <v>5.45</v>
      </c>
      <c r="F9881">
        <v>5360</v>
      </c>
      <c r="G9881" s="5">
        <v>43119</v>
      </c>
    </row>
    <row r="9882" spans="1:7" x14ac:dyDescent="0.4">
      <c r="A9882">
        <v>81</v>
      </c>
      <c r="B9882" t="s">
        <v>2151</v>
      </c>
      <c r="C9882" s="10">
        <v>45.28</v>
      </c>
      <c r="D9882" s="10">
        <v>2.31</v>
      </c>
      <c r="E9882" s="16">
        <v>5.38</v>
      </c>
      <c r="F9882">
        <v>644552</v>
      </c>
      <c r="G9882" s="5">
        <v>43119</v>
      </c>
    </row>
    <row r="9883" spans="1:7" x14ac:dyDescent="0.4">
      <c r="A9883">
        <v>82</v>
      </c>
      <c r="B9883" t="s">
        <v>667</v>
      </c>
      <c r="C9883" s="10">
        <v>34.549999999999997</v>
      </c>
      <c r="D9883" s="10">
        <v>1.75</v>
      </c>
      <c r="E9883" s="16">
        <v>5.34</v>
      </c>
      <c r="F9883">
        <v>19266</v>
      </c>
      <c r="G9883" s="5">
        <v>43119</v>
      </c>
    </row>
    <row r="9884" spans="1:7" x14ac:dyDescent="0.4">
      <c r="A9884">
        <v>83</v>
      </c>
      <c r="B9884" t="s">
        <v>180</v>
      </c>
      <c r="C9884" s="10">
        <v>8.9</v>
      </c>
      <c r="D9884" s="10">
        <v>0.45</v>
      </c>
      <c r="E9884" s="16">
        <v>5.33</v>
      </c>
      <c r="F9884">
        <v>475318</v>
      </c>
      <c r="G9884" s="5">
        <v>43119</v>
      </c>
    </row>
    <row r="9885" spans="1:7" x14ac:dyDescent="0.4">
      <c r="A9885">
        <v>84</v>
      </c>
      <c r="B9885" t="s">
        <v>830</v>
      </c>
      <c r="C9885" s="10">
        <v>8.14</v>
      </c>
      <c r="D9885" s="10">
        <v>0.41</v>
      </c>
      <c r="E9885" s="16">
        <v>5.3</v>
      </c>
      <c r="F9885">
        <v>5532886</v>
      </c>
      <c r="G9885" s="5">
        <v>43119</v>
      </c>
    </row>
    <row r="9886" spans="1:7" x14ac:dyDescent="0.4">
      <c r="A9886">
        <v>85</v>
      </c>
      <c r="B9886" t="s">
        <v>2152</v>
      </c>
      <c r="C9886" s="10">
        <v>27.74</v>
      </c>
      <c r="D9886" s="10">
        <v>1.39</v>
      </c>
      <c r="E9886" s="16">
        <v>5.28</v>
      </c>
      <c r="F9886">
        <v>8052</v>
      </c>
      <c r="G9886" s="5">
        <v>43119</v>
      </c>
    </row>
    <row r="9887" spans="1:7" x14ac:dyDescent="0.4">
      <c r="A9887">
        <v>86</v>
      </c>
      <c r="B9887" t="s">
        <v>527</v>
      </c>
      <c r="C9887" s="10">
        <v>6</v>
      </c>
      <c r="D9887" s="10">
        <v>0.3</v>
      </c>
      <c r="E9887" s="16">
        <v>5.26</v>
      </c>
      <c r="F9887">
        <v>290465</v>
      </c>
      <c r="G9887" s="5">
        <v>43119</v>
      </c>
    </row>
    <row r="9888" spans="1:7" x14ac:dyDescent="0.4">
      <c r="A9888">
        <v>87</v>
      </c>
      <c r="B9888" t="s">
        <v>1734</v>
      </c>
      <c r="C9888" s="10">
        <v>8.24</v>
      </c>
      <c r="D9888" s="10">
        <v>0.41</v>
      </c>
      <c r="E9888" s="16">
        <v>5.24</v>
      </c>
      <c r="F9888">
        <v>181345</v>
      </c>
      <c r="G9888" s="5">
        <v>43119</v>
      </c>
    </row>
    <row r="9889" spans="1:7" x14ac:dyDescent="0.4">
      <c r="A9889">
        <v>88</v>
      </c>
      <c r="B9889" t="s">
        <v>912</v>
      </c>
      <c r="C9889" s="10">
        <v>12.26</v>
      </c>
      <c r="D9889" s="10">
        <v>0.61</v>
      </c>
      <c r="E9889" s="16">
        <v>5.24</v>
      </c>
      <c r="F9889">
        <v>73102</v>
      </c>
      <c r="G9889" s="5">
        <v>43119</v>
      </c>
    </row>
    <row r="9890" spans="1:7" x14ac:dyDescent="0.4">
      <c r="A9890">
        <v>89</v>
      </c>
      <c r="B9890" t="s">
        <v>405</v>
      </c>
      <c r="C9890" s="10">
        <v>29.47</v>
      </c>
      <c r="D9890" s="10">
        <v>1.46</v>
      </c>
      <c r="E9890" s="16">
        <v>5.21</v>
      </c>
      <c r="F9890">
        <v>22696</v>
      </c>
      <c r="G9890" s="5">
        <v>43119</v>
      </c>
    </row>
    <row r="9891" spans="1:7" x14ac:dyDescent="0.4">
      <c r="A9891">
        <v>90</v>
      </c>
      <c r="B9891" t="s">
        <v>1537</v>
      </c>
      <c r="C9891" s="10">
        <v>28.09</v>
      </c>
      <c r="D9891" s="10">
        <v>1.38</v>
      </c>
      <c r="E9891" s="16">
        <v>5.17</v>
      </c>
      <c r="F9891">
        <v>841156</v>
      </c>
      <c r="G9891" s="5">
        <v>43119</v>
      </c>
    </row>
    <row r="9892" spans="1:7" x14ac:dyDescent="0.4">
      <c r="A9892">
        <v>91</v>
      </c>
      <c r="B9892" t="s">
        <v>148</v>
      </c>
      <c r="C9892" s="10">
        <v>2.85</v>
      </c>
      <c r="D9892" s="10">
        <v>0.14000000000000001</v>
      </c>
      <c r="E9892" s="16">
        <v>5.16</v>
      </c>
      <c r="F9892">
        <v>43485</v>
      </c>
      <c r="G9892" s="5">
        <v>43119</v>
      </c>
    </row>
    <row r="9893" spans="1:7" x14ac:dyDescent="0.4">
      <c r="A9893">
        <v>92</v>
      </c>
      <c r="B9893" t="s">
        <v>938</v>
      </c>
      <c r="C9893" s="10">
        <v>5.75</v>
      </c>
      <c r="D9893" s="10">
        <v>0.28000000000000003</v>
      </c>
      <c r="E9893" s="16">
        <v>5.12</v>
      </c>
      <c r="F9893">
        <v>72698</v>
      </c>
      <c r="G9893" s="5">
        <v>43119</v>
      </c>
    </row>
    <row r="9894" spans="1:7" x14ac:dyDescent="0.4">
      <c r="A9894">
        <v>93</v>
      </c>
      <c r="B9894" t="s">
        <v>444</v>
      </c>
      <c r="C9894" s="10">
        <v>15.83</v>
      </c>
      <c r="D9894" s="10">
        <v>0.77</v>
      </c>
      <c r="E9894" s="16">
        <v>5.1100000000000003</v>
      </c>
      <c r="F9894">
        <v>1522656</v>
      </c>
      <c r="G9894" s="5">
        <v>43119</v>
      </c>
    </row>
    <row r="9895" spans="1:7" x14ac:dyDescent="0.4">
      <c r="A9895">
        <v>94</v>
      </c>
      <c r="B9895" t="s">
        <v>481</v>
      </c>
      <c r="C9895" s="10">
        <v>16.97</v>
      </c>
      <c r="D9895" s="10">
        <v>0.82</v>
      </c>
      <c r="E9895" s="16">
        <v>5.08</v>
      </c>
      <c r="F9895">
        <v>20944</v>
      </c>
      <c r="G9895" s="5">
        <v>43119</v>
      </c>
    </row>
    <row r="9896" spans="1:7" x14ac:dyDescent="0.4">
      <c r="A9896">
        <v>95</v>
      </c>
      <c r="B9896" t="s">
        <v>1915</v>
      </c>
      <c r="C9896" s="10">
        <v>110.17</v>
      </c>
      <c r="D9896" s="10">
        <v>5.3</v>
      </c>
      <c r="E9896" s="16">
        <v>5.05</v>
      </c>
      <c r="F9896">
        <v>1026732</v>
      </c>
      <c r="G9896" s="5">
        <v>43119</v>
      </c>
    </row>
    <row r="9897" spans="1:7" x14ac:dyDescent="0.4">
      <c r="A9897">
        <v>96</v>
      </c>
      <c r="B9897" t="s">
        <v>837</v>
      </c>
      <c r="C9897" s="10">
        <v>11.23</v>
      </c>
      <c r="D9897" s="10">
        <v>0.54</v>
      </c>
      <c r="E9897" s="16">
        <v>5.05</v>
      </c>
      <c r="F9897">
        <v>62437</v>
      </c>
      <c r="G9897" s="5">
        <v>43119</v>
      </c>
    </row>
    <row r="9898" spans="1:7" x14ac:dyDescent="0.4">
      <c r="A9898">
        <v>97</v>
      </c>
      <c r="B9898" t="s">
        <v>49</v>
      </c>
      <c r="C9898" s="10">
        <v>3.96</v>
      </c>
      <c r="D9898" s="10">
        <v>0.19</v>
      </c>
      <c r="E9898" s="16">
        <v>5.04</v>
      </c>
      <c r="F9898">
        <v>669535</v>
      </c>
      <c r="G9898" s="5">
        <v>43119</v>
      </c>
    </row>
    <row r="9899" spans="1:7" x14ac:dyDescent="0.4">
      <c r="A9899">
        <v>98</v>
      </c>
      <c r="B9899" t="s">
        <v>962</v>
      </c>
      <c r="C9899" s="10">
        <v>16.29</v>
      </c>
      <c r="D9899" s="10">
        <v>0.78</v>
      </c>
      <c r="E9899" s="16">
        <v>5.03</v>
      </c>
      <c r="F9899">
        <v>783841</v>
      </c>
      <c r="G9899" s="5">
        <v>43119</v>
      </c>
    </row>
    <row r="9900" spans="1:7" x14ac:dyDescent="0.4">
      <c r="A9900">
        <v>99</v>
      </c>
      <c r="B9900" t="s">
        <v>695</v>
      </c>
      <c r="C9900" s="10">
        <v>6.3</v>
      </c>
      <c r="D9900" s="10">
        <v>0.3</v>
      </c>
      <c r="E9900" s="16">
        <v>5</v>
      </c>
      <c r="F9900">
        <v>213731</v>
      </c>
      <c r="G9900" s="5">
        <v>43119</v>
      </c>
    </row>
    <row r="9901" spans="1:7" x14ac:dyDescent="0.4">
      <c r="A9901">
        <v>100</v>
      </c>
      <c r="B9901" t="s">
        <v>2153</v>
      </c>
      <c r="C9901" s="10">
        <v>10.37</v>
      </c>
      <c r="D9901" s="10">
        <v>0.49</v>
      </c>
      <c r="E9901" s="16">
        <v>4.96</v>
      </c>
      <c r="F9901">
        <v>631501</v>
      </c>
      <c r="G9901" s="5">
        <v>43119</v>
      </c>
    </row>
    <row r="9902" spans="1:7" x14ac:dyDescent="0.4">
      <c r="A9902">
        <v>1</v>
      </c>
      <c r="B9902" t="s">
        <v>348</v>
      </c>
      <c r="C9902" s="10">
        <v>20.51</v>
      </c>
      <c r="D9902" s="10">
        <v>6.02</v>
      </c>
      <c r="E9902" s="16">
        <v>41.55</v>
      </c>
      <c r="F9902">
        <v>952640</v>
      </c>
      <c r="G9902" s="5">
        <v>43119</v>
      </c>
    </row>
    <row r="9903" spans="1:7" x14ac:dyDescent="0.4">
      <c r="A9903">
        <v>2</v>
      </c>
      <c r="B9903" t="s">
        <v>1127</v>
      </c>
      <c r="C9903" s="10">
        <v>3.92</v>
      </c>
      <c r="D9903" s="10">
        <v>0.72</v>
      </c>
      <c r="E9903" s="16">
        <v>22.5</v>
      </c>
      <c r="F9903">
        <v>4908536</v>
      </c>
      <c r="G9903" s="5">
        <v>43119</v>
      </c>
    </row>
    <row r="9904" spans="1:7" x14ac:dyDescent="0.4">
      <c r="A9904">
        <v>3</v>
      </c>
      <c r="B9904" t="s">
        <v>610</v>
      </c>
      <c r="C9904" s="10">
        <v>3</v>
      </c>
      <c r="D9904" s="10">
        <v>0.55000000000000004</v>
      </c>
      <c r="E9904" s="16">
        <v>22.45</v>
      </c>
      <c r="F9904">
        <v>3583587</v>
      </c>
      <c r="G9904" s="5">
        <v>43119</v>
      </c>
    </row>
    <row r="9905" spans="1:7" x14ac:dyDescent="0.4">
      <c r="A9905">
        <v>4</v>
      </c>
      <c r="B9905" t="s">
        <v>919</v>
      </c>
      <c r="C9905" s="10">
        <v>6.4</v>
      </c>
      <c r="D9905" s="10">
        <v>0.96</v>
      </c>
      <c r="E9905" s="16">
        <v>17.649999999999999</v>
      </c>
      <c r="F9905">
        <v>136563</v>
      </c>
      <c r="G9905" s="5">
        <v>43119</v>
      </c>
    </row>
    <row r="9906" spans="1:7" x14ac:dyDescent="0.4">
      <c r="A9906">
        <v>5</v>
      </c>
      <c r="B9906" t="s">
        <v>209</v>
      </c>
      <c r="C9906" s="10">
        <v>5</v>
      </c>
      <c r="D9906" s="10">
        <v>0.73</v>
      </c>
      <c r="E9906" s="16">
        <v>17.100000000000001</v>
      </c>
      <c r="F9906">
        <v>26876</v>
      </c>
      <c r="G9906" s="5">
        <v>43119</v>
      </c>
    </row>
    <row r="9907" spans="1:7" x14ac:dyDescent="0.4">
      <c r="A9907">
        <v>6</v>
      </c>
      <c r="B9907" t="s">
        <v>19</v>
      </c>
      <c r="C9907" s="10">
        <v>5.42</v>
      </c>
      <c r="D9907" s="10">
        <v>0.79</v>
      </c>
      <c r="E9907" s="16">
        <v>17.059999999999999</v>
      </c>
      <c r="F9907">
        <v>7744</v>
      </c>
      <c r="G9907" s="5">
        <v>43119</v>
      </c>
    </row>
    <row r="9908" spans="1:7" x14ac:dyDescent="0.4">
      <c r="A9908">
        <v>7</v>
      </c>
      <c r="B9908" t="s">
        <v>508</v>
      </c>
      <c r="C9908" s="10">
        <v>2.8</v>
      </c>
      <c r="D9908" s="10">
        <v>0.4</v>
      </c>
      <c r="E9908" s="16">
        <v>16.670000000000002</v>
      </c>
      <c r="F9908">
        <v>17269</v>
      </c>
      <c r="G9908" s="5">
        <v>43119</v>
      </c>
    </row>
    <row r="9909" spans="1:7" x14ac:dyDescent="0.4">
      <c r="A9909">
        <v>8</v>
      </c>
      <c r="B9909" t="s">
        <v>191</v>
      </c>
      <c r="C9909" s="10">
        <v>23.38</v>
      </c>
      <c r="D9909" s="10">
        <v>3.17</v>
      </c>
      <c r="E9909" s="16">
        <v>15.69</v>
      </c>
      <c r="F9909">
        <v>1657828</v>
      </c>
      <c r="G9909" s="5">
        <v>43119</v>
      </c>
    </row>
    <row r="9910" spans="1:7" x14ac:dyDescent="0.4">
      <c r="A9910">
        <v>9</v>
      </c>
      <c r="B9910" t="s">
        <v>1081</v>
      </c>
      <c r="C9910" s="10">
        <v>4.6500000000000004</v>
      </c>
      <c r="D9910" s="10">
        <v>0.61</v>
      </c>
      <c r="E9910" s="16">
        <v>15.15</v>
      </c>
      <c r="F9910">
        <v>101390</v>
      </c>
      <c r="G9910" s="5">
        <v>43119</v>
      </c>
    </row>
    <row r="9911" spans="1:7" x14ac:dyDescent="0.4">
      <c r="A9911">
        <v>10</v>
      </c>
      <c r="B9911" t="s">
        <v>238</v>
      </c>
      <c r="C9911" s="10">
        <v>3.98</v>
      </c>
      <c r="D9911" s="10">
        <v>0.51</v>
      </c>
      <c r="E9911" s="16">
        <v>14.7</v>
      </c>
      <c r="F9911">
        <v>391952</v>
      </c>
      <c r="G9911" s="5">
        <v>43119</v>
      </c>
    </row>
    <row r="9912" spans="1:7" x14ac:dyDescent="0.4">
      <c r="A9912">
        <v>11</v>
      </c>
      <c r="B9912" t="s">
        <v>2154</v>
      </c>
      <c r="C9912" s="10">
        <v>2.4</v>
      </c>
      <c r="D9912" s="10">
        <v>0.28999999999999998</v>
      </c>
      <c r="E9912" s="16">
        <v>13.74</v>
      </c>
      <c r="F9912">
        <v>4629018</v>
      </c>
      <c r="G9912" s="5">
        <v>43119</v>
      </c>
    </row>
    <row r="9913" spans="1:7" x14ac:dyDescent="0.4">
      <c r="A9913">
        <v>12</v>
      </c>
      <c r="B9913" t="s">
        <v>621</v>
      </c>
      <c r="C9913" s="10">
        <v>26.1</v>
      </c>
      <c r="D9913" s="10">
        <v>3.1</v>
      </c>
      <c r="E9913" s="16">
        <v>13.48</v>
      </c>
      <c r="F9913">
        <v>6139451</v>
      </c>
      <c r="G9913" s="5">
        <v>43119</v>
      </c>
    </row>
    <row r="9914" spans="1:7" x14ac:dyDescent="0.4">
      <c r="A9914">
        <v>13</v>
      </c>
      <c r="B9914" t="s">
        <v>823</v>
      </c>
      <c r="C9914" s="10">
        <v>3.83</v>
      </c>
      <c r="D9914" s="10">
        <v>0.44</v>
      </c>
      <c r="E9914" s="16">
        <v>12.98</v>
      </c>
      <c r="F9914">
        <v>169097</v>
      </c>
      <c r="G9914" s="5">
        <v>43119</v>
      </c>
    </row>
    <row r="9915" spans="1:7" x14ac:dyDescent="0.4">
      <c r="A9915">
        <v>14</v>
      </c>
      <c r="B9915" t="s">
        <v>1155</v>
      </c>
      <c r="C9915" s="10">
        <v>11.66</v>
      </c>
      <c r="D9915" s="10">
        <v>1.33</v>
      </c>
      <c r="E9915" s="16">
        <v>12.88</v>
      </c>
      <c r="F9915">
        <v>960336</v>
      </c>
      <c r="G9915" s="5">
        <v>43119</v>
      </c>
    </row>
    <row r="9916" spans="1:7" x14ac:dyDescent="0.4">
      <c r="A9916">
        <v>15</v>
      </c>
      <c r="B9916" t="s">
        <v>72</v>
      </c>
      <c r="C9916" s="10">
        <v>6.23</v>
      </c>
      <c r="D9916" s="10">
        <v>0.69</v>
      </c>
      <c r="E9916" s="16">
        <v>12.45</v>
      </c>
      <c r="F9916">
        <v>1437012</v>
      </c>
      <c r="G9916" s="5">
        <v>43119</v>
      </c>
    </row>
    <row r="9917" spans="1:7" x14ac:dyDescent="0.4">
      <c r="A9917">
        <v>16</v>
      </c>
      <c r="B9917" t="s">
        <v>2155</v>
      </c>
      <c r="C9917" s="10">
        <v>16.64</v>
      </c>
      <c r="D9917" s="10">
        <v>1.81</v>
      </c>
      <c r="E9917" s="16">
        <v>12.21</v>
      </c>
      <c r="F9917">
        <v>2049</v>
      </c>
      <c r="G9917" s="5">
        <v>43119</v>
      </c>
    </row>
    <row r="9918" spans="1:7" x14ac:dyDescent="0.4">
      <c r="A9918">
        <v>17</v>
      </c>
      <c r="B9918" t="s">
        <v>405</v>
      </c>
      <c r="C9918" s="10">
        <v>33</v>
      </c>
      <c r="D9918" s="10">
        <v>3.53</v>
      </c>
      <c r="E9918" s="16">
        <v>11.98</v>
      </c>
      <c r="F9918">
        <v>162057</v>
      </c>
      <c r="G9918" s="5">
        <v>43119</v>
      </c>
    </row>
    <row r="9919" spans="1:7" x14ac:dyDescent="0.4">
      <c r="A9919">
        <v>18</v>
      </c>
      <c r="B9919" t="s">
        <v>68</v>
      </c>
      <c r="C9919" s="10">
        <v>21.76</v>
      </c>
      <c r="D9919" s="10">
        <v>2.29</v>
      </c>
      <c r="E9919" s="16">
        <v>11.76</v>
      </c>
      <c r="F9919">
        <v>1162732</v>
      </c>
      <c r="G9919" s="5">
        <v>43119</v>
      </c>
    </row>
    <row r="9920" spans="1:7" x14ac:dyDescent="0.4">
      <c r="A9920">
        <v>19</v>
      </c>
      <c r="B9920" t="s">
        <v>455</v>
      </c>
      <c r="C9920" s="10">
        <v>124.59</v>
      </c>
      <c r="D9920" s="10">
        <v>12.92</v>
      </c>
      <c r="E9920" s="16">
        <v>11.57</v>
      </c>
      <c r="F9920">
        <v>353332</v>
      </c>
      <c r="G9920" s="5">
        <v>43119</v>
      </c>
    </row>
    <row r="9921" spans="1:7" x14ac:dyDescent="0.4">
      <c r="A9921">
        <v>20</v>
      </c>
      <c r="B9921" t="s">
        <v>2156</v>
      </c>
      <c r="C9921" s="10">
        <v>77.56</v>
      </c>
      <c r="D9921" s="10">
        <v>7.92</v>
      </c>
      <c r="E9921" s="16">
        <v>11.37</v>
      </c>
      <c r="F9921">
        <v>3379206</v>
      </c>
      <c r="G9921" s="5">
        <v>43119</v>
      </c>
    </row>
    <row r="9922" spans="1:7" x14ac:dyDescent="0.4">
      <c r="A9922">
        <v>21</v>
      </c>
      <c r="B9922" t="s">
        <v>916</v>
      </c>
      <c r="C9922" s="10">
        <v>2.94</v>
      </c>
      <c r="D9922" s="10">
        <v>0.3</v>
      </c>
      <c r="E9922" s="16">
        <v>11.36</v>
      </c>
      <c r="F9922">
        <v>342121</v>
      </c>
      <c r="G9922" s="5">
        <v>43119</v>
      </c>
    </row>
    <row r="9923" spans="1:7" x14ac:dyDescent="0.4">
      <c r="A9923">
        <v>22</v>
      </c>
      <c r="B9923" t="s">
        <v>1920</v>
      </c>
      <c r="C9923" s="10">
        <v>10.7</v>
      </c>
      <c r="D9923" s="10">
        <v>1.07</v>
      </c>
      <c r="E9923" s="16">
        <v>11.17</v>
      </c>
      <c r="F9923">
        <v>1730008</v>
      </c>
      <c r="G9923" s="5">
        <v>43119</v>
      </c>
    </row>
    <row r="9924" spans="1:7" x14ac:dyDescent="0.4">
      <c r="A9924">
        <v>23</v>
      </c>
      <c r="B9924" t="s">
        <v>2157</v>
      </c>
      <c r="C9924" s="10">
        <v>17.77</v>
      </c>
      <c r="D9924" s="10">
        <v>1.77</v>
      </c>
      <c r="E9924" s="16">
        <v>11.06</v>
      </c>
      <c r="F9924">
        <v>18132865</v>
      </c>
      <c r="G9924" s="5">
        <v>43119</v>
      </c>
    </row>
    <row r="9925" spans="1:7" x14ac:dyDescent="0.4">
      <c r="A9925">
        <v>24</v>
      </c>
      <c r="B9925" t="s">
        <v>2111</v>
      </c>
      <c r="C9925" s="10">
        <v>6.66</v>
      </c>
      <c r="D9925" s="10">
        <v>0.65</v>
      </c>
      <c r="E9925" s="16">
        <v>10.82</v>
      </c>
      <c r="F9925">
        <v>44388</v>
      </c>
      <c r="G9925" s="5">
        <v>43119</v>
      </c>
    </row>
    <row r="9926" spans="1:7" x14ac:dyDescent="0.4">
      <c r="A9926">
        <v>25</v>
      </c>
      <c r="B9926" t="s">
        <v>438</v>
      </c>
      <c r="C9926" s="10">
        <v>11.13</v>
      </c>
      <c r="D9926" s="10">
        <v>1.06</v>
      </c>
      <c r="E9926" s="16">
        <v>10.53</v>
      </c>
      <c r="F9926">
        <v>313064</v>
      </c>
      <c r="G9926" s="5">
        <v>43119</v>
      </c>
    </row>
    <row r="9927" spans="1:7" x14ac:dyDescent="0.4">
      <c r="A9927">
        <v>26</v>
      </c>
      <c r="B9927" t="s">
        <v>2114</v>
      </c>
      <c r="C9927" s="10">
        <v>10.94</v>
      </c>
      <c r="D9927" s="10">
        <v>1.01</v>
      </c>
      <c r="E9927" s="16">
        <v>10.17</v>
      </c>
      <c r="F9927">
        <v>307625</v>
      </c>
      <c r="G9927" s="5">
        <v>43119</v>
      </c>
    </row>
    <row r="9928" spans="1:7" x14ac:dyDescent="0.4">
      <c r="A9928">
        <v>27</v>
      </c>
      <c r="B9928" t="s">
        <v>323</v>
      </c>
      <c r="C9928" s="10">
        <v>4.9000000000000004</v>
      </c>
      <c r="D9928" s="10">
        <v>0.45</v>
      </c>
      <c r="E9928" s="16">
        <v>10.11</v>
      </c>
      <c r="F9928">
        <v>2196</v>
      </c>
      <c r="G9928" s="5">
        <v>43119</v>
      </c>
    </row>
    <row r="9929" spans="1:7" x14ac:dyDescent="0.4">
      <c r="A9929">
        <v>28</v>
      </c>
      <c r="B9929" t="s">
        <v>1362</v>
      </c>
      <c r="C9929" s="10">
        <v>10.029999999999999</v>
      </c>
      <c r="D9929" s="10">
        <v>0.92</v>
      </c>
      <c r="E9929" s="16">
        <v>10.1</v>
      </c>
      <c r="F9929">
        <v>5504324</v>
      </c>
      <c r="G9929" s="5">
        <v>43119</v>
      </c>
    </row>
    <row r="9930" spans="1:7" x14ac:dyDescent="0.4">
      <c r="A9930">
        <v>29</v>
      </c>
      <c r="B9930" t="s">
        <v>1204</v>
      </c>
      <c r="C9930" s="10">
        <v>14.12</v>
      </c>
      <c r="D9930" s="10">
        <v>1.29</v>
      </c>
      <c r="E9930" s="16">
        <v>10.050000000000001</v>
      </c>
      <c r="F9930">
        <v>232759</v>
      </c>
      <c r="G9930" s="5">
        <v>43119</v>
      </c>
    </row>
    <row r="9931" spans="1:7" x14ac:dyDescent="0.4">
      <c r="A9931">
        <v>30</v>
      </c>
      <c r="B9931" t="s">
        <v>1961</v>
      </c>
      <c r="C9931" s="10">
        <v>3.96</v>
      </c>
      <c r="D9931" s="10">
        <v>0.36</v>
      </c>
      <c r="E9931" s="16">
        <v>10</v>
      </c>
      <c r="F9931">
        <v>14230</v>
      </c>
      <c r="G9931" s="5">
        <v>43119</v>
      </c>
    </row>
    <row r="9932" spans="1:7" x14ac:dyDescent="0.4">
      <c r="A9932">
        <v>31</v>
      </c>
      <c r="B9932" t="s">
        <v>940</v>
      </c>
      <c r="C9932" s="10">
        <v>6.29</v>
      </c>
      <c r="D9932" s="10">
        <v>0.56999999999999995</v>
      </c>
      <c r="E9932" s="16">
        <v>9.9700000000000006</v>
      </c>
      <c r="F9932">
        <v>4696236</v>
      </c>
      <c r="G9932" s="5">
        <v>43119</v>
      </c>
    </row>
    <row r="9933" spans="1:7" x14ac:dyDescent="0.4">
      <c r="A9933">
        <v>32</v>
      </c>
      <c r="B9933" t="s">
        <v>349</v>
      </c>
      <c r="C9933" s="10">
        <v>26.37</v>
      </c>
      <c r="D9933" s="10">
        <v>2.38</v>
      </c>
      <c r="E9933" s="16">
        <v>9.92</v>
      </c>
      <c r="F9933">
        <v>1415910</v>
      </c>
      <c r="G9933" s="5">
        <v>43119</v>
      </c>
    </row>
    <row r="9934" spans="1:7" x14ac:dyDescent="0.4">
      <c r="A9934">
        <v>33</v>
      </c>
      <c r="B9934" t="s">
        <v>199</v>
      </c>
      <c r="C9934" s="10">
        <v>3.07</v>
      </c>
      <c r="D9934" s="10">
        <v>0.27</v>
      </c>
      <c r="E9934" s="16">
        <v>9.64</v>
      </c>
      <c r="F9934">
        <v>1058925</v>
      </c>
      <c r="G9934" s="5">
        <v>43119</v>
      </c>
    </row>
    <row r="9935" spans="1:7" x14ac:dyDescent="0.4">
      <c r="A9935">
        <v>34</v>
      </c>
      <c r="B9935" t="s">
        <v>1301</v>
      </c>
      <c r="C9935" s="10">
        <v>6.05</v>
      </c>
      <c r="D9935" s="10">
        <v>0.52</v>
      </c>
      <c r="E9935" s="16">
        <v>9.4</v>
      </c>
      <c r="F9935">
        <v>156284</v>
      </c>
      <c r="G9935" s="5">
        <v>43119</v>
      </c>
    </row>
    <row r="9936" spans="1:7" x14ac:dyDescent="0.4">
      <c r="A9936">
        <v>35</v>
      </c>
      <c r="B9936" t="s">
        <v>1422</v>
      </c>
      <c r="C9936" s="10">
        <v>12.58</v>
      </c>
      <c r="D9936" s="10">
        <v>1.07</v>
      </c>
      <c r="E9936" s="16">
        <v>9.3000000000000007</v>
      </c>
      <c r="F9936">
        <v>1656403</v>
      </c>
      <c r="G9936" s="5">
        <v>43119</v>
      </c>
    </row>
    <row r="9937" spans="1:7" x14ac:dyDescent="0.4">
      <c r="A9937">
        <v>36</v>
      </c>
      <c r="B9937" t="s">
        <v>549</v>
      </c>
      <c r="C9937" s="10">
        <v>11.2</v>
      </c>
      <c r="D9937" s="10">
        <v>0.95</v>
      </c>
      <c r="E9937" s="16">
        <v>9.27</v>
      </c>
      <c r="F9937">
        <v>3577</v>
      </c>
      <c r="G9937" s="5">
        <v>43119</v>
      </c>
    </row>
    <row r="9938" spans="1:7" x14ac:dyDescent="0.4">
      <c r="A9938">
        <v>37</v>
      </c>
      <c r="B9938" t="s">
        <v>1919</v>
      </c>
      <c r="C9938" s="10">
        <v>19.97</v>
      </c>
      <c r="D9938" s="10">
        <v>1.69</v>
      </c>
      <c r="E9938" s="16">
        <v>9.25</v>
      </c>
      <c r="F9938">
        <v>4230948</v>
      </c>
      <c r="G9938" s="5">
        <v>43119</v>
      </c>
    </row>
    <row r="9939" spans="1:7" x14ac:dyDescent="0.4">
      <c r="A9939">
        <v>38</v>
      </c>
      <c r="B9939" t="s">
        <v>2158</v>
      </c>
      <c r="C9939" s="10">
        <v>18.690000000000001</v>
      </c>
      <c r="D9939" s="10">
        <v>1.56</v>
      </c>
      <c r="E9939" s="16">
        <v>9.11</v>
      </c>
      <c r="F9939">
        <v>128193</v>
      </c>
      <c r="G9939" s="5">
        <v>43119</v>
      </c>
    </row>
    <row r="9940" spans="1:7" x14ac:dyDescent="0.4">
      <c r="A9940">
        <v>39</v>
      </c>
      <c r="B9940" t="s">
        <v>996</v>
      </c>
      <c r="C9940" s="10">
        <v>3</v>
      </c>
      <c r="D9940" s="10">
        <v>0.25</v>
      </c>
      <c r="E9940" s="16">
        <v>9.09</v>
      </c>
      <c r="F9940">
        <v>537021</v>
      </c>
      <c r="G9940" s="5">
        <v>43119</v>
      </c>
    </row>
    <row r="9941" spans="1:7" x14ac:dyDescent="0.4">
      <c r="A9941">
        <v>40</v>
      </c>
      <c r="B9941" t="s">
        <v>1376</v>
      </c>
      <c r="C9941" s="10">
        <v>9.6</v>
      </c>
      <c r="D9941" s="10">
        <v>0.8</v>
      </c>
      <c r="E9941" s="16">
        <v>9.09</v>
      </c>
      <c r="F9941">
        <v>404516</v>
      </c>
      <c r="G9941" s="5">
        <v>43119</v>
      </c>
    </row>
    <row r="9942" spans="1:7" x14ac:dyDescent="0.4">
      <c r="A9942">
        <v>41</v>
      </c>
      <c r="B9942" t="s">
        <v>57</v>
      </c>
      <c r="C9942" s="10">
        <v>16.3</v>
      </c>
      <c r="D9942" s="10">
        <v>1.35</v>
      </c>
      <c r="E9942" s="16">
        <v>9.0299999999999994</v>
      </c>
      <c r="F9942">
        <v>726093</v>
      </c>
      <c r="G9942" s="5">
        <v>43119</v>
      </c>
    </row>
    <row r="9943" spans="1:7" x14ac:dyDescent="0.4">
      <c r="A9943">
        <v>42</v>
      </c>
      <c r="B9943" t="s">
        <v>2159</v>
      </c>
      <c r="C9943" s="10">
        <v>5.57</v>
      </c>
      <c r="D9943" s="10">
        <v>0.46</v>
      </c>
      <c r="E9943" s="16">
        <v>9</v>
      </c>
      <c r="F9943">
        <v>18475294</v>
      </c>
      <c r="G9943" s="5">
        <v>43119</v>
      </c>
    </row>
    <row r="9944" spans="1:7" x14ac:dyDescent="0.4">
      <c r="A9944">
        <v>43</v>
      </c>
      <c r="B9944" t="s">
        <v>490</v>
      </c>
      <c r="C9944" s="10">
        <v>77.650000000000006</v>
      </c>
      <c r="D9944" s="10">
        <v>6.4</v>
      </c>
      <c r="E9944" s="16">
        <v>8.98</v>
      </c>
      <c r="F9944">
        <v>5528892</v>
      </c>
      <c r="G9944" s="5">
        <v>43119</v>
      </c>
    </row>
    <row r="9945" spans="1:7" x14ac:dyDescent="0.4">
      <c r="A9945">
        <v>44</v>
      </c>
      <c r="B9945" t="s">
        <v>2160</v>
      </c>
      <c r="C9945" s="10">
        <v>10.35</v>
      </c>
      <c r="D9945" s="10">
        <v>0.85</v>
      </c>
      <c r="E9945" s="16">
        <v>8.9499999999999993</v>
      </c>
      <c r="F9945">
        <v>62355</v>
      </c>
      <c r="G9945" s="5">
        <v>43119</v>
      </c>
    </row>
    <row r="9946" spans="1:7" x14ac:dyDescent="0.4">
      <c r="A9946">
        <v>45</v>
      </c>
      <c r="B9946" t="s">
        <v>831</v>
      </c>
      <c r="C9946" s="10">
        <v>8.5500000000000007</v>
      </c>
      <c r="D9946" s="10">
        <v>0.7</v>
      </c>
      <c r="E9946" s="16">
        <v>8.92</v>
      </c>
      <c r="F9946">
        <v>234521</v>
      </c>
      <c r="G9946" s="5">
        <v>43119</v>
      </c>
    </row>
    <row r="9947" spans="1:7" x14ac:dyDescent="0.4">
      <c r="A9947">
        <v>46</v>
      </c>
      <c r="B9947" t="s">
        <v>2103</v>
      </c>
      <c r="C9947" s="10">
        <v>27.2</v>
      </c>
      <c r="D9947" s="10">
        <v>2.2000000000000002</v>
      </c>
      <c r="E9947" s="16">
        <v>8.8000000000000007</v>
      </c>
      <c r="F9947">
        <v>3974173</v>
      </c>
      <c r="G9947" s="5">
        <v>43119</v>
      </c>
    </row>
    <row r="9948" spans="1:7" x14ac:dyDescent="0.4">
      <c r="A9948">
        <v>47</v>
      </c>
      <c r="B9948" t="s">
        <v>148</v>
      </c>
      <c r="C9948" s="10">
        <v>3.1</v>
      </c>
      <c r="D9948" s="10">
        <v>0.25</v>
      </c>
      <c r="E9948" s="16">
        <v>8.77</v>
      </c>
      <c r="F9948">
        <v>27694</v>
      </c>
      <c r="G9948" s="5">
        <v>43119</v>
      </c>
    </row>
    <row r="9949" spans="1:7" x14ac:dyDescent="0.4">
      <c r="A9949">
        <v>48</v>
      </c>
      <c r="B9949" t="s">
        <v>206</v>
      </c>
      <c r="C9949" s="10">
        <v>3.98</v>
      </c>
      <c r="D9949" s="10">
        <v>0.32</v>
      </c>
      <c r="E9949" s="16">
        <v>8.68</v>
      </c>
      <c r="F9949">
        <v>24929</v>
      </c>
      <c r="G9949" s="5">
        <v>43119</v>
      </c>
    </row>
    <row r="9950" spans="1:7" x14ac:dyDescent="0.4">
      <c r="A9950">
        <v>49</v>
      </c>
      <c r="B9950" t="s">
        <v>137</v>
      </c>
      <c r="C9950" s="10">
        <v>3.89</v>
      </c>
      <c r="D9950" s="10">
        <v>0.31</v>
      </c>
      <c r="E9950" s="16">
        <v>8.66</v>
      </c>
      <c r="F9950">
        <v>2883342</v>
      </c>
      <c r="G9950" s="5">
        <v>43119</v>
      </c>
    </row>
    <row r="9951" spans="1:7" x14ac:dyDescent="0.4">
      <c r="A9951">
        <v>50</v>
      </c>
      <c r="B9951" t="s">
        <v>320</v>
      </c>
      <c r="C9951" s="10">
        <v>3.53</v>
      </c>
      <c r="D9951" s="10">
        <v>0.28000000000000003</v>
      </c>
      <c r="E9951" s="16">
        <v>8.6199999999999992</v>
      </c>
      <c r="F9951">
        <v>2348458</v>
      </c>
      <c r="G9951" s="5">
        <v>43119</v>
      </c>
    </row>
    <row r="9952" spans="1:7" x14ac:dyDescent="0.4">
      <c r="A9952">
        <v>51</v>
      </c>
      <c r="B9952" t="s">
        <v>1677</v>
      </c>
      <c r="C9952" s="10">
        <v>57.72</v>
      </c>
      <c r="D9952" s="10">
        <v>4.53</v>
      </c>
      <c r="E9952" s="16">
        <v>8.52</v>
      </c>
      <c r="F9952">
        <v>1366038</v>
      </c>
      <c r="G9952" s="5">
        <v>43119</v>
      </c>
    </row>
    <row r="9953" spans="1:7" x14ac:dyDescent="0.4">
      <c r="A9953">
        <v>52</v>
      </c>
      <c r="B9953" t="s">
        <v>562</v>
      </c>
      <c r="C9953" s="10">
        <v>23.59</v>
      </c>
      <c r="D9953" s="10">
        <v>1.84</v>
      </c>
      <c r="E9953" s="16">
        <v>8.4600000000000009</v>
      </c>
      <c r="F9953">
        <v>1676158</v>
      </c>
      <c r="G9953" s="5">
        <v>43119</v>
      </c>
    </row>
    <row r="9954" spans="1:7" x14ac:dyDescent="0.4">
      <c r="A9954">
        <v>53</v>
      </c>
      <c r="B9954" t="s">
        <v>1806</v>
      </c>
      <c r="C9954" s="10">
        <v>21.9</v>
      </c>
      <c r="D9954" s="10">
        <v>1.7</v>
      </c>
      <c r="E9954" s="16">
        <v>8.42</v>
      </c>
      <c r="F9954">
        <v>4438449</v>
      </c>
      <c r="G9954" s="5">
        <v>43119</v>
      </c>
    </row>
    <row r="9955" spans="1:7" x14ac:dyDescent="0.4">
      <c r="A9955">
        <v>54</v>
      </c>
      <c r="B9955" t="s">
        <v>1283</v>
      </c>
      <c r="C9955" s="10">
        <v>16.399999999999999</v>
      </c>
      <c r="D9955" s="10">
        <v>1.25</v>
      </c>
      <c r="E9955" s="16">
        <v>8.25</v>
      </c>
      <c r="F9955">
        <v>2314825</v>
      </c>
      <c r="G9955" s="5">
        <v>43119</v>
      </c>
    </row>
    <row r="9956" spans="1:7" x14ac:dyDescent="0.4">
      <c r="A9956">
        <v>55</v>
      </c>
      <c r="B9956" t="s">
        <v>898</v>
      </c>
      <c r="C9956" s="10">
        <v>6.6</v>
      </c>
      <c r="D9956" s="10">
        <v>0.5</v>
      </c>
      <c r="E9956" s="16">
        <v>8.1999999999999993</v>
      </c>
      <c r="F9956">
        <v>114870</v>
      </c>
      <c r="G9956" s="5">
        <v>43119</v>
      </c>
    </row>
    <row r="9957" spans="1:7" x14ac:dyDescent="0.4">
      <c r="A9957">
        <v>56</v>
      </c>
      <c r="B9957" t="s">
        <v>1015</v>
      </c>
      <c r="C9957" s="10">
        <v>29.18</v>
      </c>
      <c r="D9957" s="10">
        <v>2.1800000000000002</v>
      </c>
      <c r="E9957" s="16">
        <v>8.07</v>
      </c>
      <c r="F9957">
        <v>6201405</v>
      </c>
      <c r="G9957" s="5">
        <v>43119</v>
      </c>
    </row>
    <row r="9958" spans="1:7" x14ac:dyDescent="0.4">
      <c r="A9958">
        <v>57</v>
      </c>
      <c r="B9958" t="s">
        <v>2112</v>
      </c>
      <c r="C9958" s="10">
        <v>2.29</v>
      </c>
      <c r="D9958" s="10">
        <v>0.17</v>
      </c>
      <c r="E9958" s="16">
        <v>8.02</v>
      </c>
      <c r="F9958">
        <v>1004676</v>
      </c>
      <c r="G9958" s="5">
        <v>43119</v>
      </c>
    </row>
    <row r="9959" spans="1:7" x14ac:dyDescent="0.4">
      <c r="A9959">
        <v>58</v>
      </c>
      <c r="B9959" t="s">
        <v>749</v>
      </c>
      <c r="C9959" s="10">
        <v>2.71</v>
      </c>
      <c r="D9959" s="10">
        <v>0.2</v>
      </c>
      <c r="E9959" s="16">
        <v>7.97</v>
      </c>
      <c r="F9959">
        <v>490944</v>
      </c>
      <c r="G9959" s="5">
        <v>43119</v>
      </c>
    </row>
    <row r="9960" spans="1:7" x14ac:dyDescent="0.4">
      <c r="A9960">
        <v>59</v>
      </c>
      <c r="B9960" t="s">
        <v>370</v>
      </c>
      <c r="C9960" s="10">
        <v>11.11</v>
      </c>
      <c r="D9960" s="10">
        <v>0.81</v>
      </c>
      <c r="E9960" s="16">
        <v>7.86</v>
      </c>
      <c r="F9960">
        <v>214192</v>
      </c>
      <c r="G9960" s="5">
        <v>43119</v>
      </c>
    </row>
    <row r="9961" spans="1:7" x14ac:dyDescent="0.4">
      <c r="A9961">
        <v>60</v>
      </c>
      <c r="B9961" t="s">
        <v>228</v>
      </c>
      <c r="C9961" s="10">
        <v>19.760000000000002</v>
      </c>
      <c r="D9961" s="10">
        <v>1.44</v>
      </c>
      <c r="E9961" s="16">
        <v>7.86</v>
      </c>
      <c r="F9961">
        <v>525005</v>
      </c>
      <c r="G9961" s="5">
        <v>43119</v>
      </c>
    </row>
    <row r="9962" spans="1:7" x14ac:dyDescent="0.4">
      <c r="A9962">
        <v>61</v>
      </c>
      <c r="B9962" t="s">
        <v>859</v>
      </c>
      <c r="C9962" s="10">
        <v>31.24</v>
      </c>
      <c r="D9962" s="10">
        <v>2.27</v>
      </c>
      <c r="E9962" s="16">
        <v>7.84</v>
      </c>
      <c r="F9962">
        <v>774369</v>
      </c>
      <c r="G9962" s="5">
        <v>43119</v>
      </c>
    </row>
    <row r="9963" spans="1:7" x14ac:dyDescent="0.4">
      <c r="A9963">
        <v>62</v>
      </c>
      <c r="B9963" t="s">
        <v>1112</v>
      </c>
      <c r="C9963" s="10">
        <v>7.77</v>
      </c>
      <c r="D9963" s="10">
        <v>0.56000000000000005</v>
      </c>
      <c r="E9963" s="16">
        <v>7.77</v>
      </c>
      <c r="F9963">
        <v>3648379</v>
      </c>
      <c r="G9963" s="5">
        <v>43119</v>
      </c>
    </row>
    <row r="9964" spans="1:7" x14ac:dyDescent="0.4">
      <c r="A9964">
        <v>63</v>
      </c>
      <c r="B9964" t="s">
        <v>1686</v>
      </c>
      <c r="C9964" s="10">
        <v>4.9000000000000004</v>
      </c>
      <c r="D9964" s="10">
        <v>0.35</v>
      </c>
      <c r="E9964" s="16">
        <v>7.69</v>
      </c>
      <c r="F9964">
        <v>162430</v>
      </c>
      <c r="G9964" s="5">
        <v>43119</v>
      </c>
    </row>
    <row r="9965" spans="1:7" x14ac:dyDescent="0.4">
      <c r="A9965">
        <v>64</v>
      </c>
      <c r="B9965" t="s">
        <v>2115</v>
      </c>
      <c r="C9965" s="10">
        <v>46.9</v>
      </c>
      <c r="D9965" s="10">
        <v>3.35</v>
      </c>
      <c r="E9965" s="16">
        <v>7.69</v>
      </c>
      <c r="F9965">
        <v>1226946</v>
      </c>
      <c r="G9965" s="5">
        <v>43119</v>
      </c>
    </row>
    <row r="9966" spans="1:7" x14ac:dyDescent="0.4">
      <c r="A9966">
        <v>65</v>
      </c>
      <c r="B9966" t="s">
        <v>694</v>
      </c>
      <c r="C9966" s="10">
        <v>3.5</v>
      </c>
      <c r="D9966" s="10">
        <v>0.25</v>
      </c>
      <c r="E9966" s="16">
        <v>7.69</v>
      </c>
      <c r="F9966">
        <v>149382</v>
      </c>
      <c r="G9966" s="5">
        <v>43119</v>
      </c>
    </row>
    <row r="9967" spans="1:7" x14ac:dyDescent="0.4">
      <c r="A9967">
        <v>66</v>
      </c>
      <c r="B9967" t="s">
        <v>2161</v>
      </c>
      <c r="C9967" s="10">
        <v>23.85</v>
      </c>
      <c r="D9967" s="10">
        <v>1.7</v>
      </c>
      <c r="E9967" s="16">
        <v>7.67</v>
      </c>
      <c r="F9967">
        <v>1930809</v>
      </c>
      <c r="G9967" s="5">
        <v>43119</v>
      </c>
    </row>
    <row r="9968" spans="1:7" x14ac:dyDescent="0.4">
      <c r="A9968">
        <v>67</v>
      </c>
      <c r="B9968" t="s">
        <v>404</v>
      </c>
      <c r="C9968" s="10">
        <v>5.85</v>
      </c>
      <c r="D9968" s="10">
        <v>0.41</v>
      </c>
      <c r="E9968" s="16">
        <v>7.54</v>
      </c>
      <c r="F9968">
        <v>389180</v>
      </c>
      <c r="G9968" s="5">
        <v>43119</v>
      </c>
    </row>
    <row r="9969" spans="1:7" x14ac:dyDescent="0.4">
      <c r="A9969">
        <v>68</v>
      </c>
      <c r="B9969" t="s">
        <v>966</v>
      </c>
      <c r="C9969" s="10">
        <v>4.88</v>
      </c>
      <c r="D9969" s="10">
        <v>0.34</v>
      </c>
      <c r="E9969" s="16">
        <v>7.49</v>
      </c>
      <c r="F9969">
        <v>2510528</v>
      </c>
      <c r="G9969" s="5">
        <v>43119</v>
      </c>
    </row>
    <row r="9970" spans="1:7" x14ac:dyDescent="0.4">
      <c r="A9970">
        <v>69</v>
      </c>
      <c r="B9970" t="s">
        <v>893</v>
      </c>
      <c r="C9970" s="10">
        <v>5.05</v>
      </c>
      <c r="D9970" s="10">
        <v>0.35</v>
      </c>
      <c r="E9970" s="16">
        <v>7.45</v>
      </c>
      <c r="F9970">
        <v>43051</v>
      </c>
      <c r="G9970" s="5">
        <v>43119</v>
      </c>
    </row>
    <row r="9971" spans="1:7" x14ac:dyDescent="0.4">
      <c r="A9971">
        <v>70</v>
      </c>
      <c r="B9971" t="s">
        <v>2053</v>
      </c>
      <c r="C9971" s="10">
        <v>15.2</v>
      </c>
      <c r="D9971" s="10">
        <v>1.05</v>
      </c>
      <c r="E9971" s="16">
        <v>7.42</v>
      </c>
      <c r="F9971">
        <v>160949</v>
      </c>
      <c r="G9971" s="5">
        <v>43119</v>
      </c>
    </row>
    <row r="9972" spans="1:7" x14ac:dyDescent="0.4">
      <c r="A9972">
        <v>71</v>
      </c>
      <c r="B9972" t="s">
        <v>388</v>
      </c>
      <c r="C9972" s="10">
        <v>12.4</v>
      </c>
      <c r="D9972" s="10">
        <v>0.85</v>
      </c>
      <c r="E9972" s="16">
        <v>7.36</v>
      </c>
      <c r="F9972">
        <v>138962</v>
      </c>
      <c r="G9972" s="5">
        <v>43119</v>
      </c>
    </row>
    <row r="9973" spans="1:7" x14ac:dyDescent="0.4">
      <c r="A9973">
        <v>72</v>
      </c>
      <c r="B9973" t="s">
        <v>315</v>
      </c>
      <c r="C9973" s="10">
        <v>3.96</v>
      </c>
      <c r="D9973" s="10">
        <v>0.27</v>
      </c>
      <c r="E9973" s="16">
        <v>7.32</v>
      </c>
      <c r="F9973">
        <v>79571</v>
      </c>
      <c r="G9973" s="5">
        <v>43119</v>
      </c>
    </row>
    <row r="9974" spans="1:7" x14ac:dyDescent="0.4">
      <c r="A9974">
        <v>73</v>
      </c>
      <c r="B9974" t="s">
        <v>1085</v>
      </c>
      <c r="C9974" s="10">
        <v>2.95</v>
      </c>
      <c r="D9974" s="10">
        <v>0.2</v>
      </c>
      <c r="E9974" s="16">
        <v>7.27</v>
      </c>
      <c r="F9974">
        <v>160983</v>
      </c>
      <c r="G9974" s="5">
        <v>43119</v>
      </c>
    </row>
    <row r="9975" spans="1:7" x14ac:dyDescent="0.4">
      <c r="A9975">
        <v>74</v>
      </c>
      <c r="B9975" t="s">
        <v>544</v>
      </c>
      <c r="C9975" s="10">
        <v>29.5</v>
      </c>
      <c r="D9975" s="10">
        <v>2</v>
      </c>
      <c r="E9975" s="16">
        <v>7.27</v>
      </c>
      <c r="F9975">
        <v>1213919</v>
      </c>
      <c r="G9975" s="5">
        <v>43119</v>
      </c>
    </row>
    <row r="9976" spans="1:7" x14ac:dyDescent="0.4">
      <c r="A9976">
        <v>75</v>
      </c>
      <c r="B9976" t="s">
        <v>504</v>
      </c>
      <c r="C9976" s="10">
        <v>7.45</v>
      </c>
      <c r="D9976" s="10">
        <v>0.5</v>
      </c>
      <c r="E9976" s="16">
        <v>7.19</v>
      </c>
      <c r="F9976">
        <v>152175</v>
      </c>
      <c r="G9976" s="5">
        <v>43119</v>
      </c>
    </row>
    <row r="9977" spans="1:7" x14ac:dyDescent="0.4">
      <c r="A9977">
        <v>76</v>
      </c>
      <c r="B9977" t="s">
        <v>1363</v>
      </c>
      <c r="C9977" s="10">
        <v>96.83</v>
      </c>
      <c r="D9977" s="10">
        <v>6.36</v>
      </c>
      <c r="E9977" s="16">
        <v>7.03</v>
      </c>
      <c r="F9977">
        <v>469356</v>
      </c>
      <c r="G9977" s="5">
        <v>43119</v>
      </c>
    </row>
    <row r="9978" spans="1:7" x14ac:dyDescent="0.4">
      <c r="A9978">
        <v>77</v>
      </c>
      <c r="B9978" t="s">
        <v>290</v>
      </c>
      <c r="C9978" s="10">
        <v>3.29</v>
      </c>
      <c r="D9978" s="10">
        <v>0.21</v>
      </c>
      <c r="E9978" s="16">
        <v>6.99</v>
      </c>
      <c r="F9978">
        <v>14912</v>
      </c>
      <c r="G9978" s="5">
        <v>43119</v>
      </c>
    </row>
    <row r="9979" spans="1:7" x14ac:dyDescent="0.4">
      <c r="A9979">
        <v>78</v>
      </c>
      <c r="B9979" t="s">
        <v>2162</v>
      </c>
      <c r="C9979" s="10">
        <v>4.76</v>
      </c>
      <c r="D9979" s="10">
        <v>0.31</v>
      </c>
      <c r="E9979" s="16">
        <v>6.97</v>
      </c>
      <c r="F9979">
        <v>101095</v>
      </c>
      <c r="G9979" s="5">
        <v>43119</v>
      </c>
    </row>
    <row r="9980" spans="1:7" x14ac:dyDescent="0.4">
      <c r="A9980">
        <v>79</v>
      </c>
      <c r="B9980" t="s">
        <v>75</v>
      </c>
      <c r="C9980" s="10">
        <v>35.03</v>
      </c>
      <c r="D9980" s="10">
        <v>2.2400000000000002</v>
      </c>
      <c r="E9980" s="16">
        <v>6.83</v>
      </c>
      <c r="F9980">
        <v>2499409</v>
      </c>
      <c r="G9980" s="5">
        <v>43119</v>
      </c>
    </row>
    <row r="9981" spans="1:7" x14ac:dyDescent="0.4">
      <c r="A9981">
        <v>80</v>
      </c>
      <c r="B9981" t="s">
        <v>760</v>
      </c>
      <c r="C9981" s="10">
        <v>3.3</v>
      </c>
      <c r="D9981" s="10">
        <v>0.21</v>
      </c>
      <c r="E9981" s="16">
        <v>6.8</v>
      </c>
      <c r="F9981">
        <v>91303</v>
      </c>
      <c r="G9981" s="5">
        <v>43119</v>
      </c>
    </row>
    <row r="9982" spans="1:7" x14ac:dyDescent="0.4">
      <c r="A9982">
        <v>81</v>
      </c>
      <c r="B9982" t="s">
        <v>368</v>
      </c>
      <c r="C9982" s="10">
        <v>2.52</v>
      </c>
      <c r="D9982" s="10">
        <v>0.16</v>
      </c>
      <c r="E9982" s="16">
        <v>6.78</v>
      </c>
      <c r="F9982">
        <v>60331</v>
      </c>
      <c r="G9982" s="5">
        <v>43119</v>
      </c>
    </row>
    <row r="9983" spans="1:7" x14ac:dyDescent="0.4">
      <c r="A9983">
        <v>82</v>
      </c>
      <c r="B9983" t="s">
        <v>931</v>
      </c>
      <c r="C9983" s="10">
        <v>32.01</v>
      </c>
      <c r="D9983" s="10">
        <v>2.0299999999999998</v>
      </c>
      <c r="E9983" s="16">
        <v>6.77</v>
      </c>
      <c r="F9983">
        <v>854760</v>
      </c>
      <c r="G9983" s="5">
        <v>43119</v>
      </c>
    </row>
    <row r="9984" spans="1:7" x14ac:dyDescent="0.4">
      <c r="A9984">
        <v>83</v>
      </c>
      <c r="B9984" t="s">
        <v>804</v>
      </c>
      <c r="C9984" s="10">
        <v>3.81</v>
      </c>
      <c r="D9984" s="10">
        <v>0.24</v>
      </c>
      <c r="E9984" s="16">
        <v>6.72</v>
      </c>
      <c r="F9984">
        <v>160077</v>
      </c>
      <c r="G9984" s="5">
        <v>43119</v>
      </c>
    </row>
    <row r="9985" spans="1:7" x14ac:dyDescent="0.4">
      <c r="A9985">
        <v>84</v>
      </c>
      <c r="B9985" t="s">
        <v>2163</v>
      </c>
      <c r="C9985" s="10">
        <v>15.54</v>
      </c>
      <c r="D9985" s="10">
        <v>0.97</v>
      </c>
      <c r="E9985" s="16">
        <v>6.66</v>
      </c>
      <c r="F9985">
        <v>157263</v>
      </c>
      <c r="G9985" s="5">
        <v>43119</v>
      </c>
    </row>
    <row r="9986" spans="1:7" x14ac:dyDescent="0.4">
      <c r="A9986">
        <v>85</v>
      </c>
      <c r="B9986" t="s">
        <v>1533</v>
      </c>
      <c r="C9986" s="10">
        <v>23.92</v>
      </c>
      <c r="D9986" s="10">
        <v>1.49</v>
      </c>
      <c r="E9986" s="16">
        <v>6.64</v>
      </c>
      <c r="F9986">
        <v>5750781</v>
      </c>
      <c r="G9986" s="5">
        <v>43119</v>
      </c>
    </row>
    <row r="9987" spans="1:7" x14ac:dyDescent="0.4">
      <c r="A9987">
        <v>86</v>
      </c>
      <c r="B9987" t="s">
        <v>346</v>
      </c>
      <c r="C9987" s="10">
        <v>7.14</v>
      </c>
      <c r="D9987" s="10">
        <v>0.44</v>
      </c>
      <c r="E9987" s="16">
        <v>6.57</v>
      </c>
      <c r="F9987">
        <v>94341</v>
      </c>
      <c r="G9987" s="5">
        <v>43119</v>
      </c>
    </row>
    <row r="9988" spans="1:7" x14ac:dyDescent="0.4">
      <c r="A9988">
        <v>87</v>
      </c>
      <c r="B9988" t="s">
        <v>2107</v>
      </c>
      <c r="C9988" s="10">
        <v>25.25</v>
      </c>
      <c r="D9988" s="10">
        <v>1.53</v>
      </c>
      <c r="E9988" s="16">
        <v>6.43</v>
      </c>
      <c r="F9988">
        <v>6927</v>
      </c>
      <c r="G9988" s="5">
        <v>43119</v>
      </c>
    </row>
    <row r="9989" spans="1:7" x14ac:dyDescent="0.4">
      <c r="A9989">
        <v>88</v>
      </c>
      <c r="B9989" t="s">
        <v>905</v>
      </c>
      <c r="C9989" s="10">
        <v>36.020000000000003</v>
      </c>
      <c r="D9989" s="10">
        <v>2.17</v>
      </c>
      <c r="E9989" s="16">
        <v>6.41</v>
      </c>
      <c r="F9989">
        <v>538959</v>
      </c>
      <c r="G9989" s="5">
        <v>43119</v>
      </c>
    </row>
    <row r="9990" spans="1:7" x14ac:dyDescent="0.4">
      <c r="A9990">
        <v>89</v>
      </c>
      <c r="B9990" t="s">
        <v>697</v>
      </c>
      <c r="C9990" s="10">
        <v>2.99</v>
      </c>
      <c r="D9990" s="10">
        <v>0.18</v>
      </c>
      <c r="E9990" s="16">
        <v>6.41</v>
      </c>
      <c r="F9990">
        <v>29050</v>
      </c>
      <c r="G9990" s="5">
        <v>43119</v>
      </c>
    </row>
    <row r="9991" spans="1:7" x14ac:dyDescent="0.4">
      <c r="A9991">
        <v>90</v>
      </c>
      <c r="B9991" t="s">
        <v>389</v>
      </c>
      <c r="C9991" s="10">
        <v>11.23</v>
      </c>
      <c r="D9991" s="10">
        <v>0.67</v>
      </c>
      <c r="E9991" s="16">
        <v>6.34</v>
      </c>
      <c r="F9991">
        <v>92017</v>
      </c>
      <c r="G9991" s="5">
        <v>43119</v>
      </c>
    </row>
    <row r="9992" spans="1:7" x14ac:dyDescent="0.4">
      <c r="A9992">
        <v>91</v>
      </c>
      <c r="B9992" t="s">
        <v>1550</v>
      </c>
      <c r="C9992" s="10">
        <v>2.85</v>
      </c>
      <c r="D9992" s="10">
        <v>0.17</v>
      </c>
      <c r="E9992" s="16">
        <v>6.34</v>
      </c>
      <c r="F9992">
        <v>570507</v>
      </c>
      <c r="G9992" s="5">
        <v>43119</v>
      </c>
    </row>
    <row r="9993" spans="1:7" x14ac:dyDescent="0.4">
      <c r="A9993">
        <v>92</v>
      </c>
      <c r="B9993" t="s">
        <v>1024</v>
      </c>
      <c r="C9993" s="10">
        <v>23.75</v>
      </c>
      <c r="D9993" s="10">
        <v>1.41</v>
      </c>
      <c r="E9993" s="16">
        <v>6.31</v>
      </c>
      <c r="F9993">
        <v>14891</v>
      </c>
      <c r="G9993" s="5">
        <v>43119</v>
      </c>
    </row>
    <row r="9994" spans="1:7" x14ac:dyDescent="0.4">
      <c r="A9994">
        <v>93</v>
      </c>
      <c r="B9994" t="s">
        <v>2164</v>
      </c>
      <c r="C9994" s="10">
        <v>64.95</v>
      </c>
      <c r="D9994" s="10">
        <v>3.85</v>
      </c>
      <c r="E9994" s="16">
        <v>6.3</v>
      </c>
      <c r="F9994">
        <v>518664</v>
      </c>
      <c r="G9994" s="5">
        <v>43119</v>
      </c>
    </row>
    <row r="9995" spans="1:7" x14ac:dyDescent="0.4">
      <c r="A9995">
        <v>94</v>
      </c>
      <c r="B9995" t="s">
        <v>1782</v>
      </c>
      <c r="C9995" s="10">
        <v>2.38</v>
      </c>
      <c r="D9995" s="10">
        <v>0.14000000000000001</v>
      </c>
      <c r="E9995" s="16">
        <v>6.25</v>
      </c>
      <c r="F9995">
        <v>100814</v>
      </c>
      <c r="G9995" s="5">
        <v>43119</v>
      </c>
    </row>
    <row r="9996" spans="1:7" x14ac:dyDescent="0.4">
      <c r="A9996">
        <v>95</v>
      </c>
      <c r="B9996" t="s">
        <v>1056</v>
      </c>
      <c r="C9996" s="10">
        <v>5.46</v>
      </c>
      <c r="D9996" s="10">
        <v>0.32</v>
      </c>
      <c r="E9996" s="16">
        <v>6.23</v>
      </c>
      <c r="F9996">
        <v>25973</v>
      </c>
      <c r="G9996" s="5">
        <v>43119</v>
      </c>
    </row>
    <row r="9997" spans="1:7" x14ac:dyDescent="0.4">
      <c r="A9997">
        <v>96</v>
      </c>
      <c r="B9997" t="s">
        <v>484</v>
      </c>
      <c r="C9997" s="10">
        <v>8.6</v>
      </c>
      <c r="D9997" s="10">
        <v>0.5</v>
      </c>
      <c r="E9997" s="16">
        <v>6.17</v>
      </c>
      <c r="F9997">
        <v>57963</v>
      </c>
      <c r="G9997" s="5">
        <v>43119</v>
      </c>
    </row>
    <row r="9998" spans="1:7" x14ac:dyDescent="0.4">
      <c r="A9998">
        <v>97</v>
      </c>
      <c r="B9998" t="s">
        <v>169</v>
      </c>
      <c r="C9998" s="10">
        <v>10.17</v>
      </c>
      <c r="D9998" s="10">
        <v>0.59</v>
      </c>
      <c r="E9998" s="16">
        <v>6.16</v>
      </c>
      <c r="F9998">
        <v>760476</v>
      </c>
      <c r="G9998" s="5">
        <v>43119</v>
      </c>
    </row>
    <row r="9999" spans="1:7" x14ac:dyDescent="0.4">
      <c r="A9999">
        <v>98</v>
      </c>
      <c r="B9999" t="s">
        <v>2165</v>
      </c>
      <c r="C9999" s="10">
        <v>10.59</v>
      </c>
      <c r="D9999" s="10">
        <v>0.61</v>
      </c>
      <c r="E9999" s="16">
        <v>6.1</v>
      </c>
      <c r="F9999">
        <v>3692</v>
      </c>
      <c r="G9999" s="5">
        <v>43119</v>
      </c>
    </row>
    <row r="10000" spans="1:7" x14ac:dyDescent="0.4">
      <c r="A10000">
        <v>99</v>
      </c>
      <c r="B10000" t="s">
        <v>481</v>
      </c>
      <c r="C10000" s="10">
        <v>18</v>
      </c>
      <c r="D10000" s="10">
        <v>1.03</v>
      </c>
      <c r="E10000" s="16">
        <v>6.1</v>
      </c>
      <c r="F10000">
        <v>25079</v>
      </c>
      <c r="G10000" s="5">
        <v>43119</v>
      </c>
    </row>
    <row r="10001" spans="1:7" x14ac:dyDescent="0.4">
      <c r="A10001">
        <v>100</v>
      </c>
      <c r="B10001" t="s">
        <v>2166</v>
      </c>
      <c r="C10001" s="10">
        <v>22.8</v>
      </c>
      <c r="D10001" s="10">
        <v>1.3</v>
      </c>
      <c r="E10001" s="16">
        <v>6.05</v>
      </c>
      <c r="F10001">
        <v>543021</v>
      </c>
      <c r="G10001" s="5">
        <v>43119</v>
      </c>
    </row>
  </sheetData>
  <autoFilter ref="A1:G10001">
    <filterColumn colId="6">
      <customFilters>
        <customFilter operator="notEqual" val=" "/>
      </customFilters>
    </filterColumn>
    <sortState ref="A2:G2101">
      <sortCondition ref="G1:G2101"/>
    </sortState>
  </autoFilter>
  <sortState ref="K29:K39">
    <sortCondition ref="K29"/>
  </sortState>
  <dataConsolidate/>
  <mergeCells count="1">
    <mergeCell ref="K2:L2"/>
  </mergeCells>
  <hyperlinks>
    <hyperlink ref="L17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btn_Update_Click">
                <anchor moveWithCells="1" sizeWithCells="1">
                  <from>
                    <xdr:col>10</xdr:col>
                    <xdr:colOff>419100</xdr:colOff>
                    <xdr:row>20</xdr:row>
                    <xdr:rowOff>65314</xdr:rowOff>
                  </from>
                  <to>
                    <xdr:col>12</xdr:col>
                    <xdr:colOff>353786</xdr:colOff>
                    <xdr:row>21</xdr:row>
                    <xdr:rowOff>103414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filterMode="1"/>
  <dimension ref="A3:G828"/>
  <sheetViews>
    <sheetView workbookViewId="0">
      <selection activeCell="B835" sqref="B835"/>
    </sheetView>
  </sheetViews>
  <sheetFormatPr defaultRowHeight="14.6" x14ac:dyDescent="0.4"/>
  <cols>
    <col min="1" max="1" width="124.3828125" customWidth="1"/>
    <col min="2" max="2" width="16.84375" customWidth="1"/>
    <col min="3" max="3" width="15.23046875" bestFit="1" customWidth="1"/>
    <col min="4" max="4" width="10.07421875" bestFit="1" customWidth="1"/>
    <col min="5" max="5" width="12.3828125" bestFit="1" customWidth="1"/>
    <col min="6" max="6" width="20.921875" bestFit="1" customWidth="1"/>
    <col min="7" max="7" width="10.07421875" bestFit="1" customWidth="1"/>
    <col min="8" max="8" width="10.69140625" bestFit="1" customWidth="1"/>
  </cols>
  <sheetData>
    <row r="3" spans="1:7" x14ac:dyDescent="0.4">
      <c r="A3" s="11" t="s">
        <v>6</v>
      </c>
      <c r="B3" t="s">
        <v>8</v>
      </c>
    </row>
    <row r="4" spans="1:7" x14ac:dyDescent="0.4">
      <c r="A4" s="12" t="s">
        <v>22</v>
      </c>
      <c r="B4" s="13">
        <v>7</v>
      </c>
      <c r="E4" s="11" t="s">
        <v>6</v>
      </c>
      <c r="F4" t="s">
        <v>9</v>
      </c>
    </row>
    <row r="5" spans="1:7" x14ac:dyDescent="0.4">
      <c r="A5" s="12" t="s">
        <v>38</v>
      </c>
      <c r="B5" s="13">
        <v>7</v>
      </c>
      <c r="E5" s="12">
        <v>1</v>
      </c>
      <c r="F5" s="13">
        <v>278</v>
      </c>
      <c r="G5">
        <f>GETPIVOTDATA("Count of Symbol",$E$4,"Count of Symbol",1)/GETPIVOTDATA("Count of Symbol",$E$4)</f>
        <v>0.37066666666666664</v>
      </c>
    </row>
    <row r="6" spans="1:7" x14ac:dyDescent="0.4">
      <c r="A6" s="12" t="s">
        <v>266</v>
      </c>
      <c r="B6" s="13">
        <v>6</v>
      </c>
      <c r="E6" s="12">
        <v>2</v>
      </c>
      <c r="F6" s="13">
        <v>222</v>
      </c>
      <c r="G6">
        <f>GETPIVOTDATA("Count of Symbol",$E$4,"Count of Symbol",2)/GETPIVOTDATA("Count of Symbol",E$4)</f>
        <v>0.29599999999999999</v>
      </c>
    </row>
    <row r="7" spans="1:7" x14ac:dyDescent="0.4">
      <c r="A7" s="12" t="s">
        <v>351</v>
      </c>
      <c r="B7" s="13">
        <v>5</v>
      </c>
      <c r="E7" s="12">
        <v>3</v>
      </c>
      <c r="F7" s="13">
        <v>150</v>
      </c>
      <c r="G7">
        <f>GETPIVOTDATA("Count of Symbol",$E$4,"Count of Symbol",3)/GETPIVOTDATA("Count of Symbol",$E$4)</f>
        <v>0.2</v>
      </c>
    </row>
    <row r="8" spans="1:7" x14ac:dyDescent="0.4">
      <c r="A8" s="12" t="s">
        <v>154</v>
      </c>
      <c r="B8" s="13">
        <v>5</v>
      </c>
      <c r="E8" s="12">
        <v>4</v>
      </c>
      <c r="F8" s="13">
        <v>60</v>
      </c>
      <c r="G8">
        <f>GETPIVOTDATA("Count of Symbol",$E$4,"Count of Symbol",4)/GETPIVOTDATA("Count of Symbol",$E$4)</f>
        <v>0.08</v>
      </c>
    </row>
    <row r="9" spans="1:7" x14ac:dyDescent="0.4">
      <c r="A9" s="12" t="s">
        <v>207</v>
      </c>
      <c r="B9" s="13">
        <v>5</v>
      </c>
      <c r="E9" s="12">
        <v>5</v>
      </c>
      <c r="F9" s="13">
        <v>10</v>
      </c>
      <c r="G9">
        <f>GETPIVOTDATA("Count of Symbol",$E$4,"Count of Symbol",5)/GETPIVOTDATA("Count of Symbol",$E$4)</f>
        <v>1.3333333333333334E-2</v>
      </c>
    </row>
    <row r="10" spans="1:7" x14ac:dyDescent="0.4">
      <c r="A10" s="12" t="s">
        <v>29</v>
      </c>
      <c r="B10" s="13">
        <v>5</v>
      </c>
      <c r="E10" s="12">
        <v>6</v>
      </c>
      <c r="F10" s="13">
        <v>30</v>
      </c>
      <c r="G10">
        <f>GETPIVOTDATA("Count of Symbol",$E$4,"Count of Symbol",6)/GETPIVOTDATA("Count of Symbol",$E$4)</f>
        <v>0.04</v>
      </c>
    </row>
    <row r="11" spans="1:7" x14ac:dyDescent="0.4">
      <c r="A11" s="12" t="s">
        <v>155</v>
      </c>
      <c r="B11" s="13">
        <v>5</v>
      </c>
      <c r="E11" s="12" t="s">
        <v>7</v>
      </c>
      <c r="F11" s="13">
        <v>750</v>
      </c>
      <c r="G11">
        <f>GETPIVOTDATA("Count of Symbol",$E$4)/GETPIVOTDATA("Count of Symbol",$E$4)</f>
        <v>1</v>
      </c>
    </row>
    <row r="12" spans="1:7" x14ac:dyDescent="0.4">
      <c r="A12" s="12" t="s">
        <v>318</v>
      </c>
      <c r="B12" s="13">
        <v>4</v>
      </c>
    </row>
    <row r="13" spans="1:7" x14ac:dyDescent="0.4">
      <c r="A13" s="12" t="s">
        <v>467</v>
      </c>
      <c r="B13" s="13">
        <v>4</v>
      </c>
    </row>
    <row r="14" spans="1:7" x14ac:dyDescent="0.4">
      <c r="A14" s="12" t="s">
        <v>462</v>
      </c>
      <c r="B14" s="13">
        <v>4</v>
      </c>
    </row>
    <row r="15" spans="1:7" x14ac:dyDescent="0.4">
      <c r="A15" s="12" t="s">
        <v>336</v>
      </c>
      <c r="B15" s="13">
        <v>4</v>
      </c>
    </row>
    <row r="16" spans="1:7" x14ac:dyDescent="0.4">
      <c r="A16" s="12" t="s">
        <v>440</v>
      </c>
      <c r="B16" s="13">
        <v>4</v>
      </c>
    </row>
    <row r="17" spans="1:2" x14ac:dyDescent="0.4">
      <c r="A17" s="12" t="s">
        <v>441</v>
      </c>
      <c r="B17" s="13">
        <v>4</v>
      </c>
    </row>
    <row r="18" spans="1:2" x14ac:dyDescent="0.4">
      <c r="A18" s="12" t="s">
        <v>442</v>
      </c>
      <c r="B18" s="13">
        <v>4</v>
      </c>
    </row>
    <row r="19" spans="1:2" x14ac:dyDescent="0.4">
      <c r="A19" s="12" t="s">
        <v>458</v>
      </c>
      <c r="B19" s="13">
        <v>4</v>
      </c>
    </row>
    <row r="20" spans="1:2" x14ac:dyDescent="0.4">
      <c r="A20" s="12" t="s">
        <v>358</v>
      </c>
      <c r="B20" s="13">
        <v>4</v>
      </c>
    </row>
    <row r="21" spans="1:2" x14ac:dyDescent="0.4">
      <c r="A21" s="12" t="s">
        <v>465</v>
      </c>
      <c r="B21" s="13">
        <v>4</v>
      </c>
    </row>
    <row r="22" spans="1:2" x14ac:dyDescent="0.4">
      <c r="A22" s="12" t="s">
        <v>400</v>
      </c>
      <c r="B22" s="13">
        <v>4</v>
      </c>
    </row>
    <row r="23" spans="1:2" x14ac:dyDescent="0.4">
      <c r="A23" s="12" t="s">
        <v>491</v>
      </c>
      <c r="B23" s="13">
        <v>4</v>
      </c>
    </row>
    <row r="24" spans="1:2" x14ac:dyDescent="0.4">
      <c r="A24" s="12" t="s">
        <v>429</v>
      </c>
      <c r="B24" s="13">
        <v>4</v>
      </c>
    </row>
    <row r="25" spans="1:2" x14ac:dyDescent="0.4">
      <c r="A25" s="12" t="s">
        <v>430</v>
      </c>
      <c r="B25" s="13">
        <v>4</v>
      </c>
    </row>
    <row r="26" spans="1:2" x14ac:dyDescent="0.4">
      <c r="A26" s="12" t="s">
        <v>150</v>
      </c>
      <c r="B26" s="13">
        <v>4</v>
      </c>
    </row>
    <row r="27" spans="1:2" x14ac:dyDescent="0.4">
      <c r="A27" s="12" t="s">
        <v>212</v>
      </c>
      <c r="B27" s="13">
        <v>4</v>
      </c>
    </row>
    <row r="28" spans="1:2" x14ac:dyDescent="0.4">
      <c r="A28" s="12" t="s">
        <v>169</v>
      </c>
      <c r="B28" s="13">
        <v>4</v>
      </c>
    </row>
    <row r="29" spans="1:2" x14ac:dyDescent="0.4">
      <c r="A29" s="12" t="s">
        <v>69</v>
      </c>
      <c r="B29" s="13">
        <v>4</v>
      </c>
    </row>
    <row r="30" spans="1:2" x14ac:dyDescent="0.4">
      <c r="A30" s="12" t="s">
        <v>119</v>
      </c>
      <c r="B30" s="13">
        <v>4</v>
      </c>
    </row>
    <row r="31" spans="1:2" x14ac:dyDescent="0.4">
      <c r="A31" s="12" t="s">
        <v>122</v>
      </c>
      <c r="B31" s="13">
        <v>4</v>
      </c>
    </row>
    <row r="32" spans="1:2" hidden="1" x14ac:dyDescent="0.4">
      <c r="A32" s="12" t="s">
        <v>659</v>
      </c>
      <c r="B32" s="13">
        <v>3</v>
      </c>
    </row>
    <row r="33" spans="1:2" hidden="1" x14ac:dyDescent="0.4">
      <c r="A33" s="12" t="s">
        <v>683</v>
      </c>
      <c r="B33" s="13">
        <v>3</v>
      </c>
    </row>
    <row r="34" spans="1:2" hidden="1" x14ac:dyDescent="0.4">
      <c r="A34" s="12" t="s">
        <v>674</v>
      </c>
      <c r="B34" s="13">
        <v>3</v>
      </c>
    </row>
    <row r="35" spans="1:2" hidden="1" x14ac:dyDescent="0.4">
      <c r="A35" s="12" t="s">
        <v>603</v>
      </c>
      <c r="B35" s="13">
        <v>3</v>
      </c>
    </row>
    <row r="36" spans="1:2" hidden="1" x14ac:dyDescent="0.4">
      <c r="A36" s="12" t="s">
        <v>656</v>
      </c>
      <c r="B36" s="13">
        <v>3</v>
      </c>
    </row>
    <row r="37" spans="1:2" hidden="1" x14ac:dyDescent="0.4">
      <c r="A37" s="12" t="s">
        <v>641</v>
      </c>
      <c r="B37" s="13">
        <v>3</v>
      </c>
    </row>
    <row r="38" spans="1:2" hidden="1" x14ac:dyDescent="0.4">
      <c r="A38" s="12" t="s">
        <v>660</v>
      </c>
      <c r="B38" s="13">
        <v>3</v>
      </c>
    </row>
    <row r="39" spans="1:2" hidden="1" x14ac:dyDescent="0.4">
      <c r="A39" s="12" t="s">
        <v>644</v>
      </c>
      <c r="B39" s="13">
        <v>3</v>
      </c>
    </row>
    <row r="40" spans="1:2" hidden="1" x14ac:dyDescent="0.4">
      <c r="A40" s="12" t="s">
        <v>676</v>
      </c>
      <c r="B40" s="13">
        <v>3</v>
      </c>
    </row>
    <row r="41" spans="1:2" hidden="1" x14ac:dyDescent="0.4">
      <c r="A41" s="12" t="s">
        <v>645</v>
      </c>
      <c r="B41" s="13">
        <v>3</v>
      </c>
    </row>
    <row r="42" spans="1:2" hidden="1" x14ac:dyDescent="0.4">
      <c r="A42" s="12" t="s">
        <v>712</v>
      </c>
      <c r="B42" s="13">
        <v>3</v>
      </c>
    </row>
    <row r="43" spans="1:2" hidden="1" x14ac:dyDescent="0.4">
      <c r="A43" s="12" t="s">
        <v>653</v>
      </c>
      <c r="B43" s="13">
        <v>3</v>
      </c>
    </row>
    <row r="44" spans="1:2" hidden="1" x14ac:dyDescent="0.4">
      <c r="A44" s="12" t="s">
        <v>650</v>
      </c>
      <c r="B44" s="13">
        <v>3</v>
      </c>
    </row>
    <row r="45" spans="1:2" hidden="1" x14ac:dyDescent="0.4">
      <c r="A45" s="12" t="s">
        <v>520</v>
      </c>
      <c r="B45" s="13">
        <v>3</v>
      </c>
    </row>
    <row r="46" spans="1:2" hidden="1" x14ac:dyDescent="0.4">
      <c r="A46" s="12" t="s">
        <v>460</v>
      </c>
      <c r="B46" s="13">
        <v>3</v>
      </c>
    </row>
    <row r="47" spans="1:2" hidden="1" x14ac:dyDescent="0.4">
      <c r="A47" s="12" t="s">
        <v>563</v>
      </c>
      <c r="B47" s="13">
        <v>3</v>
      </c>
    </row>
    <row r="48" spans="1:2" hidden="1" x14ac:dyDescent="0.4">
      <c r="A48" s="12" t="s">
        <v>317</v>
      </c>
      <c r="B48" s="13">
        <v>3</v>
      </c>
    </row>
    <row r="49" spans="1:2" hidden="1" x14ac:dyDescent="0.4">
      <c r="A49" s="12" t="s">
        <v>500</v>
      </c>
      <c r="B49" s="13">
        <v>3</v>
      </c>
    </row>
    <row r="50" spans="1:2" hidden="1" x14ac:dyDescent="0.4">
      <c r="A50" s="12" t="s">
        <v>331</v>
      </c>
      <c r="B50" s="13">
        <v>3</v>
      </c>
    </row>
    <row r="51" spans="1:2" hidden="1" x14ac:dyDescent="0.4">
      <c r="A51" s="12" t="s">
        <v>535</v>
      </c>
      <c r="B51" s="13">
        <v>3</v>
      </c>
    </row>
    <row r="52" spans="1:2" hidden="1" x14ac:dyDescent="0.4">
      <c r="A52" s="12" t="s">
        <v>348</v>
      </c>
      <c r="B52" s="13">
        <v>3</v>
      </c>
    </row>
    <row r="53" spans="1:2" hidden="1" x14ac:dyDescent="0.4">
      <c r="A53" s="12" t="s">
        <v>445</v>
      </c>
      <c r="B53" s="13">
        <v>3</v>
      </c>
    </row>
    <row r="54" spans="1:2" hidden="1" x14ac:dyDescent="0.4">
      <c r="A54" s="12" t="s">
        <v>355</v>
      </c>
      <c r="B54" s="13">
        <v>3</v>
      </c>
    </row>
    <row r="55" spans="1:2" hidden="1" x14ac:dyDescent="0.4">
      <c r="A55" s="12" t="s">
        <v>474</v>
      </c>
      <c r="B55" s="13">
        <v>3</v>
      </c>
    </row>
    <row r="56" spans="1:2" hidden="1" x14ac:dyDescent="0.4">
      <c r="A56" s="12" t="s">
        <v>361</v>
      </c>
      <c r="B56" s="13">
        <v>3</v>
      </c>
    </row>
    <row r="57" spans="1:2" hidden="1" x14ac:dyDescent="0.4">
      <c r="A57" s="12" t="s">
        <v>515</v>
      </c>
      <c r="B57" s="13">
        <v>3</v>
      </c>
    </row>
    <row r="58" spans="1:2" hidden="1" x14ac:dyDescent="0.4">
      <c r="A58" s="12" t="s">
        <v>365</v>
      </c>
      <c r="B58" s="13">
        <v>3</v>
      </c>
    </row>
    <row r="59" spans="1:2" hidden="1" x14ac:dyDescent="0.4">
      <c r="A59" s="12" t="s">
        <v>534</v>
      </c>
      <c r="B59" s="13">
        <v>3</v>
      </c>
    </row>
    <row r="60" spans="1:2" hidden="1" x14ac:dyDescent="0.4">
      <c r="A60" s="12" t="s">
        <v>371</v>
      </c>
      <c r="B60" s="13">
        <v>3</v>
      </c>
    </row>
    <row r="61" spans="1:2" hidden="1" x14ac:dyDescent="0.4">
      <c r="A61" s="12" t="s">
        <v>549</v>
      </c>
      <c r="B61" s="13">
        <v>3</v>
      </c>
    </row>
    <row r="62" spans="1:2" hidden="1" x14ac:dyDescent="0.4">
      <c r="A62" s="12" t="s">
        <v>396</v>
      </c>
      <c r="B62" s="13">
        <v>3</v>
      </c>
    </row>
    <row r="63" spans="1:2" hidden="1" x14ac:dyDescent="0.4">
      <c r="A63" s="12" t="s">
        <v>431</v>
      </c>
      <c r="B63" s="13">
        <v>3</v>
      </c>
    </row>
    <row r="64" spans="1:2" hidden="1" x14ac:dyDescent="0.4">
      <c r="A64" s="12" t="s">
        <v>436</v>
      </c>
      <c r="B64" s="13">
        <v>3</v>
      </c>
    </row>
    <row r="65" spans="1:2" hidden="1" x14ac:dyDescent="0.4">
      <c r="A65" s="12" t="s">
        <v>44</v>
      </c>
      <c r="B65" s="13">
        <v>3</v>
      </c>
    </row>
    <row r="66" spans="1:2" hidden="1" x14ac:dyDescent="0.4">
      <c r="A66" s="12" t="s">
        <v>50</v>
      </c>
      <c r="B66" s="13">
        <v>3</v>
      </c>
    </row>
    <row r="67" spans="1:2" hidden="1" x14ac:dyDescent="0.4">
      <c r="A67" s="12" t="s">
        <v>205</v>
      </c>
      <c r="B67" s="13">
        <v>3</v>
      </c>
    </row>
    <row r="68" spans="1:2" hidden="1" x14ac:dyDescent="0.4">
      <c r="A68" s="12" t="s">
        <v>65</v>
      </c>
      <c r="B68" s="13">
        <v>3</v>
      </c>
    </row>
    <row r="69" spans="1:2" hidden="1" x14ac:dyDescent="0.4">
      <c r="A69" s="12" t="s">
        <v>21</v>
      </c>
      <c r="B69" s="13">
        <v>3</v>
      </c>
    </row>
    <row r="70" spans="1:2" hidden="1" x14ac:dyDescent="0.4">
      <c r="A70" s="12" t="s">
        <v>25</v>
      </c>
      <c r="B70" s="13">
        <v>3</v>
      </c>
    </row>
    <row r="71" spans="1:2" hidden="1" x14ac:dyDescent="0.4">
      <c r="A71" s="12" t="s">
        <v>173</v>
      </c>
      <c r="B71" s="13">
        <v>3</v>
      </c>
    </row>
    <row r="72" spans="1:2" hidden="1" x14ac:dyDescent="0.4">
      <c r="A72" s="12" t="s">
        <v>73</v>
      </c>
      <c r="B72" s="13">
        <v>3</v>
      </c>
    </row>
    <row r="73" spans="1:2" hidden="1" x14ac:dyDescent="0.4">
      <c r="A73" s="12" t="s">
        <v>209</v>
      </c>
      <c r="B73" s="13">
        <v>3</v>
      </c>
    </row>
    <row r="74" spans="1:2" hidden="1" x14ac:dyDescent="0.4">
      <c r="A74" s="12" t="s">
        <v>78</v>
      </c>
      <c r="B74" s="13">
        <v>3</v>
      </c>
    </row>
    <row r="75" spans="1:2" hidden="1" x14ac:dyDescent="0.4">
      <c r="A75" s="12" t="s">
        <v>40</v>
      </c>
      <c r="B75" s="13">
        <v>3</v>
      </c>
    </row>
    <row r="76" spans="1:2" hidden="1" x14ac:dyDescent="0.4">
      <c r="A76" s="12" t="s">
        <v>114</v>
      </c>
      <c r="B76" s="13">
        <v>3</v>
      </c>
    </row>
    <row r="77" spans="1:2" hidden="1" x14ac:dyDescent="0.4">
      <c r="A77" s="12" t="s">
        <v>17</v>
      </c>
      <c r="B77" s="13">
        <v>3</v>
      </c>
    </row>
    <row r="78" spans="1:2" hidden="1" x14ac:dyDescent="0.4">
      <c r="A78" s="12" t="s">
        <v>115</v>
      </c>
      <c r="B78" s="13">
        <v>3</v>
      </c>
    </row>
    <row r="79" spans="1:2" hidden="1" x14ac:dyDescent="0.4">
      <c r="A79" s="12" t="s">
        <v>170</v>
      </c>
      <c r="B79" s="13">
        <v>3</v>
      </c>
    </row>
    <row r="80" spans="1:2" hidden="1" x14ac:dyDescent="0.4">
      <c r="A80" s="12" t="s">
        <v>37</v>
      </c>
      <c r="B80" s="13">
        <v>3</v>
      </c>
    </row>
    <row r="81" spans="1:2" hidden="1" x14ac:dyDescent="0.4">
      <c r="A81" s="12" t="s">
        <v>201</v>
      </c>
      <c r="B81" s="13">
        <v>3</v>
      </c>
    </row>
    <row r="82" spans="1:2" hidden="1" x14ac:dyDescent="0.4">
      <c r="A82" s="12" t="s">
        <v>220</v>
      </c>
      <c r="B82" s="13">
        <v>3</v>
      </c>
    </row>
    <row r="83" spans="1:2" hidden="1" x14ac:dyDescent="0.4">
      <c r="A83" s="12" t="s">
        <v>208</v>
      </c>
      <c r="B83" s="13">
        <v>3</v>
      </c>
    </row>
    <row r="84" spans="1:2" hidden="1" x14ac:dyDescent="0.4">
      <c r="A84" s="12" t="s">
        <v>243</v>
      </c>
      <c r="B84" s="13">
        <v>3</v>
      </c>
    </row>
    <row r="85" spans="1:2" hidden="1" x14ac:dyDescent="0.4">
      <c r="A85" s="12" t="s">
        <v>211</v>
      </c>
      <c r="B85" s="13">
        <v>3</v>
      </c>
    </row>
    <row r="86" spans="1:2" hidden="1" x14ac:dyDescent="0.4">
      <c r="A86" s="12" t="s">
        <v>265</v>
      </c>
      <c r="B86" s="13">
        <v>3</v>
      </c>
    </row>
    <row r="87" spans="1:2" hidden="1" x14ac:dyDescent="0.4">
      <c r="A87" s="12" t="s">
        <v>64</v>
      </c>
      <c r="B87" s="13">
        <v>3</v>
      </c>
    </row>
    <row r="88" spans="1:2" hidden="1" x14ac:dyDescent="0.4">
      <c r="A88" s="12" t="s">
        <v>274</v>
      </c>
      <c r="B88" s="13">
        <v>3</v>
      </c>
    </row>
    <row r="89" spans="1:2" hidden="1" x14ac:dyDescent="0.4">
      <c r="A89" s="12" t="s">
        <v>252</v>
      </c>
      <c r="B89" s="13">
        <v>3</v>
      </c>
    </row>
    <row r="90" spans="1:2" hidden="1" x14ac:dyDescent="0.4">
      <c r="A90" s="12" t="s">
        <v>125</v>
      </c>
      <c r="B90" s="13">
        <v>3</v>
      </c>
    </row>
    <row r="91" spans="1:2" hidden="1" x14ac:dyDescent="0.4">
      <c r="A91" s="12" t="s">
        <v>269</v>
      </c>
      <c r="B91" s="13">
        <v>3</v>
      </c>
    </row>
    <row r="92" spans="1:2" hidden="1" x14ac:dyDescent="0.4">
      <c r="A92" s="12" t="s">
        <v>131</v>
      </c>
      <c r="B92" s="13">
        <v>3</v>
      </c>
    </row>
    <row r="93" spans="1:2" hidden="1" x14ac:dyDescent="0.4">
      <c r="A93" s="12" t="s">
        <v>280</v>
      </c>
      <c r="B93" s="13">
        <v>3</v>
      </c>
    </row>
    <row r="94" spans="1:2" hidden="1" x14ac:dyDescent="0.4">
      <c r="A94" s="12" t="s">
        <v>138</v>
      </c>
      <c r="B94" s="13">
        <v>3</v>
      </c>
    </row>
    <row r="95" spans="1:2" hidden="1" x14ac:dyDescent="0.4">
      <c r="A95" s="12" t="s">
        <v>291</v>
      </c>
      <c r="B95" s="13">
        <v>3</v>
      </c>
    </row>
    <row r="96" spans="1:2" hidden="1" x14ac:dyDescent="0.4">
      <c r="A96" s="12" t="s">
        <v>672</v>
      </c>
      <c r="B96" s="13">
        <v>2</v>
      </c>
    </row>
    <row r="97" spans="1:2" hidden="1" x14ac:dyDescent="0.4">
      <c r="A97" s="12" t="s">
        <v>637</v>
      </c>
      <c r="B97" s="13">
        <v>2</v>
      </c>
    </row>
    <row r="98" spans="1:2" hidden="1" x14ac:dyDescent="0.4">
      <c r="A98" s="12" t="s">
        <v>686</v>
      </c>
      <c r="B98" s="13">
        <v>2</v>
      </c>
    </row>
    <row r="99" spans="1:2" hidden="1" x14ac:dyDescent="0.4">
      <c r="A99" s="12" t="s">
        <v>642</v>
      </c>
      <c r="B99" s="13">
        <v>2</v>
      </c>
    </row>
    <row r="100" spans="1:2" hidden="1" x14ac:dyDescent="0.4">
      <c r="A100" s="12" t="s">
        <v>729</v>
      </c>
      <c r="B100" s="13">
        <v>2</v>
      </c>
    </row>
    <row r="101" spans="1:2" hidden="1" x14ac:dyDescent="0.4">
      <c r="A101" s="12" t="s">
        <v>575</v>
      </c>
      <c r="B101" s="13">
        <v>2</v>
      </c>
    </row>
    <row r="102" spans="1:2" hidden="1" x14ac:dyDescent="0.4">
      <c r="A102" s="12" t="s">
        <v>604</v>
      </c>
      <c r="B102" s="13">
        <v>2</v>
      </c>
    </row>
    <row r="103" spans="1:2" hidden="1" x14ac:dyDescent="0.4">
      <c r="A103" s="12" t="s">
        <v>580</v>
      </c>
      <c r="B103" s="13">
        <v>2</v>
      </c>
    </row>
    <row r="104" spans="1:2" hidden="1" x14ac:dyDescent="0.4">
      <c r="A104" s="12" t="s">
        <v>699</v>
      </c>
      <c r="B104" s="13">
        <v>2</v>
      </c>
    </row>
    <row r="105" spans="1:2" hidden="1" x14ac:dyDescent="0.4">
      <c r="A105" s="12" t="s">
        <v>646</v>
      </c>
      <c r="B105" s="13">
        <v>2</v>
      </c>
    </row>
    <row r="106" spans="1:2" hidden="1" x14ac:dyDescent="0.4">
      <c r="A106" s="12" t="s">
        <v>720</v>
      </c>
      <c r="B106" s="13">
        <v>2</v>
      </c>
    </row>
    <row r="107" spans="1:2" hidden="1" x14ac:dyDescent="0.4">
      <c r="A107" s="12" t="s">
        <v>648</v>
      </c>
      <c r="B107" s="13">
        <v>2</v>
      </c>
    </row>
    <row r="108" spans="1:2" hidden="1" x14ac:dyDescent="0.4">
      <c r="A108" s="12" t="s">
        <v>574</v>
      </c>
      <c r="B108" s="13">
        <v>2</v>
      </c>
    </row>
    <row r="109" spans="1:2" hidden="1" x14ac:dyDescent="0.4">
      <c r="A109" s="12" t="s">
        <v>649</v>
      </c>
      <c r="B109" s="13">
        <v>2</v>
      </c>
    </row>
    <row r="110" spans="1:2" hidden="1" x14ac:dyDescent="0.4">
      <c r="A110" s="12" t="s">
        <v>573</v>
      </c>
      <c r="B110" s="13">
        <v>2</v>
      </c>
    </row>
    <row r="111" spans="1:2" hidden="1" x14ac:dyDescent="0.4">
      <c r="A111" s="12" t="s">
        <v>749</v>
      </c>
      <c r="B111" s="13">
        <v>2</v>
      </c>
    </row>
    <row r="112" spans="1:2" hidden="1" x14ac:dyDescent="0.4">
      <c r="A112" s="12" t="s">
        <v>625</v>
      </c>
      <c r="B112" s="13">
        <v>2</v>
      </c>
    </row>
    <row r="113" spans="1:2" hidden="1" x14ac:dyDescent="0.4">
      <c r="A113" s="12" t="s">
        <v>651</v>
      </c>
      <c r="B113" s="13">
        <v>2</v>
      </c>
    </row>
    <row r="114" spans="1:2" hidden="1" x14ac:dyDescent="0.4">
      <c r="A114" s="12" t="s">
        <v>693</v>
      </c>
      <c r="B114" s="13">
        <v>2</v>
      </c>
    </row>
    <row r="115" spans="1:2" hidden="1" x14ac:dyDescent="0.4">
      <c r="A115" s="12" t="s">
        <v>582</v>
      </c>
      <c r="B115" s="13">
        <v>2</v>
      </c>
    </row>
    <row r="116" spans="1:2" hidden="1" x14ac:dyDescent="0.4">
      <c r="A116" s="12" t="s">
        <v>711</v>
      </c>
      <c r="B116" s="13">
        <v>2</v>
      </c>
    </row>
    <row r="117" spans="1:2" hidden="1" x14ac:dyDescent="0.4">
      <c r="A117" s="12" t="s">
        <v>654</v>
      </c>
      <c r="B117" s="13">
        <v>2</v>
      </c>
    </row>
    <row r="118" spans="1:2" hidden="1" x14ac:dyDescent="0.4">
      <c r="A118" s="12" t="s">
        <v>717</v>
      </c>
      <c r="B118" s="13">
        <v>2</v>
      </c>
    </row>
    <row r="119" spans="1:2" hidden="1" x14ac:dyDescent="0.4">
      <c r="A119" s="12" t="s">
        <v>592</v>
      </c>
      <c r="B119" s="13">
        <v>2</v>
      </c>
    </row>
    <row r="120" spans="1:2" hidden="1" x14ac:dyDescent="0.4">
      <c r="A120" s="12" t="s">
        <v>727</v>
      </c>
      <c r="B120" s="13">
        <v>2</v>
      </c>
    </row>
    <row r="121" spans="1:2" hidden="1" x14ac:dyDescent="0.4">
      <c r="A121" s="12" t="s">
        <v>600</v>
      </c>
      <c r="B121" s="13">
        <v>2</v>
      </c>
    </row>
    <row r="122" spans="1:2" hidden="1" x14ac:dyDescent="0.4">
      <c r="A122" s="12" t="s">
        <v>730</v>
      </c>
      <c r="B122" s="13">
        <v>2</v>
      </c>
    </row>
    <row r="123" spans="1:2" hidden="1" x14ac:dyDescent="0.4">
      <c r="A123" s="12" t="s">
        <v>601</v>
      </c>
      <c r="B123" s="13">
        <v>2</v>
      </c>
    </row>
    <row r="124" spans="1:2" hidden="1" x14ac:dyDescent="0.4">
      <c r="A124" s="12" t="s">
        <v>661</v>
      </c>
      <c r="B124" s="13">
        <v>2</v>
      </c>
    </row>
    <row r="125" spans="1:2" hidden="1" x14ac:dyDescent="0.4">
      <c r="A125" s="12" t="s">
        <v>701</v>
      </c>
      <c r="B125" s="13">
        <v>2</v>
      </c>
    </row>
    <row r="126" spans="1:2" hidden="1" x14ac:dyDescent="0.4">
      <c r="A126" s="12" t="s">
        <v>304</v>
      </c>
      <c r="B126" s="13">
        <v>2</v>
      </c>
    </row>
    <row r="127" spans="1:2" hidden="1" x14ac:dyDescent="0.4">
      <c r="A127" s="12" t="s">
        <v>299</v>
      </c>
      <c r="B127" s="13">
        <v>2</v>
      </c>
    </row>
    <row r="128" spans="1:2" hidden="1" x14ac:dyDescent="0.4">
      <c r="A128" s="12" t="s">
        <v>527</v>
      </c>
      <c r="B128" s="13">
        <v>2</v>
      </c>
    </row>
    <row r="129" spans="1:2" hidden="1" x14ac:dyDescent="0.4">
      <c r="A129" s="12" t="s">
        <v>333</v>
      </c>
      <c r="B129" s="13">
        <v>2</v>
      </c>
    </row>
    <row r="130" spans="1:2" hidden="1" x14ac:dyDescent="0.4">
      <c r="A130" s="12" t="s">
        <v>300</v>
      </c>
      <c r="B130" s="13">
        <v>2</v>
      </c>
    </row>
    <row r="131" spans="1:2" hidden="1" x14ac:dyDescent="0.4">
      <c r="A131" s="12" t="s">
        <v>295</v>
      </c>
      <c r="B131" s="13">
        <v>2</v>
      </c>
    </row>
    <row r="132" spans="1:2" hidden="1" x14ac:dyDescent="0.4">
      <c r="A132" s="12" t="s">
        <v>496</v>
      </c>
      <c r="B132" s="13">
        <v>2</v>
      </c>
    </row>
    <row r="133" spans="1:2" hidden="1" x14ac:dyDescent="0.4">
      <c r="A133" s="12" t="s">
        <v>338</v>
      </c>
      <c r="B133" s="13">
        <v>2</v>
      </c>
    </row>
    <row r="134" spans="1:2" hidden="1" x14ac:dyDescent="0.4">
      <c r="A134" s="12" t="s">
        <v>564</v>
      </c>
      <c r="B134" s="13">
        <v>2</v>
      </c>
    </row>
    <row r="135" spans="1:2" hidden="1" x14ac:dyDescent="0.4">
      <c r="A135" s="12" t="s">
        <v>343</v>
      </c>
      <c r="B135" s="13">
        <v>2</v>
      </c>
    </row>
    <row r="136" spans="1:2" hidden="1" x14ac:dyDescent="0.4">
      <c r="A136" s="12" t="s">
        <v>433</v>
      </c>
      <c r="B136" s="13">
        <v>2</v>
      </c>
    </row>
    <row r="137" spans="1:2" hidden="1" x14ac:dyDescent="0.4">
      <c r="A137" s="12" t="s">
        <v>345</v>
      </c>
      <c r="B137" s="13">
        <v>2</v>
      </c>
    </row>
    <row r="138" spans="1:2" hidden="1" x14ac:dyDescent="0.4">
      <c r="A138" s="12" t="s">
        <v>453</v>
      </c>
      <c r="B138" s="13">
        <v>2</v>
      </c>
    </row>
    <row r="139" spans="1:2" hidden="1" x14ac:dyDescent="0.4">
      <c r="A139" s="12" t="s">
        <v>349</v>
      </c>
      <c r="B139" s="13">
        <v>2</v>
      </c>
    </row>
    <row r="140" spans="1:2" hidden="1" x14ac:dyDescent="0.4">
      <c r="A140" s="12" t="s">
        <v>482</v>
      </c>
      <c r="B140" s="13">
        <v>2</v>
      </c>
    </row>
    <row r="141" spans="1:2" hidden="1" x14ac:dyDescent="0.4">
      <c r="A141" s="12" t="s">
        <v>312</v>
      </c>
      <c r="B141" s="13">
        <v>2</v>
      </c>
    </row>
    <row r="142" spans="1:2" hidden="1" x14ac:dyDescent="0.4">
      <c r="A142" s="12" t="s">
        <v>518</v>
      </c>
      <c r="B142" s="13">
        <v>2</v>
      </c>
    </row>
    <row r="143" spans="1:2" hidden="1" x14ac:dyDescent="0.4">
      <c r="A143" s="12" t="s">
        <v>357</v>
      </c>
      <c r="B143" s="13">
        <v>2</v>
      </c>
    </row>
    <row r="144" spans="1:2" hidden="1" x14ac:dyDescent="0.4">
      <c r="A144" s="12" t="s">
        <v>548</v>
      </c>
      <c r="B144" s="13">
        <v>2</v>
      </c>
    </row>
    <row r="145" spans="1:2" hidden="1" x14ac:dyDescent="0.4">
      <c r="A145" s="12" t="s">
        <v>364</v>
      </c>
      <c r="B145" s="13">
        <v>2</v>
      </c>
    </row>
    <row r="146" spans="1:2" hidden="1" x14ac:dyDescent="0.4">
      <c r="A146" s="12" t="s">
        <v>425</v>
      </c>
      <c r="B146" s="13">
        <v>2</v>
      </c>
    </row>
    <row r="147" spans="1:2" hidden="1" x14ac:dyDescent="0.4">
      <c r="A147" s="12" t="s">
        <v>368</v>
      </c>
      <c r="B147" s="13">
        <v>2</v>
      </c>
    </row>
    <row r="148" spans="1:2" hidden="1" x14ac:dyDescent="0.4">
      <c r="A148" s="12" t="s">
        <v>432</v>
      </c>
      <c r="B148" s="13">
        <v>2</v>
      </c>
    </row>
    <row r="149" spans="1:2" hidden="1" x14ac:dyDescent="0.4">
      <c r="A149" s="12" t="s">
        <v>374</v>
      </c>
      <c r="B149" s="13">
        <v>2</v>
      </c>
    </row>
    <row r="150" spans="1:2" hidden="1" x14ac:dyDescent="0.4">
      <c r="A150" s="12" t="s">
        <v>438</v>
      </c>
      <c r="B150" s="13">
        <v>2</v>
      </c>
    </row>
    <row r="151" spans="1:2" hidden="1" x14ac:dyDescent="0.4">
      <c r="A151" s="12" t="s">
        <v>375</v>
      </c>
      <c r="B151" s="13">
        <v>2</v>
      </c>
    </row>
    <row r="152" spans="1:2" hidden="1" x14ac:dyDescent="0.4">
      <c r="A152" s="12" t="s">
        <v>444</v>
      </c>
      <c r="B152" s="13">
        <v>2</v>
      </c>
    </row>
    <row r="153" spans="1:2" hidden="1" x14ac:dyDescent="0.4">
      <c r="A153" s="12" t="s">
        <v>383</v>
      </c>
      <c r="B153" s="13">
        <v>2</v>
      </c>
    </row>
    <row r="154" spans="1:2" hidden="1" x14ac:dyDescent="0.4">
      <c r="A154" s="12" t="s">
        <v>455</v>
      </c>
      <c r="B154" s="13">
        <v>2</v>
      </c>
    </row>
    <row r="155" spans="1:2" hidden="1" x14ac:dyDescent="0.4">
      <c r="A155" s="12" t="s">
        <v>386</v>
      </c>
      <c r="B155" s="13">
        <v>2</v>
      </c>
    </row>
    <row r="156" spans="1:2" hidden="1" x14ac:dyDescent="0.4">
      <c r="A156" s="12" t="s">
        <v>305</v>
      </c>
      <c r="B156" s="13">
        <v>2</v>
      </c>
    </row>
    <row r="157" spans="1:2" hidden="1" x14ac:dyDescent="0.4">
      <c r="A157" s="12" t="s">
        <v>394</v>
      </c>
      <c r="B157" s="13">
        <v>2</v>
      </c>
    </row>
    <row r="158" spans="1:2" hidden="1" x14ac:dyDescent="0.4">
      <c r="A158" s="12" t="s">
        <v>486</v>
      </c>
      <c r="B158" s="13">
        <v>2</v>
      </c>
    </row>
    <row r="159" spans="1:2" hidden="1" x14ac:dyDescent="0.4">
      <c r="A159" s="12" t="s">
        <v>395</v>
      </c>
      <c r="B159" s="13">
        <v>2</v>
      </c>
    </row>
    <row r="160" spans="1:2" hidden="1" x14ac:dyDescent="0.4">
      <c r="A160" s="12" t="s">
        <v>511</v>
      </c>
      <c r="B160" s="13">
        <v>2</v>
      </c>
    </row>
    <row r="161" spans="1:2" hidden="1" x14ac:dyDescent="0.4">
      <c r="A161" s="12" t="s">
        <v>399</v>
      </c>
      <c r="B161" s="13">
        <v>2</v>
      </c>
    </row>
    <row r="162" spans="1:2" hidden="1" x14ac:dyDescent="0.4">
      <c r="A162" s="12" t="s">
        <v>323</v>
      </c>
      <c r="B162" s="13">
        <v>2</v>
      </c>
    </row>
    <row r="163" spans="1:2" hidden="1" x14ac:dyDescent="0.4">
      <c r="A163" s="12" t="s">
        <v>403</v>
      </c>
      <c r="B163" s="13">
        <v>2</v>
      </c>
    </row>
    <row r="164" spans="1:2" hidden="1" x14ac:dyDescent="0.4">
      <c r="A164" s="12" t="s">
        <v>530</v>
      </c>
      <c r="B164" s="13">
        <v>2</v>
      </c>
    </row>
    <row r="165" spans="1:2" hidden="1" x14ac:dyDescent="0.4">
      <c r="A165" s="12" t="s">
        <v>408</v>
      </c>
      <c r="B165" s="13">
        <v>2</v>
      </c>
    </row>
    <row r="166" spans="1:2" hidden="1" x14ac:dyDescent="0.4">
      <c r="A166" s="12" t="s">
        <v>562</v>
      </c>
      <c r="B166" s="13">
        <v>2</v>
      </c>
    </row>
    <row r="167" spans="1:2" hidden="1" x14ac:dyDescent="0.4">
      <c r="A167" s="12" t="s">
        <v>417</v>
      </c>
      <c r="B167" s="13">
        <v>2</v>
      </c>
    </row>
    <row r="168" spans="1:2" hidden="1" x14ac:dyDescent="0.4">
      <c r="A168" s="12" t="s">
        <v>424</v>
      </c>
      <c r="B168" s="13">
        <v>2</v>
      </c>
    </row>
    <row r="169" spans="1:2" hidden="1" x14ac:dyDescent="0.4">
      <c r="A169" s="12" t="s">
        <v>328</v>
      </c>
      <c r="B169" s="13">
        <v>2</v>
      </c>
    </row>
    <row r="170" spans="1:2" hidden="1" x14ac:dyDescent="0.4">
      <c r="A170" s="12" t="s">
        <v>237</v>
      </c>
      <c r="B170" s="13">
        <v>2</v>
      </c>
    </row>
    <row r="171" spans="1:2" hidden="1" x14ac:dyDescent="0.4">
      <c r="A171" s="12" t="s">
        <v>49</v>
      </c>
      <c r="B171" s="13">
        <v>2</v>
      </c>
    </row>
    <row r="172" spans="1:2" hidden="1" x14ac:dyDescent="0.4">
      <c r="A172" s="12" t="s">
        <v>180</v>
      </c>
      <c r="B172" s="13">
        <v>2</v>
      </c>
    </row>
    <row r="173" spans="1:2" hidden="1" x14ac:dyDescent="0.4">
      <c r="A173" s="12" t="s">
        <v>31</v>
      </c>
      <c r="B173" s="13">
        <v>2</v>
      </c>
    </row>
    <row r="174" spans="1:2" hidden="1" x14ac:dyDescent="0.4">
      <c r="A174" s="12" t="s">
        <v>54</v>
      </c>
      <c r="B174" s="13">
        <v>2</v>
      </c>
    </row>
    <row r="175" spans="1:2" hidden="1" x14ac:dyDescent="0.4">
      <c r="A175" s="12" t="s">
        <v>70</v>
      </c>
      <c r="B175" s="13">
        <v>2</v>
      </c>
    </row>
    <row r="176" spans="1:2" hidden="1" x14ac:dyDescent="0.4">
      <c r="A176" s="12" t="s">
        <v>268</v>
      </c>
      <c r="B176" s="13">
        <v>2</v>
      </c>
    </row>
    <row r="177" spans="1:2" hidden="1" x14ac:dyDescent="0.4">
      <c r="A177" s="12" t="s">
        <v>72</v>
      </c>
      <c r="B177" s="13">
        <v>2</v>
      </c>
    </row>
    <row r="178" spans="1:2" hidden="1" x14ac:dyDescent="0.4">
      <c r="A178" s="12" t="s">
        <v>189</v>
      </c>
      <c r="B178" s="13">
        <v>2</v>
      </c>
    </row>
    <row r="179" spans="1:2" hidden="1" x14ac:dyDescent="0.4">
      <c r="A179" s="12" t="s">
        <v>33</v>
      </c>
      <c r="B179" s="13">
        <v>2</v>
      </c>
    </row>
    <row r="180" spans="1:2" hidden="1" x14ac:dyDescent="0.4">
      <c r="A180" s="12" t="s">
        <v>52</v>
      </c>
      <c r="B180" s="13">
        <v>2</v>
      </c>
    </row>
    <row r="181" spans="1:2" hidden="1" x14ac:dyDescent="0.4">
      <c r="A181" s="12" t="s">
        <v>74</v>
      </c>
      <c r="B181" s="13">
        <v>2</v>
      </c>
    </row>
    <row r="182" spans="1:2" hidden="1" x14ac:dyDescent="0.4">
      <c r="A182" s="12" t="s">
        <v>228</v>
      </c>
      <c r="B182" s="13">
        <v>2</v>
      </c>
    </row>
    <row r="183" spans="1:2" hidden="1" x14ac:dyDescent="0.4">
      <c r="A183" s="12" t="s">
        <v>76</v>
      </c>
      <c r="B183" s="13">
        <v>2</v>
      </c>
    </row>
    <row r="184" spans="1:2" hidden="1" x14ac:dyDescent="0.4">
      <c r="A184" s="12" t="s">
        <v>250</v>
      </c>
      <c r="B184" s="13">
        <v>2</v>
      </c>
    </row>
    <row r="185" spans="1:2" hidden="1" x14ac:dyDescent="0.4">
      <c r="A185" s="12" t="s">
        <v>83</v>
      </c>
      <c r="B185" s="13">
        <v>2</v>
      </c>
    </row>
    <row r="186" spans="1:2" hidden="1" x14ac:dyDescent="0.4">
      <c r="A186" s="12" t="s">
        <v>278</v>
      </c>
      <c r="B186" s="13">
        <v>2</v>
      </c>
    </row>
    <row r="187" spans="1:2" hidden="1" x14ac:dyDescent="0.4">
      <c r="A187" s="12" t="s">
        <v>88</v>
      </c>
      <c r="B187" s="13">
        <v>2</v>
      </c>
    </row>
    <row r="188" spans="1:2" hidden="1" x14ac:dyDescent="0.4">
      <c r="A188" s="12" t="s">
        <v>185</v>
      </c>
      <c r="B188" s="13">
        <v>2</v>
      </c>
    </row>
    <row r="189" spans="1:2" hidden="1" x14ac:dyDescent="0.4">
      <c r="A189" s="12" t="s">
        <v>95</v>
      </c>
      <c r="B189" s="13">
        <v>2</v>
      </c>
    </row>
    <row r="190" spans="1:2" hidden="1" x14ac:dyDescent="0.4">
      <c r="A190" s="12" t="s">
        <v>192</v>
      </c>
      <c r="B190" s="13">
        <v>2</v>
      </c>
    </row>
    <row r="191" spans="1:2" hidden="1" x14ac:dyDescent="0.4">
      <c r="A191" s="12" t="s">
        <v>96</v>
      </c>
      <c r="B191" s="13">
        <v>2</v>
      </c>
    </row>
    <row r="192" spans="1:2" hidden="1" x14ac:dyDescent="0.4">
      <c r="A192" s="12" t="s">
        <v>19</v>
      </c>
      <c r="B192" s="13">
        <v>2</v>
      </c>
    </row>
    <row r="193" spans="1:2" hidden="1" x14ac:dyDescent="0.4">
      <c r="A193" s="12" t="s">
        <v>109</v>
      </c>
      <c r="B193" s="13">
        <v>2</v>
      </c>
    </row>
    <row r="194" spans="1:2" hidden="1" x14ac:dyDescent="0.4">
      <c r="A194" s="12" t="s">
        <v>216</v>
      </c>
      <c r="B194" s="13">
        <v>2</v>
      </c>
    </row>
    <row r="195" spans="1:2" hidden="1" x14ac:dyDescent="0.4">
      <c r="A195" s="12" t="s">
        <v>35</v>
      </c>
      <c r="B195" s="13">
        <v>2</v>
      </c>
    </row>
    <row r="196" spans="1:2" hidden="1" x14ac:dyDescent="0.4">
      <c r="A196" s="12" t="s">
        <v>224</v>
      </c>
      <c r="B196" s="13">
        <v>2</v>
      </c>
    </row>
    <row r="197" spans="1:2" hidden="1" x14ac:dyDescent="0.4">
      <c r="A197" s="12" t="s">
        <v>118</v>
      </c>
      <c r="B197" s="13">
        <v>2</v>
      </c>
    </row>
    <row r="198" spans="1:2" hidden="1" x14ac:dyDescent="0.4">
      <c r="A198" s="12" t="s">
        <v>231</v>
      </c>
      <c r="B198" s="13">
        <v>2</v>
      </c>
    </row>
    <row r="199" spans="1:2" hidden="1" x14ac:dyDescent="0.4">
      <c r="A199" s="12" t="s">
        <v>120</v>
      </c>
      <c r="B199" s="13">
        <v>2</v>
      </c>
    </row>
    <row r="200" spans="1:2" hidden="1" x14ac:dyDescent="0.4">
      <c r="A200" s="12" t="s">
        <v>248</v>
      </c>
      <c r="B200" s="13">
        <v>2</v>
      </c>
    </row>
    <row r="201" spans="1:2" hidden="1" x14ac:dyDescent="0.4">
      <c r="A201" s="12" t="s">
        <v>121</v>
      </c>
      <c r="B201" s="13">
        <v>2</v>
      </c>
    </row>
    <row r="202" spans="1:2" hidden="1" x14ac:dyDescent="0.4">
      <c r="A202" s="12" t="s">
        <v>57</v>
      </c>
      <c r="B202" s="13">
        <v>2</v>
      </c>
    </row>
    <row r="203" spans="1:2" hidden="1" x14ac:dyDescent="0.4">
      <c r="A203" s="12" t="s">
        <v>124</v>
      </c>
      <c r="B203" s="13">
        <v>2</v>
      </c>
    </row>
    <row r="204" spans="1:2" hidden="1" x14ac:dyDescent="0.4">
      <c r="A204" s="12" t="s">
        <v>59</v>
      </c>
      <c r="B204" s="13">
        <v>2</v>
      </c>
    </row>
    <row r="205" spans="1:2" hidden="1" x14ac:dyDescent="0.4">
      <c r="A205" s="12" t="s">
        <v>127</v>
      </c>
      <c r="B205" s="13">
        <v>2</v>
      </c>
    </row>
    <row r="206" spans="1:2" hidden="1" x14ac:dyDescent="0.4">
      <c r="A206" s="12" t="s">
        <v>179</v>
      </c>
      <c r="B206" s="13">
        <v>2</v>
      </c>
    </row>
    <row r="207" spans="1:2" hidden="1" x14ac:dyDescent="0.4">
      <c r="A207" s="12" t="s">
        <v>27</v>
      </c>
      <c r="B207" s="13">
        <v>2</v>
      </c>
    </row>
    <row r="208" spans="1:2" hidden="1" x14ac:dyDescent="0.4">
      <c r="A208" s="12" t="s">
        <v>181</v>
      </c>
      <c r="B208" s="13">
        <v>2</v>
      </c>
    </row>
    <row r="209" spans="1:2" hidden="1" x14ac:dyDescent="0.4">
      <c r="A209" s="12" t="s">
        <v>133</v>
      </c>
      <c r="B209" s="13">
        <v>2</v>
      </c>
    </row>
    <row r="210" spans="1:2" hidden="1" x14ac:dyDescent="0.4">
      <c r="A210" s="12" t="s">
        <v>186</v>
      </c>
      <c r="B210" s="13">
        <v>2</v>
      </c>
    </row>
    <row r="211" spans="1:2" hidden="1" x14ac:dyDescent="0.4">
      <c r="A211" s="12" t="s">
        <v>135</v>
      </c>
      <c r="B211" s="13">
        <v>2</v>
      </c>
    </row>
    <row r="212" spans="1:2" hidden="1" x14ac:dyDescent="0.4">
      <c r="A212" s="12" t="s">
        <v>190</v>
      </c>
      <c r="B212" s="13">
        <v>2</v>
      </c>
    </row>
    <row r="213" spans="1:2" hidden="1" x14ac:dyDescent="0.4">
      <c r="A213" s="12" t="s">
        <v>136</v>
      </c>
      <c r="B213" s="13">
        <v>2</v>
      </c>
    </row>
    <row r="214" spans="1:2" hidden="1" x14ac:dyDescent="0.4">
      <c r="A214" s="12" t="s">
        <v>204</v>
      </c>
      <c r="B214" s="13">
        <v>2</v>
      </c>
    </row>
    <row r="215" spans="1:2" hidden="1" x14ac:dyDescent="0.4">
      <c r="A215" s="12" t="s">
        <v>137</v>
      </c>
      <c r="B215" s="13">
        <v>2</v>
      </c>
    </row>
    <row r="216" spans="1:2" hidden="1" x14ac:dyDescent="0.4">
      <c r="A216" s="12" t="s">
        <v>206</v>
      </c>
      <c r="B216" s="13">
        <v>2</v>
      </c>
    </row>
    <row r="217" spans="1:2" hidden="1" x14ac:dyDescent="0.4">
      <c r="A217" s="12" t="s">
        <v>139</v>
      </c>
      <c r="B217" s="13">
        <v>2</v>
      </c>
    </row>
    <row r="218" spans="1:2" hidden="1" x14ac:dyDescent="0.4">
      <c r="A218" s="12" t="s">
        <v>210</v>
      </c>
      <c r="B218" s="13">
        <v>2</v>
      </c>
    </row>
    <row r="219" spans="1:2" hidden="1" x14ac:dyDescent="0.4">
      <c r="A219" s="12" t="s">
        <v>140</v>
      </c>
      <c r="B219" s="13">
        <v>2</v>
      </c>
    </row>
    <row r="220" spans="1:2" hidden="1" x14ac:dyDescent="0.4">
      <c r="A220" s="12" t="s">
        <v>214</v>
      </c>
      <c r="B220" s="13">
        <v>2</v>
      </c>
    </row>
    <row r="221" spans="1:2" hidden="1" x14ac:dyDescent="0.4">
      <c r="A221" s="12" t="s">
        <v>142</v>
      </c>
      <c r="B221" s="13">
        <v>2</v>
      </c>
    </row>
    <row r="222" spans="1:2" hidden="1" x14ac:dyDescent="0.4">
      <c r="A222" s="12" t="s">
        <v>217</v>
      </c>
      <c r="B222" s="13">
        <v>2</v>
      </c>
    </row>
    <row r="223" spans="1:2" hidden="1" x14ac:dyDescent="0.4">
      <c r="A223" s="12" t="s">
        <v>145</v>
      </c>
      <c r="B223" s="13">
        <v>2</v>
      </c>
    </row>
    <row r="224" spans="1:2" hidden="1" x14ac:dyDescent="0.4">
      <c r="A224" s="12" t="s">
        <v>221</v>
      </c>
      <c r="B224" s="13">
        <v>2</v>
      </c>
    </row>
    <row r="225" spans="1:2" hidden="1" x14ac:dyDescent="0.4">
      <c r="A225" s="12" t="s">
        <v>146</v>
      </c>
      <c r="B225" s="13">
        <v>2</v>
      </c>
    </row>
    <row r="226" spans="1:2" hidden="1" x14ac:dyDescent="0.4">
      <c r="A226" s="12" t="s">
        <v>226</v>
      </c>
      <c r="B226" s="13">
        <v>2</v>
      </c>
    </row>
    <row r="227" spans="1:2" hidden="1" x14ac:dyDescent="0.4">
      <c r="A227" s="12" t="s">
        <v>148</v>
      </c>
      <c r="B227" s="13">
        <v>2</v>
      </c>
    </row>
    <row r="228" spans="1:2" hidden="1" x14ac:dyDescent="0.4">
      <c r="A228" s="12" t="s">
        <v>230</v>
      </c>
      <c r="B228" s="13">
        <v>2</v>
      </c>
    </row>
    <row r="229" spans="1:2" hidden="1" x14ac:dyDescent="0.4">
      <c r="A229" s="12" t="s">
        <v>28</v>
      </c>
      <c r="B229" s="13">
        <v>2</v>
      </c>
    </row>
    <row r="230" spans="1:2" hidden="1" x14ac:dyDescent="0.4">
      <c r="A230" s="12" t="s">
        <v>235</v>
      </c>
      <c r="B230" s="13">
        <v>2</v>
      </c>
    </row>
    <row r="231" spans="1:2" hidden="1" x14ac:dyDescent="0.4">
      <c r="A231" s="12" t="s">
        <v>156</v>
      </c>
      <c r="B231" s="13">
        <v>2</v>
      </c>
    </row>
    <row r="232" spans="1:2" hidden="1" x14ac:dyDescent="0.4">
      <c r="A232" s="12" t="s">
        <v>242</v>
      </c>
      <c r="B232" s="13">
        <v>2</v>
      </c>
    </row>
    <row r="233" spans="1:2" hidden="1" x14ac:dyDescent="0.4">
      <c r="A233" s="12" t="s">
        <v>159</v>
      </c>
      <c r="B233" s="13">
        <v>2</v>
      </c>
    </row>
    <row r="234" spans="1:2" hidden="1" x14ac:dyDescent="0.4">
      <c r="A234" s="12" t="s">
        <v>249</v>
      </c>
      <c r="B234" s="13">
        <v>2</v>
      </c>
    </row>
    <row r="235" spans="1:2" hidden="1" x14ac:dyDescent="0.4">
      <c r="A235" s="12" t="s">
        <v>161</v>
      </c>
      <c r="B235" s="13">
        <v>2</v>
      </c>
    </row>
    <row r="236" spans="1:2" hidden="1" x14ac:dyDescent="0.4">
      <c r="A236" s="12" t="s">
        <v>261</v>
      </c>
      <c r="B236" s="13">
        <v>2</v>
      </c>
    </row>
    <row r="237" spans="1:2" hidden="1" x14ac:dyDescent="0.4">
      <c r="A237" s="12" t="s">
        <v>164</v>
      </c>
      <c r="B237" s="13">
        <v>2</v>
      </c>
    </row>
    <row r="238" spans="1:2" hidden="1" x14ac:dyDescent="0.4">
      <c r="A238" s="12" t="s">
        <v>267</v>
      </c>
      <c r="B238" s="13">
        <v>2</v>
      </c>
    </row>
    <row r="239" spans="1:2" hidden="1" x14ac:dyDescent="0.4">
      <c r="A239" s="12" t="s">
        <v>168</v>
      </c>
      <c r="B239" s="13">
        <v>2</v>
      </c>
    </row>
    <row r="240" spans="1:2" hidden="1" x14ac:dyDescent="0.4">
      <c r="A240" s="12" t="s">
        <v>272</v>
      </c>
      <c r="B240" s="13">
        <v>2</v>
      </c>
    </row>
    <row r="241" spans="1:2" hidden="1" x14ac:dyDescent="0.4">
      <c r="A241" s="12" t="s">
        <v>285</v>
      </c>
      <c r="B241" s="13">
        <v>2</v>
      </c>
    </row>
    <row r="242" spans="1:2" hidden="1" x14ac:dyDescent="0.4">
      <c r="A242" s="12" t="s">
        <v>276</v>
      </c>
      <c r="B242" s="13">
        <v>2</v>
      </c>
    </row>
    <row r="243" spans="1:2" hidden="1" x14ac:dyDescent="0.4">
      <c r="A243" s="12" t="s">
        <v>289</v>
      </c>
      <c r="B243" s="13">
        <v>2</v>
      </c>
    </row>
    <row r="244" spans="1:2" hidden="1" x14ac:dyDescent="0.4">
      <c r="A244" s="12" t="s">
        <v>281</v>
      </c>
      <c r="B244" s="13">
        <v>2</v>
      </c>
    </row>
    <row r="245" spans="1:2" hidden="1" x14ac:dyDescent="0.4">
      <c r="A245" s="12" t="s">
        <v>176</v>
      </c>
      <c r="B245" s="13">
        <v>2</v>
      </c>
    </row>
    <row r="246" spans="1:2" hidden="1" x14ac:dyDescent="0.4">
      <c r="A246" s="12" t="s">
        <v>286</v>
      </c>
      <c r="B246" s="13">
        <v>2</v>
      </c>
    </row>
    <row r="247" spans="1:2" hidden="1" x14ac:dyDescent="0.4">
      <c r="A247" s="12" t="s">
        <v>738</v>
      </c>
      <c r="B247" s="13">
        <v>1</v>
      </c>
    </row>
    <row r="248" spans="1:2" hidden="1" x14ac:dyDescent="0.4">
      <c r="A248" s="12" t="s">
        <v>802</v>
      </c>
      <c r="B248" s="13">
        <v>1</v>
      </c>
    </row>
    <row r="249" spans="1:2" hidden="1" x14ac:dyDescent="0.4">
      <c r="A249" s="12" t="s">
        <v>770</v>
      </c>
      <c r="B249" s="13">
        <v>1</v>
      </c>
    </row>
    <row r="250" spans="1:2" hidden="1" x14ac:dyDescent="0.4">
      <c r="A250" s="12" t="s">
        <v>612</v>
      </c>
      <c r="B250" s="13">
        <v>1</v>
      </c>
    </row>
    <row r="251" spans="1:2" hidden="1" x14ac:dyDescent="0.4">
      <c r="A251" s="12" t="s">
        <v>834</v>
      </c>
      <c r="B251" s="13">
        <v>1</v>
      </c>
    </row>
    <row r="252" spans="1:2" hidden="1" x14ac:dyDescent="0.4">
      <c r="A252" s="12" t="s">
        <v>613</v>
      </c>
      <c r="B252" s="13">
        <v>1</v>
      </c>
    </row>
    <row r="253" spans="1:2" hidden="1" x14ac:dyDescent="0.4">
      <c r="A253" s="12" t="s">
        <v>754</v>
      </c>
      <c r="B253" s="13">
        <v>1</v>
      </c>
    </row>
    <row r="254" spans="1:2" hidden="1" x14ac:dyDescent="0.4">
      <c r="A254" s="12" t="s">
        <v>614</v>
      </c>
      <c r="B254" s="13">
        <v>1</v>
      </c>
    </row>
    <row r="255" spans="1:2" hidden="1" x14ac:dyDescent="0.4">
      <c r="A255" s="12" t="s">
        <v>786</v>
      </c>
      <c r="B255" s="13">
        <v>1</v>
      </c>
    </row>
    <row r="256" spans="1:2" hidden="1" x14ac:dyDescent="0.4">
      <c r="A256" s="12" t="s">
        <v>615</v>
      </c>
      <c r="B256" s="13">
        <v>1</v>
      </c>
    </row>
    <row r="257" spans="1:2" hidden="1" x14ac:dyDescent="0.4">
      <c r="A257" s="12" t="s">
        <v>818</v>
      </c>
      <c r="B257" s="13">
        <v>1</v>
      </c>
    </row>
    <row r="258" spans="1:2" hidden="1" x14ac:dyDescent="0.4">
      <c r="A258" s="12" t="s">
        <v>616</v>
      </c>
      <c r="B258" s="13">
        <v>1</v>
      </c>
    </row>
    <row r="259" spans="1:2" hidden="1" x14ac:dyDescent="0.4">
      <c r="A259" s="12" t="s">
        <v>609</v>
      </c>
      <c r="B259" s="13">
        <v>1</v>
      </c>
    </row>
    <row r="260" spans="1:2" hidden="1" x14ac:dyDescent="0.4">
      <c r="A260" s="12" t="s">
        <v>617</v>
      </c>
      <c r="B260" s="13">
        <v>1</v>
      </c>
    </row>
    <row r="261" spans="1:2" hidden="1" x14ac:dyDescent="0.4">
      <c r="A261" s="12" t="s">
        <v>746</v>
      </c>
      <c r="B261" s="13">
        <v>1</v>
      </c>
    </row>
    <row r="262" spans="1:2" hidden="1" x14ac:dyDescent="0.4">
      <c r="A262" s="12" t="s">
        <v>618</v>
      </c>
      <c r="B262" s="13">
        <v>1</v>
      </c>
    </row>
    <row r="263" spans="1:2" hidden="1" x14ac:dyDescent="0.4">
      <c r="A263" s="12" t="s">
        <v>762</v>
      </c>
      <c r="B263" s="13">
        <v>1</v>
      </c>
    </row>
    <row r="264" spans="1:2" hidden="1" x14ac:dyDescent="0.4">
      <c r="A264" s="12" t="s">
        <v>619</v>
      </c>
      <c r="B264" s="13">
        <v>1</v>
      </c>
    </row>
    <row r="265" spans="1:2" hidden="1" x14ac:dyDescent="0.4">
      <c r="A265" s="12" t="s">
        <v>778</v>
      </c>
      <c r="B265" s="13">
        <v>1</v>
      </c>
    </row>
    <row r="266" spans="1:2" hidden="1" x14ac:dyDescent="0.4">
      <c r="A266" s="12" t="s">
        <v>620</v>
      </c>
      <c r="B266" s="13">
        <v>1</v>
      </c>
    </row>
    <row r="267" spans="1:2" hidden="1" x14ac:dyDescent="0.4">
      <c r="A267" s="12" t="s">
        <v>794</v>
      </c>
      <c r="B267" s="13">
        <v>1</v>
      </c>
    </row>
    <row r="268" spans="1:2" hidden="1" x14ac:dyDescent="0.4">
      <c r="A268" s="12" t="s">
        <v>621</v>
      </c>
      <c r="B268" s="13">
        <v>1</v>
      </c>
    </row>
    <row r="269" spans="1:2" hidden="1" x14ac:dyDescent="0.4">
      <c r="A269" s="12" t="s">
        <v>810</v>
      </c>
      <c r="B269" s="13">
        <v>1</v>
      </c>
    </row>
    <row r="270" spans="1:2" hidden="1" x14ac:dyDescent="0.4">
      <c r="A270" s="12" t="s">
        <v>622</v>
      </c>
      <c r="B270" s="13">
        <v>1</v>
      </c>
    </row>
    <row r="271" spans="1:2" hidden="1" x14ac:dyDescent="0.4">
      <c r="A271" s="12" t="s">
        <v>826</v>
      </c>
      <c r="B271" s="13">
        <v>1</v>
      </c>
    </row>
    <row r="272" spans="1:2" hidden="1" x14ac:dyDescent="0.4">
      <c r="A272" s="12" t="s">
        <v>623</v>
      </c>
      <c r="B272" s="13">
        <v>1</v>
      </c>
    </row>
    <row r="273" spans="1:2" hidden="1" x14ac:dyDescent="0.4">
      <c r="A273" s="12" t="s">
        <v>726</v>
      </c>
      <c r="B273" s="13">
        <v>1</v>
      </c>
    </row>
    <row r="274" spans="1:2" hidden="1" x14ac:dyDescent="0.4">
      <c r="A274" s="12" t="s">
        <v>624</v>
      </c>
      <c r="B274" s="13">
        <v>1</v>
      </c>
    </row>
    <row r="275" spans="1:2" hidden="1" x14ac:dyDescent="0.4">
      <c r="A275" s="12" t="s">
        <v>734</v>
      </c>
      <c r="B275" s="13">
        <v>1</v>
      </c>
    </row>
    <row r="276" spans="1:2" hidden="1" x14ac:dyDescent="0.4">
      <c r="A276" s="12" t="s">
        <v>579</v>
      </c>
      <c r="B276" s="13">
        <v>1</v>
      </c>
    </row>
    <row r="277" spans="1:2" hidden="1" x14ac:dyDescent="0.4">
      <c r="A277" s="12" t="s">
        <v>742</v>
      </c>
      <c r="B277" s="13">
        <v>1</v>
      </c>
    </row>
    <row r="278" spans="1:2" hidden="1" x14ac:dyDescent="0.4">
      <c r="A278" s="12" t="s">
        <v>626</v>
      </c>
      <c r="B278" s="13">
        <v>1</v>
      </c>
    </row>
    <row r="279" spans="1:2" hidden="1" x14ac:dyDescent="0.4">
      <c r="A279" s="12" t="s">
        <v>750</v>
      </c>
      <c r="B279" s="13">
        <v>1</v>
      </c>
    </row>
    <row r="280" spans="1:2" hidden="1" x14ac:dyDescent="0.4">
      <c r="A280" s="12" t="s">
        <v>627</v>
      </c>
      <c r="B280" s="13">
        <v>1</v>
      </c>
    </row>
    <row r="281" spans="1:2" hidden="1" x14ac:dyDescent="0.4">
      <c r="A281" s="12" t="s">
        <v>758</v>
      </c>
      <c r="B281" s="13">
        <v>1</v>
      </c>
    </row>
    <row r="282" spans="1:2" hidden="1" x14ac:dyDescent="0.4">
      <c r="A282" s="12" t="s">
        <v>628</v>
      </c>
      <c r="B282" s="13">
        <v>1</v>
      </c>
    </row>
    <row r="283" spans="1:2" hidden="1" x14ac:dyDescent="0.4">
      <c r="A283" s="12" t="s">
        <v>766</v>
      </c>
      <c r="B283" s="13">
        <v>1</v>
      </c>
    </row>
    <row r="284" spans="1:2" hidden="1" x14ac:dyDescent="0.4">
      <c r="A284" s="12" t="s">
        <v>629</v>
      </c>
      <c r="B284" s="13">
        <v>1</v>
      </c>
    </row>
    <row r="285" spans="1:2" hidden="1" x14ac:dyDescent="0.4">
      <c r="A285" s="12" t="s">
        <v>774</v>
      </c>
      <c r="B285" s="13">
        <v>1</v>
      </c>
    </row>
    <row r="286" spans="1:2" hidden="1" x14ac:dyDescent="0.4">
      <c r="A286" s="12" t="s">
        <v>630</v>
      </c>
      <c r="B286" s="13">
        <v>1</v>
      </c>
    </row>
    <row r="287" spans="1:2" hidden="1" x14ac:dyDescent="0.4">
      <c r="A287" s="12" t="s">
        <v>782</v>
      </c>
      <c r="B287" s="13">
        <v>1</v>
      </c>
    </row>
    <row r="288" spans="1:2" hidden="1" x14ac:dyDescent="0.4">
      <c r="A288" s="12" t="s">
        <v>631</v>
      </c>
      <c r="B288" s="13">
        <v>1</v>
      </c>
    </row>
    <row r="289" spans="1:2" hidden="1" x14ac:dyDescent="0.4">
      <c r="A289" s="12" t="s">
        <v>790</v>
      </c>
      <c r="B289" s="13">
        <v>1</v>
      </c>
    </row>
    <row r="290" spans="1:2" hidden="1" x14ac:dyDescent="0.4">
      <c r="A290" s="12" t="s">
        <v>632</v>
      </c>
      <c r="B290" s="13">
        <v>1</v>
      </c>
    </row>
    <row r="291" spans="1:2" hidden="1" x14ac:dyDescent="0.4">
      <c r="A291" s="12" t="s">
        <v>798</v>
      </c>
      <c r="B291" s="13">
        <v>1</v>
      </c>
    </row>
    <row r="292" spans="1:2" hidden="1" x14ac:dyDescent="0.4">
      <c r="A292" s="12" t="s">
        <v>633</v>
      </c>
      <c r="B292" s="13">
        <v>1</v>
      </c>
    </row>
    <row r="293" spans="1:2" hidden="1" x14ac:dyDescent="0.4">
      <c r="A293" s="12" t="s">
        <v>806</v>
      </c>
      <c r="B293" s="13">
        <v>1</v>
      </c>
    </row>
    <row r="294" spans="1:2" hidden="1" x14ac:dyDescent="0.4">
      <c r="A294" s="12" t="s">
        <v>634</v>
      </c>
      <c r="B294" s="13">
        <v>1</v>
      </c>
    </row>
    <row r="295" spans="1:2" hidden="1" x14ac:dyDescent="0.4">
      <c r="A295" s="12" t="s">
        <v>814</v>
      </c>
      <c r="B295" s="13">
        <v>1</v>
      </c>
    </row>
    <row r="296" spans="1:2" hidden="1" x14ac:dyDescent="0.4">
      <c r="A296" s="12" t="s">
        <v>635</v>
      </c>
      <c r="B296" s="13">
        <v>1</v>
      </c>
    </row>
    <row r="297" spans="1:2" hidden="1" x14ac:dyDescent="0.4">
      <c r="A297" s="12" t="s">
        <v>822</v>
      </c>
      <c r="B297" s="13">
        <v>1</v>
      </c>
    </row>
    <row r="298" spans="1:2" hidden="1" x14ac:dyDescent="0.4">
      <c r="A298" s="12" t="s">
        <v>636</v>
      </c>
      <c r="B298" s="13">
        <v>1</v>
      </c>
    </row>
    <row r="299" spans="1:2" hidden="1" x14ac:dyDescent="0.4">
      <c r="A299" s="12" t="s">
        <v>830</v>
      </c>
      <c r="B299" s="13">
        <v>1</v>
      </c>
    </row>
    <row r="300" spans="1:2" hidden="1" x14ac:dyDescent="0.4">
      <c r="A300" s="12" t="s">
        <v>572</v>
      </c>
      <c r="B300" s="13">
        <v>1</v>
      </c>
    </row>
    <row r="301" spans="1:2" hidden="1" x14ac:dyDescent="0.4">
      <c r="A301" s="12" t="s">
        <v>724</v>
      </c>
      <c r="B301" s="13">
        <v>1</v>
      </c>
    </row>
    <row r="302" spans="1:2" hidden="1" x14ac:dyDescent="0.4">
      <c r="A302" s="12" t="s">
        <v>638</v>
      </c>
      <c r="B302" s="13">
        <v>1</v>
      </c>
    </row>
    <row r="303" spans="1:2" hidden="1" x14ac:dyDescent="0.4">
      <c r="A303" s="12" t="s">
        <v>728</v>
      </c>
      <c r="B303" s="13">
        <v>1</v>
      </c>
    </row>
    <row r="304" spans="1:2" hidden="1" x14ac:dyDescent="0.4">
      <c r="A304" s="12" t="s">
        <v>639</v>
      </c>
      <c r="B304" s="13">
        <v>1</v>
      </c>
    </row>
    <row r="305" spans="1:2" hidden="1" x14ac:dyDescent="0.4">
      <c r="A305" s="12" t="s">
        <v>732</v>
      </c>
      <c r="B305" s="13">
        <v>1</v>
      </c>
    </row>
    <row r="306" spans="1:2" hidden="1" x14ac:dyDescent="0.4">
      <c r="A306" s="12" t="s">
        <v>640</v>
      </c>
      <c r="B306" s="13">
        <v>1</v>
      </c>
    </row>
    <row r="307" spans="1:2" hidden="1" x14ac:dyDescent="0.4">
      <c r="A307" s="12" t="s">
        <v>736</v>
      </c>
      <c r="B307" s="13">
        <v>1</v>
      </c>
    </row>
    <row r="308" spans="1:2" hidden="1" x14ac:dyDescent="0.4">
      <c r="A308" s="12" t="s">
        <v>581</v>
      </c>
      <c r="B308" s="13">
        <v>1</v>
      </c>
    </row>
    <row r="309" spans="1:2" hidden="1" x14ac:dyDescent="0.4">
      <c r="A309" s="12" t="s">
        <v>740</v>
      </c>
      <c r="B309" s="13">
        <v>1</v>
      </c>
    </row>
    <row r="310" spans="1:2" hidden="1" x14ac:dyDescent="0.4">
      <c r="A310" s="12" t="s">
        <v>569</v>
      </c>
      <c r="B310" s="13">
        <v>1</v>
      </c>
    </row>
    <row r="311" spans="1:2" hidden="1" x14ac:dyDescent="0.4">
      <c r="A311" s="12" t="s">
        <v>744</v>
      </c>
      <c r="B311" s="13">
        <v>1</v>
      </c>
    </row>
    <row r="312" spans="1:2" hidden="1" x14ac:dyDescent="0.4">
      <c r="A312" s="12" t="s">
        <v>643</v>
      </c>
      <c r="B312" s="13">
        <v>1</v>
      </c>
    </row>
    <row r="313" spans="1:2" hidden="1" x14ac:dyDescent="0.4">
      <c r="A313" s="12" t="s">
        <v>748</v>
      </c>
      <c r="B313" s="13">
        <v>1</v>
      </c>
    </row>
    <row r="314" spans="1:2" hidden="1" x14ac:dyDescent="0.4">
      <c r="A314" s="12" t="s">
        <v>583</v>
      </c>
      <c r="B314" s="13">
        <v>1</v>
      </c>
    </row>
    <row r="315" spans="1:2" hidden="1" x14ac:dyDescent="0.4">
      <c r="A315" s="12" t="s">
        <v>752</v>
      </c>
      <c r="B315" s="13">
        <v>1</v>
      </c>
    </row>
    <row r="316" spans="1:2" hidden="1" x14ac:dyDescent="0.4">
      <c r="A316" s="12" t="s">
        <v>584</v>
      </c>
      <c r="B316" s="13">
        <v>1</v>
      </c>
    </row>
    <row r="317" spans="1:2" hidden="1" x14ac:dyDescent="0.4">
      <c r="A317" s="12" t="s">
        <v>756</v>
      </c>
      <c r="B317" s="13">
        <v>1</v>
      </c>
    </row>
    <row r="318" spans="1:2" hidden="1" x14ac:dyDescent="0.4">
      <c r="A318" s="12" t="s">
        <v>585</v>
      </c>
      <c r="B318" s="13">
        <v>1</v>
      </c>
    </row>
    <row r="319" spans="1:2" hidden="1" x14ac:dyDescent="0.4">
      <c r="A319" s="12" t="s">
        <v>760</v>
      </c>
      <c r="B319" s="13">
        <v>1</v>
      </c>
    </row>
    <row r="320" spans="1:2" hidden="1" x14ac:dyDescent="0.4">
      <c r="A320" s="12" t="s">
        <v>647</v>
      </c>
      <c r="B320" s="13">
        <v>1</v>
      </c>
    </row>
    <row r="321" spans="1:2" hidden="1" x14ac:dyDescent="0.4">
      <c r="A321" s="12" t="s">
        <v>764</v>
      </c>
      <c r="B321" s="13">
        <v>1</v>
      </c>
    </row>
    <row r="322" spans="1:2" hidden="1" x14ac:dyDescent="0.4">
      <c r="A322" s="12" t="s">
        <v>586</v>
      </c>
      <c r="B322" s="13">
        <v>1</v>
      </c>
    </row>
    <row r="323" spans="1:2" hidden="1" x14ac:dyDescent="0.4">
      <c r="A323" s="12" t="s">
        <v>768</v>
      </c>
      <c r="B323" s="13">
        <v>1</v>
      </c>
    </row>
    <row r="324" spans="1:2" hidden="1" x14ac:dyDescent="0.4">
      <c r="A324" s="12" t="s">
        <v>587</v>
      </c>
      <c r="B324" s="13">
        <v>1</v>
      </c>
    </row>
    <row r="325" spans="1:2" hidden="1" x14ac:dyDescent="0.4">
      <c r="A325" s="12" t="s">
        <v>772</v>
      </c>
      <c r="B325" s="13">
        <v>1</v>
      </c>
    </row>
    <row r="326" spans="1:2" hidden="1" x14ac:dyDescent="0.4">
      <c r="A326" s="12" t="s">
        <v>588</v>
      </c>
      <c r="B326" s="13">
        <v>1</v>
      </c>
    </row>
    <row r="327" spans="1:2" hidden="1" x14ac:dyDescent="0.4">
      <c r="A327" s="12" t="s">
        <v>776</v>
      </c>
      <c r="B327" s="13">
        <v>1</v>
      </c>
    </row>
    <row r="328" spans="1:2" hidden="1" x14ac:dyDescent="0.4">
      <c r="A328" s="12" t="s">
        <v>589</v>
      </c>
      <c r="B328" s="13">
        <v>1</v>
      </c>
    </row>
    <row r="329" spans="1:2" hidden="1" x14ac:dyDescent="0.4">
      <c r="A329" s="12" t="s">
        <v>780</v>
      </c>
      <c r="B329" s="13">
        <v>1</v>
      </c>
    </row>
    <row r="330" spans="1:2" hidden="1" x14ac:dyDescent="0.4">
      <c r="A330" s="12" t="s">
        <v>652</v>
      </c>
      <c r="B330" s="13">
        <v>1</v>
      </c>
    </row>
    <row r="331" spans="1:2" hidden="1" x14ac:dyDescent="0.4">
      <c r="A331" s="12" t="s">
        <v>784</v>
      </c>
      <c r="B331" s="13">
        <v>1</v>
      </c>
    </row>
    <row r="332" spans="1:2" hidden="1" x14ac:dyDescent="0.4">
      <c r="A332" s="12" t="s">
        <v>590</v>
      </c>
      <c r="B332" s="13">
        <v>1</v>
      </c>
    </row>
    <row r="333" spans="1:2" hidden="1" x14ac:dyDescent="0.4">
      <c r="A333" s="12" t="s">
        <v>788</v>
      </c>
      <c r="B333" s="13">
        <v>1</v>
      </c>
    </row>
    <row r="334" spans="1:2" hidden="1" x14ac:dyDescent="0.4">
      <c r="A334" s="12" t="s">
        <v>591</v>
      </c>
      <c r="B334" s="13">
        <v>1</v>
      </c>
    </row>
    <row r="335" spans="1:2" hidden="1" x14ac:dyDescent="0.4">
      <c r="A335" s="12" t="s">
        <v>792</v>
      </c>
      <c r="B335" s="13">
        <v>1</v>
      </c>
    </row>
    <row r="336" spans="1:2" hidden="1" x14ac:dyDescent="0.4">
      <c r="A336" s="12" t="s">
        <v>655</v>
      </c>
      <c r="B336" s="13">
        <v>1</v>
      </c>
    </row>
    <row r="337" spans="1:2" hidden="1" x14ac:dyDescent="0.4">
      <c r="A337" s="12" t="s">
        <v>796</v>
      </c>
      <c r="B337" s="13">
        <v>1</v>
      </c>
    </row>
    <row r="338" spans="1:2" hidden="1" x14ac:dyDescent="0.4">
      <c r="A338" s="12" t="s">
        <v>570</v>
      </c>
      <c r="B338" s="13">
        <v>1</v>
      </c>
    </row>
    <row r="339" spans="1:2" hidden="1" x14ac:dyDescent="0.4">
      <c r="A339" s="12" t="s">
        <v>800</v>
      </c>
      <c r="B339" s="13">
        <v>1</v>
      </c>
    </row>
    <row r="340" spans="1:2" hidden="1" x14ac:dyDescent="0.4">
      <c r="A340" s="12" t="s">
        <v>657</v>
      </c>
      <c r="B340" s="13">
        <v>1</v>
      </c>
    </row>
    <row r="341" spans="1:2" hidden="1" x14ac:dyDescent="0.4">
      <c r="A341" s="12" t="s">
        <v>804</v>
      </c>
      <c r="B341" s="13">
        <v>1</v>
      </c>
    </row>
    <row r="342" spans="1:2" hidden="1" x14ac:dyDescent="0.4">
      <c r="A342" s="12" t="s">
        <v>658</v>
      </c>
      <c r="B342" s="13">
        <v>1</v>
      </c>
    </row>
    <row r="343" spans="1:2" hidden="1" x14ac:dyDescent="0.4">
      <c r="A343" s="12" t="s">
        <v>808</v>
      </c>
      <c r="B343" s="13">
        <v>1</v>
      </c>
    </row>
    <row r="344" spans="1:2" hidden="1" x14ac:dyDescent="0.4">
      <c r="A344" s="12" t="s">
        <v>593</v>
      </c>
      <c r="B344" s="13">
        <v>1</v>
      </c>
    </row>
    <row r="345" spans="1:2" hidden="1" x14ac:dyDescent="0.4">
      <c r="A345" s="12" t="s">
        <v>812</v>
      </c>
      <c r="B345" s="13">
        <v>1</v>
      </c>
    </row>
    <row r="346" spans="1:2" hidden="1" x14ac:dyDescent="0.4">
      <c r="A346" s="12" t="s">
        <v>594</v>
      </c>
      <c r="B346" s="13">
        <v>1</v>
      </c>
    </row>
    <row r="347" spans="1:2" hidden="1" x14ac:dyDescent="0.4">
      <c r="A347" s="12" t="s">
        <v>816</v>
      </c>
      <c r="B347" s="13">
        <v>1</v>
      </c>
    </row>
    <row r="348" spans="1:2" hidden="1" x14ac:dyDescent="0.4">
      <c r="A348" s="12" t="s">
        <v>595</v>
      </c>
      <c r="B348" s="13">
        <v>1</v>
      </c>
    </row>
    <row r="349" spans="1:2" hidden="1" x14ac:dyDescent="0.4">
      <c r="A349" s="12" t="s">
        <v>820</v>
      </c>
      <c r="B349" s="13">
        <v>1</v>
      </c>
    </row>
    <row r="350" spans="1:2" hidden="1" x14ac:dyDescent="0.4">
      <c r="A350" s="12" t="s">
        <v>662</v>
      </c>
      <c r="B350" s="13">
        <v>1</v>
      </c>
    </row>
    <row r="351" spans="1:2" hidden="1" x14ac:dyDescent="0.4">
      <c r="A351" s="12" t="s">
        <v>824</v>
      </c>
      <c r="B351" s="13">
        <v>1</v>
      </c>
    </row>
    <row r="352" spans="1:2" hidden="1" x14ac:dyDescent="0.4">
      <c r="A352" s="12" t="s">
        <v>663</v>
      </c>
      <c r="B352" s="13">
        <v>1</v>
      </c>
    </row>
    <row r="353" spans="1:2" hidden="1" x14ac:dyDescent="0.4">
      <c r="A353" s="12" t="s">
        <v>828</v>
      </c>
      <c r="B353" s="13">
        <v>1</v>
      </c>
    </row>
    <row r="354" spans="1:2" hidden="1" x14ac:dyDescent="0.4">
      <c r="A354" s="12" t="s">
        <v>664</v>
      </c>
      <c r="B354" s="13">
        <v>1</v>
      </c>
    </row>
    <row r="355" spans="1:2" hidden="1" x14ac:dyDescent="0.4">
      <c r="A355" s="12" t="s">
        <v>832</v>
      </c>
      <c r="B355" s="13">
        <v>1</v>
      </c>
    </row>
    <row r="356" spans="1:2" hidden="1" x14ac:dyDescent="0.4">
      <c r="A356" s="12" t="s">
        <v>665</v>
      </c>
      <c r="B356" s="13">
        <v>1</v>
      </c>
    </row>
    <row r="357" spans="1:2" hidden="1" x14ac:dyDescent="0.4">
      <c r="A357" s="12" t="s">
        <v>611</v>
      </c>
      <c r="B357" s="13">
        <v>1</v>
      </c>
    </row>
    <row r="358" spans="1:2" hidden="1" x14ac:dyDescent="0.4">
      <c r="A358" s="12" t="s">
        <v>666</v>
      </c>
      <c r="B358" s="13">
        <v>1</v>
      </c>
    </row>
    <row r="359" spans="1:2" hidden="1" x14ac:dyDescent="0.4">
      <c r="A359" s="12" t="s">
        <v>725</v>
      </c>
      <c r="B359" s="13">
        <v>1</v>
      </c>
    </row>
    <row r="360" spans="1:2" hidden="1" x14ac:dyDescent="0.4">
      <c r="A360" s="12" t="s">
        <v>667</v>
      </c>
      <c r="B360" s="13">
        <v>1</v>
      </c>
    </row>
    <row r="361" spans="1:2" hidden="1" x14ac:dyDescent="0.4">
      <c r="A361" s="12" t="s">
        <v>607</v>
      </c>
      <c r="B361" s="13">
        <v>1</v>
      </c>
    </row>
    <row r="362" spans="1:2" hidden="1" x14ac:dyDescent="0.4">
      <c r="A362" s="12" t="s">
        <v>668</v>
      </c>
      <c r="B362" s="13">
        <v>1</v>
      </c>
    </row>
    <row r="363" spans="1:2" hidden="1" x14ac:dyDescent="0.4">
      <c r="A363" s="12" t="s">
        <v>608</v>
      </c>
      <c r="B363" s="13">
        <v>1</v>
      </c>
    </row>
    <row r="364" spans="1:2" hidden="1" x14ac:dyDescent="0.4">
      <c r="A364" s="12" t="s">
        <v>669</v>
      </c>
      <c r="B364" s="13">
        <v>1</v>
      </c>
    </row>
    <row r="365" spans="1:2" hidden="1" x14ac:dyDescent="0.4">
      <c r="A365" s="12" t="s">
        <v>731</v>
      </c>
      <c r="B365" s="13">
        <v>1</v>
      </c>
    </row>
    <row r="366" spans="1:2" hidden="1" x14ac:dyDescent="0.4">
      <c r="A366" s="12" t="s">
        <v>670</v>
      </c>
      <c r="B366" s="13">
        <v>1</v>
      </c>
    </row>
    <row r="367" spans="1:2" hidden="1" x14ac:dyDescent="0.4">
      <c r="A367" s="12" t="s">
        <v>733</v>
      </c>
      <c r="B367" s="13">
        <v>1</v>
      </c>
    </row>
    <row r="368" spans="1:2" hidden="1" x14ac:dyDescent="0.4">
      <c r="A368" s="12" t="s">
        <v>671</v>
      </c>
      <c r="B368" s="13">
        <v>1</v>
      </c>
    </row>
    <row r="369" spans="1:2" hidden="1" x14ac:dyDescent="0.4">
      <c r="A369" s="12" t="s">
        <v>735</v>
      </c>
      <c r="B369" s="13">
        <v>1</v>
      </c>
    </row>
    <row r="370" spans="1:2" hidden="1" x14ac:dyDescent="0.4">
      <c r="A370" s="12" t="s">
        <v>596</v>
      </c>
      <c r="B370" s="13">
        <v>1</v>
      </c>
    </row>
    <row r="371" spans="1:2" hidden="1" x14ac:dyDescent="0.4">
      <c r="A371" s="12" t="s">
        <v>737</v>
      </c>
      <c r="B371" s="13">
        <v>1</v>
      </c>
    </row>
    <row r="372" spans="1:2" hidden="1" x14ac:dyDescent="0.4">
      <c r="A372" s="12" t="s">
        <v>673</v>
      </c>
      <c r="B372" s="13">
        <v>1</v>
      </c>
    </row>
    <row r="373" spans="1:2" hidden="1" x14ac:dyDescent="0.4">
      <c r="A373" s="12" t="s">
        <v>739</v>
      </c>
      <c r="B373" s="13">
        <v>1</v>
      </c>
    </row>
    <row r="374" spans="1:2" hidden="1" x14ac:dyDescent="0.4">
      <c r="A374" s="12" t="s">
        <v>597</v>
      </c>
      <c r="B374" s="13">
        <v>1</v>
      </c>
    </row>
    <row r="375" spans="1:2" hidden="1" x14ac:dyDescent="0.4">
      <c r="A375" s="12" t="s">
        <v>741</v>
      </c>
      <c r="B375" s="13">
        <v>1</v>
      </c>
    </row>
    <row r="376" spans="1:2" hidden="1" x14ac:dyDescent="0.4">
      <c r="A376" s="12" t="s">
        <v>675</v>
      </c>
      <c r="B376" s="13">
        <v>1</v>
      </c>
    </row>
    <row r="377" spans="1:2" hidden="1" x14ac:dyDescent="0.4">
      <c r="A377" s="12" t="s">
        <v>743</v>
      </c>
      <c r="B377" s="13">
        <v>1</v>
      </c>
    </row>
    <row r="378" spans="1:2" hidden="1" x14ac:dyDescent="0.4">
      <c r="A378" s="12" t="s">
        <v>598</v>
      </c>
      <c r="B378" s="13">
        <v>1</v>
      </c>
    </row>
    <row r="379" spans="1:2" hidden="1" x14ac:dyDescent="0.4">
      <c r="A379" s="12" t="s">
        <v>745</v>
      </c>
      <c r="B379" s="13">
        <v>1</v>
      </c>
    </row>
    <row r="380" spans="1:2" hidden="1" x14ac:dyDescent="0.4">
      <c r="A380" s="12" t="s">
        <v>677</v>
      </c>
      <c r="B380" s="13">
        <v>1</v>
      </c>
    </row>
    <row r="381" spans="1:2" hidden="1" x14ac:dyDescent="0.4">
      <c r="A381" s="12" t="s">
        <v>747</v>
      </c>
      <c r="B381" s="13">
        <v>1</v>
      </c>
    </row>
    <row r="382" spans="1:2" hidden="1" x14ac:dyDescent="0.4">
      <c r="A382" s="12" t="s">
        <v>678</v>
      </c>
      <c r="B382" s="13">
        <v>1</v>
      </c>
    </row>
    <row r="383" spans="1:2" hidden="1" x14ac:dyDescent="0.4">
      <c r="A383" s="12" t="s">
        <v>610</v>
      </c>
      <c r="B383" s="13">
        <v>1</v>
      </c>
    </row>
    <row r="384" spans="1:2" hidden="1" x14ac:dyDescent="0.4">
      <c r="A384" s="12" t="s">
        <v>679</v>
      </c>
      <c r="B384" s="13">
        <v>1</v>
      </c>
    </row>
    <row r="385" spans="1:2" hidden="1" x14ac:dyDescent="0.4">
      <c r="A385" s="12" t="s">
        <v>751</v>
      </c>
      <c r="B385" s="13">
        <v>1</v>
      </c>
    </row>
    <row r="386" spans="1:2" hidden="1" x14ac:dyDescent="0.4">
      <c r="A386" s="12" t="s">
        <v>680</v>
      </c>
      <c r="B386" s="13">
        <v>1</v>
      </c>
    </row>
    <row r="387" spans="1:2" hidden="1" x14ac:dyDescent="0.4">
      <c r="A387" s="12" t="s">
        <v>753</v>
      </c>
      <c r="B387" s="13">
        <v>1</v>
      </c>
    </row>
    <row r="388" spans="1:2" hidden="1" x14ac:dyDescent="0.4">
      <c r="A388" s="12" t="s">
        <v>681</v>
      </c>
      <c r="B388" s="13">
        <v>1</v>
      </c>
    </row>
    <row r="389" spans="1:2" hidden="1" x14ac:dyDescent="0.4">
      <c r="A389" s="12" t="s">
        <v>755</v>
      </c>
      <c r="B389" s="13">
        <v>1</v>
      </c>
    </row>
    <row r="390" spans="1:2" hidden="1" x14ac:dyDescent="0.4">
      <c r="A390" s="12" t="s">
        <v>682</v>
      </c>
      <c r="B390" s="13">
        <v>1</v>
      </c>
    </row>
    <row r="391" spans="1:2" hidden="1" x14ac:dyDescent="0.4">
      <c r="A391" s="12" t="s">
        <v>757</v>
      </c>
      <c r="B391" s="13">
        <v>1</v>
      </c>
    </row>
    <row r="392" spans="1:2" hidden="1" x14ac:dyDescent="0.4">
      <c r="A392" s="12" t="s">
        <v>599</v>
      </c>
      <c r="B392" s="13">
        <v>1</v>
      </c>
    </row>
    <row r="393" spans="1:2" hidden="1" x14ac:dyDescent="0.4">
      <c r="A393" s="12" t="s">
        <v>759</v>
      </c>
      <c r="B393" s="13">
        <v>1</v>
      </c>
    </row>
    <row r="394" spans="1:2" hidden="1" x14ac:dyDescent="0.4">
      <c r="A394" s="12" t="s">
        <v>684</v>
      </c>
      <c r="B394" s="13">
        <v>1</v>
      </c>
    </row>
    <row r="395" spans="1:2" hidden="1" x14ac:dyDescent="0.4">
      <c r="A395" s="12" t="s">
        <v>761</v>
      </c>
      <c r="B395" s="13">
        <v>1</v>
      </c>
    </row>
    <row r="396" spans="1:2" hidden="1" x14ac:dyDescent="0.4">
      <c r="A396" s="12" t="s">
        <v>685</v>
      </c>
      <c r="B396" s="13">
        <v>1</v>
      </c>
    </row>
    <row r="397" spans="1:2" hidden="1" x14ac:dyDescent="0.4">
      <c r="A397" s="12" t="s">
        <v>763</v>
      </c>
      <c r="B397" s="13">
        <v>1</v>
      </c>
    </row>
    <row r="398" spans="1:2" hidden="1" x14ac:dyDescent="0.4">
      <c r="A398" s="12" t="s">
        <v>571</v>
      </c>
      <c r="B398" s="13">
        <v>1</v>
      </c>
    </row>
    <row r="399" spans="1:2" hidden="1" x14ac:dyDescent="0.4">
      <c r="A399" s="12" t="s">
        <v>765</v>
      </c>
      <c r="B399" s="13">
        <v>1</v>
      </c>
    </row>
    <row r="400" spans="1:2" hidden="1" x14ac:dyDescent="0.4">
      <c r="A400" s="12" t="s">
        <v>687</v>
      </c>
      <c r="B400" s="13">
        <v>1</v>
      </c>
    </row>
    <row r="401" spans="1:2" hidden="1" x14ac:dyDescent="0.4">
      <c r="A401" s="12" t="s">
        <v>767</v>
      </c>
      <c r="B401" s="13">
        <v>1</v>
      </c>
    </row>
    <row r="402" spans="1:2" hidden="1" x14ac:dyDescent="0.4">
      <c r="A402" s="12" t="s">
        <v>688</v>
      </c>
      <c r="B402" s="13">
        <v>1</v>
      </c>
    </row>
    <row r="403" spans="1:2" hidden="1" x14ac:dyDescent="0.4">
      <c r="A403" s="12" t="s">
        <v>769</v>
      </c>
      <c r="B403" s="13">
        <v>1</v>
      </c>
    </row>
    <row r="404" spans="1:2" hidden="1" x14ac:dyDescent="0.4">
      <c r="A404" s="12" t="s">
        <v>689</v>
      </c>
      <c r="B404" s="13">
        <v>1</v>
      </c>
    </row>
    <row r="405" spans="1:2" hidden="1" x14ac:dyDescent="0.4">
      <c r="A405" s="12" t="s">
        <v>771</v>
      </c>
      <c r="B405" s="13">
        <v>1</v>
      </c>
    </row>
    <row r="406" spans="1:2" hidden="1" x14ac:dyDescent="0.4">
      <c r="A406" s="12" t="s">
        <v>690</v>
      </c>
      <c r="B406" s="13">
        <v>1</v>
      </c>
    </row>
    <row r="407" spans="1:2" hidden="1" x14ac:dyDescent="0.4">
      <c r="A407" s="12" t="s">
        <v>773</v>
      </c>
      <c r="B407" s="13">
        <v>1</v>
      </c>
    </row>
    <row r="408" spans="1:2" hidden="1" x14ac:dyDescent="0.4">
      <c r="A408" s="12" t="s">
        <v>691</v>
      </c>
      <c r="B408" s="13">
        <v>1</v>
      </c>
    </row>
    <row r="409" spans="1:2" hidden="1" x14ac:dyDescent="0.4">
      <c r="A409" s="12" t="s">
        <v>775</v>
      </c>
      <c r="B409" s="13">
        <v>1</v>
      </c>
    </row>
    <row r="410" spans="1:2" hidden="1" x14ac:dyDescent="0.4">
      <c r="A410" s="12" t="s">
        <v>692</v>
      </c>
      <c r="B410" s="13">
        <v>1</v>
      </c>
    </row>
    <row r="411" spans="1:2" hidden="1" x14ac:dyDescent="0.4">
      <c r="A411" s="12" t="s">
        <v>777</v>
      </c>
      <c r="B411" s="13">
        <v>1</v>
      </c>
    </row>
    <row r="412" spans="1:2" hidden="1" x14ac:dyDescent="0.4">
      <c r="A412" s="12" t="s">
        <v>576</v>
      </c>
      <c r="B412" s="13">
        <v>1</v>
      </c>
    </row>
    <row r="413" spans="1:2" hidden="1" x14ac:dyDescent="0.4">
      <c r="A413" s="12" t="s">
        <v>779</v>
      </c>
      <c r="B413" s="13">
        <v>1</v>
      </c>
    </row>
    <row r="414" spans="1:2" hidden="1" x14ac:dyDescent="0.4">
      <c r="A414" s="12" t="s">
        <v>694</v>
      </c>
      <c r="B414" s="13">
        <v>1</v>
      </c>
    </row>
    <row r="415" spans="1:2" hidden="1" x14ac:dyDescent="0.4">
      <c r="A415" s="12" t="s">
        <v>781</v>
      </c>
      <c r="B415" s="13">
        <v>1</v>
      </c>
    </row>
    <row r="416" spans="1:2" hidden="1" x14ac:dyDescent="0.4">
      <c r="A416" s="12" t="s">
        <v>695</v>
      </c>
      <c r="B416" s="13">
        <v>1</v>
      </c>
    </row>
    <row r="417" spans="1:2" hidden="1" x14ac:dyDescent="0.4">
      <c r="A417" s="12" t="s">
        <v>783</v>
      </c>
      <c r="B417" s="13">
        <v>1</v>
      </c>
    </row>
    <row r="418" spans="1:2" hidden="1" x14ac:dyDescent="0.4">
      <c r="A418" s="12" t="s">
        <v>696</v>
      </c>
      <c r="B418" s="13">
        <v>1</v>
      </c>
    </row>
    <row r="419" spans="1:2" hidden="1" x14ac:dyDescent="0.4">
      <c r="A419" s="12" t="s">
        <v>785</v>
      </c>
      <c r="B419" s="13">
        <v>1</v>
      </c>
    </row>
    <row r="420" spans="1:2" hidden="1" x14ac:dyDescent="0.4">
      <c r="A420" s="12" t="s">
        <v>697</v>
      </c>
      <c r="B420" s="13">
        <v>1</v>
      </c>
    </row>
    <row r="421" spans="1:2" hidden="1" x14ac:dyDescent="0.4">
      <c r="A421" s="12" t="s">
        <v>787</v>
      </c>
      <c r="B421" s="13">
        <v>1</v>
      </c>
    </row>
    <row r="422" spans="1:2" hidden="1" x14ac:dyDescent="0.4">
      <c r="A422" s="12" t="s">
        <v>698</v>
      </c>
      <c r="B422" s="13">
        <v>1</v>
      </c>
    </row>
    <row r="423" spans="1:2" hidden="1" x14ac:dyDescent="0.4">
      <c r="A423" s="12" t="s">
        <v>789</v>
      </c>
      <c r="B423" s="13">
        <v>1</v>
      </c>
    </row>
    <row r="424" spans="1:2" hidden="1" x14ac:dyDescent="0.4">
      <c r="A424" s="12" t="s">
        <v>602</v>
      </c>
      <c r="B424" s="13">
        <v>1</v>
      </c>
    </row>
    <row r="425" spans="1:2" hidden="1" x14ac:dyDescent="0.4">
      <c r="A425" s="12" t="s">
        <v>791</v>
      </c>
      <c r="B425" s="13">
        <v>1</v>
      </c>
    </row>
    <row r="426" spans="1:2" hidden="1" x14ac:dyDescent="0.4">
      <c r="A426" s="12" t="s">
        <v>700</v>
      </c>
      <c r="B426" s="13">
        <v>1</v>
      </c>
    </row>
    <row r="427" spans="1:2" hidden="1" x14ac:dyDescent="0.4">
      <c r="A427" s="12" t="s">
        <v>793</v>
      </c>
      <c r="B427" s="13">
        <v>1</v>
      </c>
    </row>
    <row r="428" spans="1:2" hidden="1" x14ac:dyDescent="0.4">
      <c r="A428" s="12" t="s">
        <v>836</v>
      </c>
      <c r="B428" s="13">
        <v>1</v>
      </c>
    </row>
    <row r="429" spans="1:2" hidden="1" x14ac:dyDescent="0.4">
      <c r="A429" s="12" t="s">
        <v>795</v>
      </c>
      <c r="B429" s="13">
        <v>1</v>
      </c>
    </row>
    <row r="430" spans="1:2" hidden="1" x14ac:dyDescent="0.4">
      <c r="A430" s="12" t="s">
        <v>837</v>
      </c>
      <c r="B430" s="13">
        <v>1</v>
      </c>
    </row>
    <row r="431" spans="1:2" hidden="1" x14ac:dyDescent="0.4">
      <c r="A431" s="12" t="s">
        <v>797</v>
      </c>
      <c r="B431" s="13">
        <v>1</v>
      </c>
    </row>
    <row r="432" spans="1:2" hidden="1" x14ac:dyDescent="0.4">
      <c r="A432" s="12" t="s">
        <v>839</v>
      </c>
      <c r="B432" s="13">
        <v>1</v>
      </c>
    </row>
    <row r="433" spans="1:2" hidden="1" x14ac:dyDescent="0.4">
      <c r="A433" s="12" t="s">
        <v>799</v>
      </c>
      <c r="B433" s="13">
        <v>1</v>
      </c>
    </row>
    <row r="434" spans="1:2" hidden="1" x14ac:dyDescent="0.4">
      <c r="A434" s="12" t="s">
        <v>841</v>
      </c>
      <c r="B434" s="13">
        <v>1</v>
      </c>
    </row>
    <row r="435" spans="1:2" hidden="1" x14ac:dyDescent="0.4">
      <c r="A435" s="12" t="s">
        <v>801</v>
      </c>
      <c r="B435" s="13">
        <v>1</v>
      </c>
    </row>
    <row r="436" spans="1:2" hidden="1" x14ac:dyDescent="0.4">
      <c r="A436" s="12" t="s">
        <v>705</v>
      </c>
      <c r="B436" s="13">
        <v>1</v>
      </c>
    </row>
    <row r="437" spans="1:2" hidden="1" x14ac:dyDescent="0.4">
      <c r="A437" s="12" t="s">
        <v>803</v>
      </c>
      <c r="B437" s="13">
        <v>1</v>
      </c>
    </row>
    <row r="438" spans="1:2" hidden="1" x14ac:dyDescent="0.4">
      <c r="A438" s="12" t="s">
        <v>706</v>
      </c>
      <c r="B438" s="13">
        <v>1</v>
      </c>
    </row>
    <row r="439" spans="1:2" hidden="1" x14ac:dyDescent="0.4">
      <c r="A439" s="12" t="s">
        <v>805</v>
      </c>
      <c r="B439" s="13">
        <v>1</v>
      </c>
    </row>
    <row r="440" spans="1:2" hidden="1" x14ac:dyDescent="0.4">
      <c r="A440" s="12" t="s">
        <v>707</v>
      </c>
      <c r="B440" s="13">
        <v>1</v>
      </c>
    </row>
    <row r="441" spans="1:2" hidden="1" x14ac:dyDescent="0.4">
      <c r="A441" s="12" t="s">
        <v>807</v>
      </c>
      <c r="B441" s="13">
        <v>1</v>
      </c>
    </row>
    <row r="442" spans="1:2" hidden="1" x14ac:dyDescent="0.4">
      <c r="A442" s="12" t="s">
        <v>708</v>
      </c>
      <c r="B442" s="13">
        <v>1</v>
      </c>
    </row>
    <row r="443" spans="1:2" hidden="1" x14ac:dyDescent="0.4">
      <c r="A443" s="12" t="s">
        <v>809</v>
      </c>
      <c r="B443" s="13">
        <v>1</v>
      </c>
    </row>
    <row r="444" spans="1:2" hidden="1" x14ac:dyDescent="0.4">
      <c r="A444" s="12" t="s">
        <v>709</v>
      </c>
      <c r="B444" s="13">
        <v>1</v>
      </c>
    </row>
    <row r="445" spans="1:2" hidden="1" x14ac:dyDescent="0.4">
      <c r="A445" s="12" t="s">
        <v>811</v>
      </c>
      <c r="B445" s="13">
        <v>1</v>
      </c>
    </row>
    <row r="446" spans="1:2" hidden="1" x14ac:dyDescent="0.4">
      <c r="A446" s="12" t="s">
        <v>710</v>
      </c>
      <c r="B446" s="13">
        <v>1</v>
      </c>
    </row>
    <row r="447" spans="1:2" hidden="1" x14ac:dyDescent="0.4">
      <c r="A447" s="12" t="s">
        <v>813</v>
      </c>
      <c r="B447" s="13">
        <v>1</v>
      </c>
    </row>
    <row r="448" spans="1:2" hidden="1" x14ac:dyDescent="0.4">
      <c r="A448" s="12" t="s">
        <v>577</v>
      </c>
      <c r="B448" s="13">
        <v>1</v>
      </c>
    </row>
    <row r="449" spans="1:2" hidden="1" x14ac:dyDescent="0.4">
      <c r="A449" s="12" t="s">
        <v>815</v>
      </c>
      <c r="B449" s="13">
        <v>1</v>
      </c>
    </row>
    <row r="450" spans="1:2" hidden="1" x14ac:dyDescent="0.4">
      <c r="A450" s="12" t="s">
        <v>578</v>
      </c>
      <c r="B450" s="13">
        <v>1</v>
      </c>
    </row>
    <row r="451" spans="1:2" hidden="1" x14ac:dyDescent="0.4">
      <c r="A451" s="12" t="s">
        <v>817</v>
      </c>
      <c r="B451" s="13">
        <v>1</v>
      </c>
    </row>
    <row r="452" spans="1:2" hidden="1" x14ac:dyDescent="0.4">
      <c r="A452" s="12" t="s">
        <v>713</v>
      </c>
      <c r="B452" s="13">
        <v>1</v>
      </c>
    </row>
    <row r="453" spans="1:2" hidden="1" x14ac:dyDescent="0.4">
      <c r="A453" s="12" t="s">
        <v>819</v>
      </c>
      <c r="B453" s="13">
        <v>1</v>
      </c>
    </row>
    <row r="454" spans="1:2" hidden="1" x14ac:dyDescent="0.4">
      <c r="A454" s="12" t="s">
        <v>714</v>
      </c>
      <c r="B454" s="13">
        <v>1</v>
      </c>
    </row>
    <row r="455" spans="1:2" hidden="1" x14ac:dyDescent="0.4">
      <c r="A455" s="12" t="s">
        <v>821</v>
      </c>
      <c r="B455" s="13">
        <v>1</v>
      </c>
    </row>
    <row r="456" spans="1:2" hidden="1" x14ac:dyDescent="0.4">
      <c r="A456" s="12" t="s">
        <v>715</v>
      </c>
      <c r="B456" s="13">
        <v>1</v>
      </c>
    </row>
    <row r="457" spans="1:2" hidden="1" x14ac:dyDescent="0.4">
      <c r="A457" s="12" t="s">
        <v>823</v>
      </c>
      <c r="B457" s="13">
        <v>1</v>
      </c>
    </row>
    <row r="458" spans="1:2" hidden="1" x14ac:dyDescent="0.4">
      <c r="A458" s="12" t="s">
        <v>716</v>
      </c>
      <c r="B458" s="13">
        <v>1</v>
      </c>
    </row>
    <row r="459" spans="1:2" hidden="1" x14ac:dyDescent="0.4">
      <c r="A459" s="12" t="s">
        <v>825</v>
      </c>
      <c r="B459" s="13">
        <v>1</v>
      </c>
    </row>
    <row r="460" spans="1:2" hidden="1" x14ac:dyDescent="0.4">
      <c r="A460" s="12" t="s">
        <v>605</v>
      </c>
      <c r="B460" s="13">
        <v>1</v>
      </c>
    </row>
    <row r="461" spans="1:2" hidden="1" x14ac:dyDescent="0.4">
      <c r="A461" s="12" t="s">
        <v>827</v>
      </c>
      <c r="B461" s="13">
        <v>1</v>
      </c>
    </row>
    <row r="462" spans="1:2" hidden="1" x14ac:dyDescent="0.4">
      <c r="A462" s="12" t="s">
        <v>718</v>
      </c>
      <c r="B462" s="13">
        <v>1</v>
      </c>
    </row>
    <row r="463" spans="1:2" hidden="1" x14ac:dyDescent="0.4">
      <c r="A463" s="12" t="s">
        <v>829</v>
      </c>
      <c r="B463" s="13">
        <v>1</v>
      </c>
    </row>
    <row r="464" spans="1:2" hidden="1" x14ac:dyDescent="0.4">
      <c r="A464" s="12" t="s">
        <v>719</v>
      </c>
      <c r="B464" s="13">
        <v>1</v>
      </c>
    </row>
    <row r="465" spans="1:2" hidden="1" x14ac:dyDescent="0.4">
      <c r="A465" s="12" t="s">
        <v>831</v>
      </c>
      <c r="B465" s="13">
        <v>1</v>
      </c>
    </row>
    <row r="466" spans="1:2" hidden="1" x14ac:dyDescent="0.4">
      <c r="A466" s="12" t="s">
        <v>606</v>
      </c>
      <c r="B466" s="13">
        <v>1</v>
      </c>
    </row>
    <row r="467" spans="1:2" hidden="1" x14ac:dyDescent="0.4">
      <c r="A467" s="12" t="s">
        <v>833</v>
      </c>
      <c r="B467" s="13">
        <v>1</v>
      </c>
    </row>
    <row r="468" spans="1:2" hidden="1" x14ac:dyDescent="0.4">
      <c r="A468" s="12" t="s">
        <v>721</v>
      </c>
      <c r="B468" s="13">
        <v>1</v>
      </c>
    </row>
    <row r="469" spans="1:2" hidden="1" x14ac:dyDescent="0.4">
      <c r="A469" s="12" t="s">
        <v>835</v>
      </c>
      <c r="B469" s="13">
        <v>1</v>
      </c>
    </row>
    <row r="470" spans="1:2" hidden="1" x14ac:dyDescent="0.4">
      <c r="A470" s="12" t="s">
        <v>722</v>
      </c>
      <c r="B470" s="13">
        <v>1</v>
      </c>
    </row>
    <row r="471" spans="1:2" hidden="1" x14ac:dyDescent="0.4">
      <c r="A471" s="12" t="s">
        <v>723</v>
      </c>
      <c r="B471" s="13">
        <v>1</v>
      </c>
    </row>
    <row r="472" spans="1:2" hidden="1" x14ac:dyDescent="0.4">
      <c r="A472" s="12" t="s">
        <v>838</v>
      </c>
      <c r="B472" s="13">
        <v>1</v>
      </c>
    </row>
    <row r="473" spans="1:2" hidden="1" x14ac:dyDescent="0.4">
      <c r="A473" s="12" t="s">
        <v>702</v>
      </c>
      <c r="B473" s="13">
        <v>1</v>
      </c>
    </row>
    <row r="474" spans="1:2" hidden="1" x14ac:dyDescent="0.4">
      <c r="A474" s="12" t="s">
        <v>840</v>
      </c>
      <c r="B474" s="13">
        <v>1</v>
      </c>
    </row>
    <row r="475" spans="1:2" hidden="1" x14ac:dyDescent="0.4">
      <c r="A475" s="12" t="s">
        <v>703</v>
      </c>
      <c r="B475" s="13">
        <v>1</v>
      </c>
    </row>
    <row r="476" spans="1:2" hidden="1" x14ac:dyDescent="0.4">
      <c r="A476" s="12" t="s">
        <v>568</v>
      </c>
      <c r="B476" s="13">
        <v>1</v>
      </c>
    </row>
    <row r="477" spans="1:2" hidden="1" x14ac:dyDescent="0.4">
      <c r="A477" s="12" t="s">
        <v>704</v>
      </c>
      <c r="B477" s="13">
        <v>1</v>
      </c>
    </row>
    <row r="478" spans="1:2" hidden="1" x14ac:dyDescent="0.4">
      <c r="A478" s="12" t="s">
        <v>499</v>
      </c>
      <c r="B478" s="13">
        <v>1</v>
      </c>
    </row>
    <row r="479" spans="1:2" hidden="1" x14ac:dyDescent="0.4">
      <c r="A479" s="12" t="s">
        <v>327</v>
      </c>
      <c r="B479" s="13">
        <v>1</v>
      </c>
    </row>
    <row r="480" spans="1:2" hidden="1" x14ac:dyDescent="0.4">
      <c r="A480" s="12" t="s">
        <v>531</v>
      </c>
      <c r="B480" s="13">
        <v>1</v>
      </c>
    </row>
    <row r="481" spans="1:2" hidden="1" x14ac:dyDescent="0.4">
      <c r="A481" s="12" t="s">
        <v>373</v>
      </c>
      <c r="B481" s="13">
        <v>1</v>
      </c>
    </row>
    <row r="482" spans="1:2" hidden="1" x14ac:dyDescent="0.4">
      <c r="A482" s="12" t="s">
        <v>483</v>
      </c>
      <c r="B482" s="13">
        <v>1</v>
      </c>
    </row>
    <row r="483" spans="1:2" hidden="1" x14ac:dyDescent="0.4">
      <c r="A483" s="12" t="s">
        <v>339</v>
      </c>
      <c r="B483" s="13">
        <v>1</v>
      </c>
    </row>
    <row r="484" spans="1:2" hidden="1" x14ac:dyDescent="0.4">
      <c r="A484" s="12" t="s">
        <v>322</v>
      </c>
      <c r="B484" s="13">
        <v>1</v>
      </c>
    </row>
    <row r="485" spans="1:2" hidden="1" x14ac:dyDescent="0.4">
      <c r="A485" s="12" t="s">
        <v>340</v>
      </c>
      <c r="B485" s="13">
        <v>1</v>
      </c>
    </row>
    <row r="486" spans="1:2" hidden="1" x14ac:dyDescent="0.4">
      <c r="A486" s="12" t="s">
        <v>547</v>
      </c>
      <c r="B486" s="13">
        <v>1</v>
      </c>
    </row>
    <row r="487" spans="1:2" hidden="1" x14ac:dyDescent="0.4">
      <c r="A487" s="12" t="s">
        <v>376</v>
      </c>
      <c r="B487" s="13">
        <v>1</v>
      </c>
    </row>
    <row r="488" spans="1:2" hidden="1" x14ac:dyDescent="0.4">
      <c r="A488" s="12" t="s">
        <v>475</v>
      </c>
      <c r="B488" s="13">
        <v>1</v>
      </c>
    </row>
    <row r="489" spans="1:2" hidden="1" x14ac:dyDescent="0.4">
      <c r="A489" s="12" t="s">
        <v>377</v>
      </c>
      <c r="B489" s="13">
        <v>1</v>
      </c>
    </row>
    <row r="490" spans="1:2" hidden="1" x14ac:dyDescent="0.4">
      <c r="A490" s="12" t="s">
        <v>307</v>
      </c>
      <c r="B490" s="13">
        <v>1</v>
      </c>
    </row>
    <row r="491" spans="1:2" hidden="1" x14ac:dyDescent="0.4">
      <c r="A491" s="12" t="s">
        <v>378</v>
      </c>
      <c r="B491" s="13">
        <v>1</v>
      </c>
    </row>
    <row r="492" spans="1:2" hidden="1" x14ac:dyDescent="0.4">
      <c r="A492" s="12" t="s">
        <v>507</v>
      </c>
      <c r="B492" s="13">
        <v>1</v>
      </c>
    </row>
    <row r="493" spans="1:2" hidden="1" x14ac:dyDescent="0.4">
      <c r="A493" s="12" t="s">
        <v>379</v>
      </c>
      <c r="B493" s="13">
        <v>1</v>
      </c>
    </row>
    <row r="494" spans="1:2" hidden="1" x14ac:dyDescent="0.4">
      <c r="A494" s="12" t="s">
        <v>523</v>
      </c>
      <c r="B494" s="13">
        <v>1</v>
      </c>
    </row>
    <row r="495" spans="1:2" hidden="1" x14ac:dyDescent="0.4">
      <c r="A495" s="12" t="s">
        <v>380</v>
      </c>
      <c r="B495" s="13">
        <v>1</v>
      </c>
    </row>
    <row r="496" spans="1:2" hidden="1" x14ac:dyDescent="0.4">
      <c r="A496" s="12" t="s">
        <v>539</v>
      </c>
      <c r="B496" s="13">
        <v>1</v>
      </c>
    </row>
    <row r="497" spans="1:2" hidden="1" x14ac:dyDescent="0.4">
      <c r="A497" s="12" t="s">
        <v>381</v>
      </c>
      <c r="B497" s="13">
        <v>1</v>
      </c>
    </row>
    <row r="498" spans="1:2" hidden="1" x14ac:dyDescent="0.4">
      <c r="A498" s="12" t="s">
        <v>555</v>
      </c>
      <c r="B498" s="13">
        <v>1</v>
      </c>
    </row>
    <row r="499" spans="1:2" hidden="1" x14ac:dyDescent="0.4">
      <c r="A499" s="12" t="s">
        <v>382</v>
      </c>
      <c r="B499" s="13">
        <v>1</v>
      </c>
    </row>
    <row r="500" spans="1:2" hidden="1" x14ac:dyDescent="0.4">
      <c r="A500" s="12" t="s">
        <v>471</v>
      </c>
      <c r="B500" s="13">
        <v>1</v>
      </c>
    </row>
    <row r="501" spans="1:2" hidden="1" x14ac:dyDescent="0.4">
      <c r="A501" s="12" t="s">
        <v>341</v>
      </c>
      <c r="B501" s="13">
        <v>1</v>
      </c>
    </row>
    <row r="502" spans="1:2" hidden="1" x14ac:dyDescent="0.4">
      <c r="A502" s="12" t="s">
        <v>479</v>
      </c>
      <c r="B502" s="13">
        <v>1</v>
      </c>
    </row>
    <row r="503" spans="1:2" hidden="1" x14ac:dyDescent="0.4">
      <c r="A503" s="12" t="s">
        <v>384</v>
      </c>
      <c r="B503" s="13">
        <v>1</v>
      </c>
    </row>
    <row r="504" spans="1:2" hidden="1" x14ac:dyDescent="0.4">
      <c r="A504" s="12" t="s">
        <v>487</v>
      </c>
      <c r="B504" s="13">
        <v>1</v>
      </c>
    </row>
    <row r="505" spans="1:2" hidden="1" x14ac:dyDescent="0.4">
      <c r="A505" s="12" t="s">
        <v>385</v>
      </c>
      <c r="B505" s="13">
        <v>1</v>
      </c>
    </row>
    <row r="506" spans="1:2" hidden="1" x14ac:dyDescent="0.4">
      <c r="A506" s="12" t="s">
        <v>495</v>
      </c>
      <c r="B506" s="13">
        <v>1</v>
      </c>
    </row>
    <row r="507" spans="1:2" hidden="1" x14ac:dyDescent="0.4">
      <c r="A507" s="12" t="s">
        <v>342</v>
      </c>
      <c r="B507" s="13">
        <v>1</v>
      </c>
    </row>
    <row r="508" spans="1:2" hidden="1" x14ac:dyDescent="0.4">
      <c r="A508" s="12" t="s">
        <v>503</v>
      </c>
      <c r="B508" s="13">
        <v>1</v>
      </c>
    </row>
    <row r="509" spans="1:2" hidden="1" x14ac:dyDescent="0.4">
      <c r="A509" s="12" t="s">
        <v>387</v>
      </c>
      <c r="B509" s="13">
        <v>1</v>
      </c>
    </row>
    <row r="510" spans="1:2" hidden="1" x14ac:dyDescent="0.4">
      <c r="A510" s="12" t="s">
        <v>337</v>
      </c>
      <c r="B510" s="13">
        <v>1</v>
      </c>
    </row>
    <row r="511" spans="1:2" hidden="1" x14ac:dyDescent="0.4">
      <c r="A511" s="12" t="s">
        <v>388</v>
      </c>
      <c r="B511" s="13">
        <v>1</v>
      </c>
    </row>
    <row r="512" spans="1:2" hidden="1" x14ac:dyDescent="0.4">
      <c r="A512" s="12" t="s">
        <v>519</v>
      </c>
      <c r="B512" s="13">
        <v>1</v>
      </c>
    </row>
    <row r="513" spans="1:2" hidden="1" x14ac:dyDescent="0.4">
      <c r="A513" s="12" t="s">
        <v>389</v>
      </c>
      <c r="B513" s="13">
        <v>1</v>
      </c>
    </row>
    <row r="514" spans="1:2" hidden="1" x14ac:dyDescent="0.4">
      <c r="A514" s="12" t="s">
        <v>367</v>
      </c>
      <c r="B514" s="13">
        <v>1</v>
      </c>
    </row>
    <row r="515" spans="1:2" hidden="1" x14ac:dyDescent="0.4">
      <c r="A515" s="12" t="s">
        <v>390</v>
      </c>
      <c r="B515" s="13">
        <v>1</v>
      </c>
    </row>
    <row r="516" spans="1:2" hidden="1" x14ac:dyDescent="0.4">
      <c r="A516" s="12" t="s">
        <v>325</v>
      </c>
      <c r="B516" s="13">
        <v>1</v>
      </c>
    </row>
    <row r="517" spans="1:2" hidden="1" x14ac:dyDescent="0.4">
      <c r="A517" s="12" t="s">
        <v>391</v>
      </c>
      <c r="B517" s="13">
        <v>1</v>
      </c>
    </row>
    <row r="518" spans="1:2" hidden="1" x14ac:dyDescent="0.4">
      <c r="A518" s="12" t="s">
        <v>543</v>
      </c>
      <c r="B518" s="13">
        <v>1</v>
      </c>
    </row>
    <row r="519" spans="1:2" hidden="1" x14ac:dyDescent="0.4">
      <c r="A519" s="12" t="s">
        <v>392</v>
      </c>
      <c r="B519" s="13">
        <v>1</v>
      </c>
    </row>
    <row r="520" spans="1:2" hidden="1" x14ac:dyDescent="0.4">
      <c r="A520" s="12" t="s">
        <v>551</v>
      </c>
      <c r="B520" s="13">
        <v>1</v>
      </c>
    </row>
    <row r="521" spans="1:2" hidden="1" x14ac:dyDescent="0.4">
      <c r="A521" s="12" t="s">
        <v>393</v>
      </c>
      <c r="B521" s="13">
        <v>1</v>
      </c>
    </row>
    <row r="522" spans="1:2" hidden="1" x14ac:dyDescent="0.4">
      <c r="A522" s="12" t="s">
        <v>559</v>
      </c>
      <c r="B522" s="13">
        <v>1</v>
      </c>
    </row>
    <row r="523" spans="1:2" hidden="1" x14ac:dyDescent="0.4">
      <c r="A523" s="12" t="s">
        <v>332</v>
      </c>
      <c r="B523" s="13">
        <v>1</v>
      </c>
    </row>
    <row r="524" spans="1:2" hidden="1" x14ac:dyDescent="0.4">
      <c r="A524" s="12" t="s">
        <v>469</v>
      </c>
      <c r="B524" s="13">
        <v>1</v>
      </c>
    </row>
    <row r="525" spans="1:2" hidden="1" x14ac:dyDescent="0.4">
      <c r="A525" s="12" t="s">
        <v>344</v>
      </c>
      <c r="B525" s="13">
        <v>1</v>
      </c>
    </row>
    <row r="526" spans="1:2" hidden="1" x14ac:dyDescent="0.4">
      <c r="A526" s="12" t="s">
        <v>473</v>
      </c>
      <c r="B526" s="13">
        <v>1</v>
      </c>
    </row>
    <row r="527" spans="1:2" hidden="1" x14ac:dyDescent="0.4">
      <c r="A527" s="12" t="s">
        <v>316</v>
      </c>
      <c r="B527" s="13">
        <v>1</v>
      </c>
    </row>
    <row r="528" spans="1:2" hidden="1" x14ac:dyDescent="0.4">
      <c r="A528" s="12" t="s">
        <v>477</v>
      </c>
      <c r="B528" s="13">
        <v>1</v>
      </c>
    </row>
    <row r="529" spans="1:2" hidden="1" x14ac:dyDescent="0.4">
      <c r="A529" s="12" t="s">
        <v>397</v>
      </c>
      <c r="B529" s="13">
        <v>1</v>
      </c>
    </row>
    <row r="530" spans="1:2" hidden="1" x14ac:dyDescent="0.4">
      <c r="A530" s="12" t="s">
        <v>481</v>
      </c>
      <c r="B530" s="13">
        <v>1</v>
      </c>
    </row>
    <row r="531" spans="1:2" hidden="1" x14ac:dyDescent="0.4">
      <c r="A531" s="12" t="s">
        <v>398</v>
      </c>
      <c r="B531" s="13">
        <v>1</v>
      </c>
    </row>
    <row r="532" spans="1:2" hidden="1" x14ac:dyDescent="0.4">
      <c r="A532" s="12" t="s">
        <v>485</v>
      </c>
      <c r="B532" s="13">
        <v>1</v>
      </c>
    </row>
    <row r="533" spans="1:2" hidden="1" x14ac:dyDescent="0.4">
      <c r="A533" s="12" t="s">
        <v>329</v>
      </c>
      <c r="B533" s="13">
        <v>1</v>
      </c>
    </row>
    <row r="534" spans="1:2" hidden="1" x14ac:dyDescent="0.4">
      <c r="A534" s="12" t="s">
        <v>489</v>
      </c>
      <c r="B534" s="13">
        <v>1</v>
      </c>
    </row>
    <row r="535" spans="1:2" hidden="1" x14ac:dyDescent="0.4">
      <c r="A535" s="12" t="s">
        <v>298</v>
      </c>
      <c r="B535" s="13">
        <v>1</v>
      </c>
    </row>
    <row r="536" spans="1:2" hidden="1" x14ac:dyDescent="0.4">
      <c r="A536" s="12" t="s">
        <v>493</v>
      </c>
      <c r="B536" s="13">
        <v>1</v>
      </c>
    </row>
    <row r="537" spans="1:2" hidden="1" x14ac:dyDescent="0.4">
      <c r="A537" s="12" t="s">
        <v>401</v>
      </c>
      <c r="B537" s="13">
        <v>1</v>
      </c>
    </row>
    <row r="538" spans="1:2" hidden="1" x14ac:dyDescent="0.4">
      <c r="A538" s="12" t="s">
        <v>497</v>
      </c>
      <c r="B538" s="13">
        <v>1</v>
      </c>
    </row>
    <row r="539" spans="1:2" hidden="1" x14ac:dyDescent="0.4">
      <c r="A539" s="12" t="s">
        <v>402</v>
      </c>
      <c r="B539" s="13">
        <v>1</v>
      </c>
    </row>
    <row r="540" spans="1:2" hidden="1" x14ac:dyDescent="0.4">
      <c r="A540" s="12" t="s">
        <v>501</v>
      </c>
      <c r="B540" s="13">
        <v>1</v>
      </c>
    </row>
    <row r="541" spans="1:2" hidden="1" x14ac:dyDescent="0.4">
      <c r="A541" s="12" t="s">
        <v>346</v>
      </c>
      <c r="B541" s="13">
        <v>1</v>
      </c>
    </row>
    <row r="542" spans="1:2" hidden="1" x14ac:dyDescent="0.4">
      <c r="A542" s="12" t="s">
        <v>505</v>
      </c>
      <c r="B542" s="13">
        <v>1</v>
      </c>
    </row>
    <row r="543" spans="1:2" hidden="1" x14ac:dyDescent="0.4">
      <c r="A543" s="12" t="s">
        <v>404</v>
      </c>
      <c r="B543" s="13">
        <v>1</v>
      </c>
    </row>
    <row r="544" spans="1:2" hidden="1" x14ac:dyDescent="0.4">
      <c r="A544" s="12" t="s">
        <v>509</v>
      </c>
      <c r="B544" s="13">
        <v>1</v>
      </c>
    </row>
    <row r="545" spans="1:2" hidden="1" x14ac:dyDescent="0.4">
      <c r="A545" s="12" t="s">
        <v>405</v>
      </c>
      <c r="B545" s="13">
        <v>1</v>
      </c>
    </row>
    <row r="546" spans="1:2" hidden="1" x14ac:dyDescent="0.4">
      <c r="A546" s="12" t="s">
        <v>513</v>
      </c>
      <c r="B546" s="13">
        <v>1</v>
      </c>
    </row>
    <row r="547" spans="1:2" hidden="1" x14ac:dyDescent="0.4">
      <c r="A547" s="12" t="s">
        <v>406</v>
      </c>
      <c r="B547" s="13">
        <v>1</v>
      </c>
    </row>
    <row r="548" spans="1:2" hidden="1" x14ac:dyDescent="0.4">
      <c r="A548" s="12" t="s">
        <v>517</v>
      </c>
      <c r="B548" s="13">
        <v>1</v>
      </c>
    </row>
    <row r="549" spans="1:2" hidden="1" x14ac:dyDescent="0.4">
      <c r="A549" s="12" t="s">
        <v>407</v>
      </c>
      <c r="B549" s="13">
        <v>1</v>
      </c>
    </row>
    <row r="550" spans="1:2" hidden="1" x14ac:dyDescent="0.4">
      <c r="A550" s="12" t="s">
        <v>521</v>
      </c>
      <c r="B550" s="13">
        <v>1</v>
      </c>
    </row>
    <row r="551" spans="1:2" hidden="1" x14ac:dyDescent="0.4">
      <c r="A551" s="12" t="s">
        <v>347</v>
      </c>
      <c r="B551" s="13">
        <v>1</v>
      </c>
    </row>
    <row r="552" spans="1:2" hidden="1" x14ac:dyDescent="0.4">
      <c r="A552" s="12" t="s">
        <v>525</v>
      </c>
      <c r="B552" s="13">
        <v>1</v>
      </c>
    </row>
    <row r="553" spans="1:2" hidden="1" x14ac:dyDescent="0.4">
      <c r="A553" s="12" t="s">
        <v>409</v>
      </c>
      <c r="B553" s="13">
        <v>1</v>
      </c>
    </row>
    <row r="554" spans="1:2" hidden="1" x14ac:dyDescent="0.4">
      <c r="A554" s="12" t="s">
        <v>529</v>
      </c>
      <c r="B554" s="13">
        <v>1</v>
      </c>
    </row>
    <row r="555" spans="1:2" hidden="1" x14ac:dyDescent="0.4">
      <c r="A555" s="12" t="s">
        <v>410</v>
      </c>
      <c r="B555" s="13">
        <v>1</v>
      </c>
    </row>
    <row r="556" spans="1:2" hidden="1" x14ac:dyDescent="0.4">
      <c r="A556" s="12" t="s">
        <v>533</v>
      </c>
      <c r="B556" s="13">
        <v>1</v>
      </c>
    </row>
    <row r="557" spans="1:2" hidden="1" x14ac:dyDescent="0.4">
      <c r="A557" s="12" t="s">
        <v>411</v>
      </c>
      <c r="B557" s="13">
        <v>1</v>
      </c>
    </row>
    <row r="558" spans="1:2" hidden="1" x14ac:dyDescent="0.4">
      <c r="A558" s="12" t="s">
        <v>537</v>
      </c>
      <c r="B558" s="13">
        <v>1</v>
      </c>
    </row>
    <row r="559" spans="1:2" hidden="1" x14ac:dyDescent="0.4">
      <c r="A559" s="12" t="s">
        <v>412</v>
      </c>
      <c r="B559" s="13">
        <v>1</v>
      </c>
    </row>
    <row r="560" spans="1:2" hidden="1" x14ac:dyDescent="0.4">
      <c r="A560" s="12" t="s">
        <v>541</v>
      </c>
      <c r="B560" s="13">
        <v>1</v>
      </c>
    </row>
    <row r="561" spans="1:2" hidden="1" x14ac:dyDescent="0.4">
      <c r="A561" s="12" t="s">
        <v>413</v>
      </c>
      <c r="B561" s="13">
        <v>1</v>
      </c>
    </row>
    <row r="562" spans="1:2" hidden="1" x14ac:dyDescent="0.4">
      <c r="A562" s="12" t="s">
        <v>545</v>
      </c>
      <c r="B562" s="13">
        <v>1</v>
      </c>
    </row>
    <row r="563" spans="1:2" hidden="1" x14ac:dyDescent="0.4">
      <c r="A563" s="12" t="s">
        <v>414</v>
      </c>
      <c r="B563" s="13">
        <v>1</v>
      </c>
    </row>
    <row r="564" spans="1:2" hidden="1" x14ac:dyDescent="0.4">
      <c r="A564" s="12" t="s">
        <v>326</v>
      </c>
      <c r="B564" s="13">
        <v>1</v>
      </c>
    </row>
    <row r="565" spans="1:2" hidden="1" x14ac:dyDescent="0.4">
      <c r="A565" s="12" t="s">
        <v>415</v>
      </c>
      <c r="B565" s="13">
        <v>1</v>
      </c>
    </row>
    <row r="566" spans="1:2" hidden="1" x14ac:dyDescent="0.4">
      <c r="A566" s="12" t="s">
        <v>553</v>
      </c>
      <c r="B566" s="13">
        <v>1</v>
      </c>
    </row>
    <row r="567" spans="1:2" hidden="1" x14ac:dyDescent="0.4">
      <c r="A567" s="12" t="s">
        <v>416</v>
      </c>
      <c r="B567" s="13">
        <v>1</v>
      </c>
    </row>
    <row r="568" spans="1:2" hidden="1" x14ac:dyDescent="0.4">
      <c r="A568" s="12" t="s">
        <v>557</v>
      </c>
      <c r="B568" s="13">
        <v>1</v>
      </c>
    </row>
    <row r="569" spans="1:2" hidden="1" x14ac:dyDescent="0.4">
      <c r="A569" s="12" t="s">
        <v>311</v>
      </c>
      <c r="B569" s="13">
        <v>1</v>
      </c>
    </row>
    <row r="570" spans="1:2" hidden="1" x14ac:dyDescent="0.4">
      <c r="A570" s="12" t="s">
        <v>561</v>
      </c>
      <c r="B570" s="13">
        <v>1</v>
      </c>
    </row>
    <row r="571" spans="1:2" hidden="1" x14ac:dyDescent="0.4">
      <c r="A571" s="12" t="s">
        <v>418</v>
      </c>
      <c r="B571" s="13">
        <v>1</v>
      </c>
    </row>
    <row r="572" spans="1:2" hidden="1" x14ac:dyDescent="0.4">
      <c r="A572" s="12" t="s">
        <v>372</v>
      </c>
      <c r="B572" s="13">
        <v>1</v>
      </c>
    </row>
    <row r="573" spans="1:2" hidden="1" x14ac:dyDescent="0.4">
      <c r="A573" s="12" t="s">
        <v>419</v>
      </c>
      <c r="B573" s="13">
        <v>1</v>
      </c>
    </row>
    <row r="574" spans="1:2" hidden="1" x14ac:dyDescent="0.4">
      <c r="A574" s="12" t="s">
        <v>470</v>
      </c>
      <c r="B574" s="13">
        <v>1</v>
      </c>
    </row>
    <row r="575" spans="1:2" hidden="1" x14ac:dyDescent="0.4">
      <c r="A575" s="12" t="s">
        <v>420</v>
      </c>
      <c r="B575" s="13">
        <v>1</v>
      </c>
    </row>
    <row r="576" spans="1:2" hidden="1" x14ac:dyDescent="0.4">
      <c r="A576" s="12" t="s">
        <v>472</v>
      </c>
      <c r="B576" s="13">
        <v>1</v>
      </c>
    </row>
    <row r="577" spans="1:2" hidden="1" x14ac:dyDescent="0.4">
      <c r="A577" s="12" t="s">
        <v>421</v>
      </c>
      <c r="B577" s="13">
        <v>1</v>
      </c>
    </row>
    <row r="578" spans="1:2" hidden="1" x14ac:dyDescent="0.4">
      <c r="A578" s="12" t="s">
        <v>320</v>
      </c>
      <c r="B578" s="13">
        <v>1</v>
      </c>
    </row>
    <row r="579" spans="1:2" hidden="1" x14ac:dyDescent="0.4">
      <c r="A579" s="12" t="s">
        <v>422</v>
      </c>
      <c r="B579" s="13">
        <v>1</v>
      </c>
    </row>
    <row r="580" spans="1:2" hidden="1" x14ac:dyDescent="0.4">
      <c r="A580" s="12" t="s">
        <v>476</v>
      </c>
      <c r="B580" s="13">
        <v>1</v>
      </c>
    </row>
    <row r="581" spans="1:2" hidden="1" x14ac:dyDescent="0.4">
      <c r="A581" s="12" t="s">
        <v>423</v>
      </c>
      <c r="B581" s="13">
        <v>1</v>
      </c>
    </row>
    <row r="582" spans="1:2" hidden="1" x14ac:dyDescent="0.4">
      <c r="A582" s="12" t="s">
        <v>478</v>
      </c>
      <c r="B582" s="13">
        <v>1</v>
      </c>
    </row>
    <row r="583" spans="1:2" hidden="1" x14ac:dyDescent="0.4">
      <c r="A583" s="12" t="s">
        <v>334</v>
      </c>
      <c r="B583" s="13">
        <v>1</v>
      </c>
    </row>
    <row r="584" spans="1:2" hidden="1" x14ac:dyDescent="0.4">
      <c r="A584" s="12" t="s">
        <v>480</v>
      </c>
      <c r="B584" s="13">
        <v>1</v>
      </c>
    </row>
    <row r="585" spans="1:2" hidden="1" x14ac:dyDescent="0.4">
      <c r="A585" s="12" t="s">
        <v>350</v>
      </c>
      <c r="B585" s="13">
        <v>1</v>
      </c>
    </row>
    <row r="586" spans="1:2" hidden="1" x14ac:dyDescent="0.4">
      <c r="A586" s="12" t="s">
        <v>313</v>
      </c>
      <c r="B586" s="13">
        <v>1</v>
      </c>
    </row>
    <row r="587" spans="1:2" hidden="1" x14ac:dyDescent="0.4">
      <c r="A587" s="12" t="s">
        <v>426</v>
      </c>
      <c r="B587" s="13">
        <v>1</v>
      </c>
    </row>
    <row r="588" spans="1:2" hidden="1" x14ac:dyDescent="0.4">
      <c r="A588" s="12" t="s">
        <v>484</v>
      </c>
      <c r="B588" s="13">
        <v>1</v>
      </c>
    </row>
    <row r="589" spans="1:2" hidden="1" x14ac:dyDescent="0.4">
      <c r="A589" s="12" t="s">
        <v>427</v>
      </c>
      <c r="B589" s="13">
        <v>1</v>
      </c>
    </row>
    <row r="590" spans="1:2" hidden="1" x14ac:dyDescent="0.4">
      <c r="A590" s="12" t="s">
        <v>362</v>
      </c>
      <c r="B590" s="13">
        <v>1</v>
      </c>
    </row>
    <row r="591" spans="1:2" hidden="1" x14ac:dyDescent="0.4">
      <c r="A591" s="12" t="s">
        <v>428</v>
      </c>
      <c r="B591" s="13">
        <v>1</v>
      </c>
    </row>
    <row r="592" spans="1:2" hidden="1" x14ac:dyDescent="0.4">
      <c r="A592" s="12" t="s">
        <v>488</v>
      </c>
      <c r="B592" s="13">
        <v>1</v>
      </c>
    </row>
    <row r="593" spans="1:2" hidden="1" x14ac:dyDescent="0.4">
      <c r="A593" s="12" t="s">
        <v>296</v>
      </c>
      <c r="B593" s="13">
        <v>1</v>
      </c>
    </row>
    <row r="594" spans="1:2" hidden="1" x14ac:dyDescent="0.4">
      <c r="A594" s="12" t="s">
        <v>490</v>
      </c>
      <c r="B594" s="13">
        <v>1</v>
      </c>
    </row>
    <row r="595" spans="1:2" hidden="1" x14ac:dyDescent="0.4">
      <c r="A595" s="12" t="s">
        <v>293</v>
      </c>
      <c r="B595" s="13">
        <v>1</v>
      </c>
    </row>
    <row r="596" spans="1:2" hidden="1" x14ac:dyDescent="0.4">
      <c r="A596" s="12" t="s">
        <v>492</v>
      </c>
      <c r="B596" s="13">
        <v>1</v>
      </c>
    </row>
    <row r="597" spans="1:2" hidden="1" x14ac:dyDescent="0.4">
      <c r="A597" s="12" t="s">
        <v>309</v>
      </c>
      <c r="B597" s="13">
        <v>1</v>
      </c>
    </row>
    <row r="598" spans="1:2" hidden="1" x14ac:dyDescent="0.4">
      <c r="A598" s="12" t="s">
        <v>494</v>
      </c>
      <c r="B598" s="13">
        <v>1</v>
      </c>
    </row>
    <row r="599" spans="1:2" hidden="1" x14ac:dyDescent="0.4">
      <c r="A599" s="12" t="s">
        <v>352</v>
      </c>
      <c r="B599" s="13">
        <v>1</v>
      </c>
    </row>
    <row r="600" spans="1:2" hidden="1" x14ac:dyDescent="0.4">
      <c r="A600" s="12" t="s">
        <v>363</v>
      </c>
      <c r="B600" s="13">
        <v>1</v>
      </c>
    </row>
    <row r="601" spans="1:2" hidden="1" x14ac:dyDescent="0.4">
      <c r="A601" s="12" t="s">
        <v>353</v>
      </c>
      <c r="B601" s="13">
        <v>1</v>
      </c>
    </row>
    <row r="602" spans="1:2" hidden="1" x14ac:dyDescent="0.4">
      <c r="A602" s="12" t="s">
        <v>498</v>
      </c>
      <c r="B602" s="13">
        <v>1</v>
      </c>
    </row>
    <row r="603" spans="1:2" hidden="1" x14ac:dyDescent="0.4">
      <c r="A603" s="12" t="s">
        <v>434</v>
      </c>
      <c r="B603" s="13">
        <v>1</v>
      </c>
    </row>
    <row r="604" spans="1:2" hidden="1" x14ac:dyDescent="0.4">
      <c r="A604" s="12" t="s">
        <v>321</v>
      </c>
      <c r="B604" s="13">
        <v>1</v>
      </c>
    </row>
    <row r="605" spans="1:2" hidden="1" x14ac:dyDescent="0.4">
      <c r="A605" s="12" t="s">
        <v>435</v>
      </c>
      <c r="B605" s="13">
        <v>1</v>
      </c>
    </row>
    <row r="606" spans="1:2" hidden="1" x14ac:dyDescent="0.4">
      <c r="A606" s="12" t="s">
        <v>502</v>
      </c>
      <c r="B606" s="13">
        <v>1</v>
      </c>
    </row>
    <row r="607" spans="1:2" hidden="1" x14ac:dyDescent="0.4">
      <c r="A607" s="12" t="s">
        <v>566</v>
      </c>
      <c r="B607" s="13">
        <v>1</v>
      </c>
    </row>
    <row r="608" spans="1:2" hidden="1" x14ac:dyDescent="0.4">
      <c r="A608" s="12" t="s">
        <v>504</v>
      </c>
      <c r="B608" s="13">
        <v>1</v>
      </c>
    </row>
    <row r="609" spans="1:2" hidden="1" x14ac:dyDescent="0.4">
      <c r="A609" s="12" t="s">
        <v>567</v>
      </c>
      <c r="B609" s="13">
        <v>1</v>
      </c>
    </row>
    <row r="610" spans="1:2" hidden="1" x14ac:dyDescent="0.4">
      <c r="A610" s="12" t="s">
        <v>506</v>
      </c>
      <c r="B610" s="13">
        <v>1</v>
      </c>
    </row>
    <row r="611" spans="1:2" hidden="1" x14ac:dyDescent="0.4">
      <c r="A611" s="12" t="s">
        <v>354</v>
      </c>
      <c r="B611" s="13">
        <v>1</v>
      </c>
    </row>
    <row r="612" spans="1:2" hidden="1" x14ac:dyDescent="0.4">
      <c r="A612" s="12" t="s">
        <v>508</v>
      </c>
      <c r="B612" s="13">
        <v>1</v>
      </c>
    </row>
    <row r="613" spans="1:2" hidden="1" x14ac:dyDescent="0.4">
      <c r="A613" s="12" t="s">
        <v>439</v>
      </c>
      <c r="B613" s="13">
        <v>1</v>
      </c>
    </row>
    <row r="614" spans="1:2" hidden="1" x14ac:dyDescent="0.4">
      <c r="A614" s="12" t="s">
        <v>510</v>
      </c>
      <c r="B614" s="13">
        <v>1</v>
      </c>
    </row>
    <row r="615" spans="1:2" hidden="1" x14ac:dyDescent="0.4">
      <c r="A615" s="12" t="s">
        <v>335</v>
      </c>
      <c r="B615" s="13">
        <v>1</v>
      </c>
    </row>
    <row r="616" spans="1:2" hidden="1" x14ac:dyDescent="0.4">
      <c r="A616" s="12" t="s">
        <v>512</v>
      </c>
      <c r="B616" s="13">
        <v>1</v>
      </c>
    </row>
    <row r="617" spans="1:2" hidden="1" x14ac:dyDescent="0.4">
      <c r="A617" s="12" t="s">
        <v>301</v>
      </c>
      <c r="B617" s="13">
        <v>1</v>
      </c>
    </row>
    <row r="618" spans="1:2" hidden="1" x14ac:dyDescent="0.4">
      <c r="A618" s="12" t="s">
        <v>514</v>
      </c>
      <c r="B618" s="13">
        <v>1</v>
      </c>
    </row>
    <row r="619" spans="1:2" hidden="1" x14ac:dyDescent="0.4">
      <c r="A619" s="12" t="s">
        <v>302</v>
      </c>
      <c r="B619" s="13">
        <v>1</v>
      </c>
    </row>
    <row r="620" spans="1:2" hidden="1" x14ac:dyDescent="0.4">
      <c r="A620" s="12" t="s">
        <v>516</v>
      </c>
      <c r="B620" s="13">
        <v>1</v>
      </c>
    </row>
    <row r="621" spans="1:2" hidden="1" x14ac:dyDescent="0.4">
      <c r="A621" s="12" t="s">
        <v>443</v>
      </c>
      <c r="B621" s="13">
        <v>1</v>
      </c>
    </row>
    <row r="622" spans="1:2" hidden="1" x14ac:dyDescent="0.4">
      <c r="A622" s="12" t="s">
        <v>314</v>
      </c>
      <c r="B622" s="13">
        <v>1</v>
      </c>
    </row>
    <row r="623" spans="1:2" hidden="1" x14ac:dyDescent="0.4">
      <c r="A623" s="12" t="s">
        <v>356</v>
      </c>
      <c r="B623" s="13">
        <v>1</v>
      </c>
    </row>
    <row r="624" spans="1:2" hidden="1" x14ac:dyDescent="0.4">
      <c r="A624" s="12" t="s">
        <v>366</v>
      </c>
      <c r="B624" s="13">
        <v>1</v>
      </c>
    </row>
    <row r="625" spans="1:2" hidden="1" x14ac:dyDescent="0.4">
      <c r="A625" s="12" t="s">
        <v>294</v>
      </c>
      <c r="B625" s="13">
        <v>1</v>
      </c>
    </row>
    <row r="626" spans="1:2" hidden="1" x14ac:dyDescent="0.4">
      <c r="A626" s="12" t="s">
        <v>522</v>
      </c>
      <c r="B626" s="13">
        <v>1</v>
      </c>
    </row>
    <row r="627" spans="1:2" hidden="1" x14ac:dyDescent="0.4">
      <c r="A627" s="12" t="s">
        <v>565</v>
      </c>
      <c r="B627" s="13">
        <v>1</v>
      </c>
    </row>
    <row r="628" spans="1:2" hidden="1" x14ac:dyDescent="0.4">
      <c r="A628" s="12" t="s">
        <v>524</v>
      </c>
      <c r="B628" s="13">
        <v>1</v>
      </c>
    </row>
    <row r="629" spans="1:2" hidden="1" x14ac:dyDescent="0.4">
      <c r="A629" s="12" t="s">
        <v>447</v>
      </c>
      <c r="B629" s="13">
        <v>1</v>
      </c>
    </row>
    <row r="630" spans="1:2" hidden="1" x14ac:dyDescent="0.4">
      <c r="A630" s="12" t="s">
        <v>526</v>
      </c>
      <c r="B630" s="13">
        <v>1</v>
      </c>
    </row>
    <row r="631" spans="1:2" hidden="1" x14ac:dyDescent="0.4">
      <c r="A631" s="12" t="s">
        <v>448</v>
      </c>
      <c r="B631" s="13">
        <v>1</v>
      </c>
    </row>
    <row r="632" spans="1:2" hidden="1" x14ac:dyDescent="0.4">
      <c r="A632" s="12" t="s">
        <v>528</v>
      </c>
      <c r="B632" s="13">
        <v>1</v>
      </c>
    </row>
    <row r="633" spans="1:2" hidden="1" x14ac:dyDescent="0.4">
      <c r="A633" s="12" t="s">
        <v>449</v>
      </c>
      <c r="B633" s="13">
        <v>1</v>
      </c>
    </row>
    <row r="634" spans="1:2" hidden="1" x14ac:dyDescent="0.4">
      <c r="A634" s="12" t="s">
        <v>310</v>
      </c>
      <c r="B634" s="13">
        <v>1</v>
      </c>
    </row>
    <row r="635" spans="1:2" hidden="1" x14ac:dyDescent="0.4">
      <c r="A635" s="12" t="s">
        <v>450</v>
      </c>
      <c r="B635" s="13">
        <v>1</v>
      </c>
    </row>
    <row r="636" spans="1:2" hidden="1" x14ac:dyDescent="0.4">
      <c r="A636" s="12" t="s">
        <v>532</v>
      </c>
      <c r="B636" s="13">
        <v>1</v>
      </c>
    </row>
    <row r="637" spans="1:2" hidden="1" x14ac:dyDescent="0.4">
      <c r="A637" s="12" t="s">
        <v>451</v>
      </c>
      <c r="B637" s="13">
        <v>1</v>
      </c>
    </row>
    <row r="638" spans="1:2" hidden="1" x14ac:dyDescent="0.4">
      <c r="A638" s="12" t="s">
        <v>324</v>
      </c>
      <c r="B638" s="13">
        <v>1</v>
      </c>
    </row>
    <row r="639" spans="1:2" hidden="1" x14ac:dyDescent="0.4">
      <c r="A639" s="12" t="s">
        <v>452</v>
      </c>
      <c r="B639" s="13">
        <v>1</v>
      </c>
    </row>
    <row r="640" spans="1:2" hidden="1" x14ac:dyDescent="0.4">
      <c r="A640" s="12" t="s">
        <v>536</v>
      </c>
      <c r="B640" s="13">
        <v>1</v>
      </c>
    </row>
    <row r="641" spans="1:2" hidden="1" x14ac:dyDescent="0.4">
      <c r="A641" s="12" t="s">
        <v>330</v>
      </c>
      <c r="B641" s="13">
        <v>1</v>
      </c>
    </row>
    <row r="642" spans="1:2" hidden="1" x14ac:dyDescent="0.4">
      <c r="A642" s="12" t="s">
        <v>538</v>
      </c>
      <c r="B642" s="13">
        <v>1</v>
      </c>
    </row>
    <row r="643" spans="1:2" hidden="1" x14ac:dyDescent="0.4">
      <c r="A643" s="12" t="s">
        <v>454</v>
      </c>
      <c r="B643" s="13">
        <v>1</v>
      </c>
    </row>
    <row r="644" spans="1:2" hidden="1" x14ac:dyDescent="0.4">
      <c r="A644" s="12" t="s">
        <v>540</v>
      </c>
      <c r="B644" s="13">
        <v>1</v>
      </c>
    </row>
    <row r="645" spans="1:2" hidden="1" x14ac:dyDescent="0.4">
      <c r="A645" s="12" t="s">
        <v>297</v>
      </c>
      <c r="B645" s="13">
        <v>1</v>
      </c>
    </row>
    <row r="646" spans="1:2" hidden="1" x14ac:dyDescent="0.4">
      <c r="A646" s="12" t="s">
        <v>542</v>
      </c>
      <c r="B646" s="13">
        <v>1</v>
      </c>
    </row>
    <row r="647" spans="1:2" hidden="1" x14ac:dyDescent="0.4">
      <c r="A647" s="12" t="s">
        <v>456</v>
      </c>
      <c r="B647" s="13">
        <v>1</v>
      </c>
    </row>
    <row r="648" spans="1:2" hidden="1" x14ac:dyDescent="0.4">
      <c r="A648" s="12" t="s">
        <v>544</v>
      </c>
      <c r="B648" s="13">
        <v>1</v>
      </c>
    </row>
    <row r="649" spans="1:2" hidden="1" x14ac:dyDescent="0.4">
      <c r="A649" s="12" t="s">
        <v>457</v>
      </c>
      <c r="B649" s="13">
        <v>1</v>
      </c>
    </row>
    <row r="650" spans="1:2" hidden="1" x14ac:dyDescent="0.4">
      <c r="A650" s="12" t="s">
        <v>546</v>
      </c>
      <c r="B650" s="13">
        <v>1</v>
      </c>
    </row>
    <row r="651" spans="1:2" hidden="1" x14ac:dyDescent="0.4">
      <c r="A651" s="12" t="s">
        <v>303</v>
      </c>
      <c r="B651" s="13">
        <v>1</v>
      </c>
    </row>
    <row r="652" spans="1:2" hidden="1" x14ac:dyDescent="0.4">
      <c r="A652" s="12" t="s">
        <v>369</v>
      </c>
      <c r="B652" s="13">
        <v>1</v>
      </c>
    </row>
    <row r="653" spans="1:2" hidden="1" x14ac:dyDescent="0.4">
      <c r="A653" s="12" t="s">
        <v>459</v>
      </c>
      <c r="B653" s="13">
        <v>1</v>
      </c>
    </row>
    <row r="654" spans="1:2" hidden="1" x14ac:dyDescent="0.4">
      <c r="A654" s="12" t="s">
        <v>550</v>
      </c>
      <c r="B654" s="13">
        <v>1</v>
      </c>
    </row>
    <row r="655" spans="1:2" hidden="1" x14ac:dyDescent="0.4">
      <c r="A655" s="12" t="s">
        <v>319</v>
      </c>
      <c r="B655" s="13">
        <v>1</v>
      </c>
    </row>
    <row r="656" spans="1:2" hidden="1" x14ac:dyDescent="0.4">
      <c r="A656" s="12" t="s">
        <v>552</v>
      </c>
      <c r="B656" s="13">
        <v>1</v>
      </c>
    </row>
    <row r="657" spans="1:2" hidden="1" x14ac:dyDescent="0.4">
      <c r="A657" s="12" t="s">
        <v>461</v>
      </c>
      <c r="B657" s="13">
        <v>1</v>
      </c>
    </row>
    <row r="658" spans="1:2" hidden="1" x14ac:dyDescent="0.4">
      <c r="A658" s="12" t="s">
        <v>554</v>
      </c>
      <c r="B658" s="13">
        <v>1</v>
      </c>
    </row>
    <row r="659" spans="1:2" hidden="1" x14ac:dyDescent="0.4">
      <c r="A659" s="12" t="s">
        <v>359</v>
      </c>
      <c r="B659" s="13">
        <v>1</v>
      </c>
    </row>
    <row r="660" spans="1:2" hidden="1" x14ac:dyDescent="0.4">
      <c r="A660" s="12" t="s">
        <v>556</v>
      </c>
      <c r="B660" s="13">
        <v>1</v>
      </c>
    </row>
    <row r="661" spans="1:2" hidden="1" x14ac:dyDescent="0.4">
      <c r="A661" s="12" t="s">
        <v>463</v>
      </c>
      <c r="B661" s="13">
        <v>1</v>
      </c>
    </row>
    <row r="662" spans="1:2" hidden="1" x14ac:dyDescent="0.4">
      <c r="A662" s="12" t="s">
        <v>558</v>
      </c>
      <c r="B662" s="13">
        <v>1</v>
      </c>
    </row>
    <row r="663" spans="1:2" hidden="1" x14ac:dyDescent="0.4">
      <c r="A663" s="12" t="s">
        <v>464</v>
      </c>
      <c r="B663" s="13">
        <v>1</v>
      </c>
    </row>
    <row r="664" spans="1:2" hidden="1" x14ac:dyDescent="0.4">
      <c r="A664" s="12" t="s">
        <v>560</v>
      </c>
      <c r="B664" s="13">
        <v>1</v>
      </c>
    </row>
    <row r="665" spans="1:2" hidden="1" x14ac:dyDescent="0.4">
      <c r="A665" s="12" t="s">
        <v>360</v>
      </c>
      <c r="B665" s="13">
        <v>1</v>
      </c>
    </row>
    <row r="666" spans="1:2" hidden="1" x14ac:dyDescent="0.4">
      <c r="A666" s="12" t="s">
        <v>370</v>
      </c>
      <c r="B666" s="13">
        <v>1</v>
      </c>
    </row>
    <row r="667" spans="1:2" hidden="1" x14ac:dyDescent="0.4">
      <c r="A667" s="12" t="s">
        <v>466</v>
      </c>
      <c r="B667" s="13">
        <v>1</v>
      </c>
    </row>
    <row r="668" spans="1:2" hidden="1" x14ac:dyDescent="0.4">
      <c r="A668" s="12" t="s">
        <v>315</v>
      </c>
      <c r="B668" s="13">
        <v>1</v>
      </c>
    </row>
    <row r="669" spans="1:2" hidden="1" x14ac:dyDescent="0.4">
      <c r="A669" s="12" t="s">
        <v>306</v>
      </c>
      <c r="B669" s="13">
        <v>1</v>
      </c>
    </row>
    <row r="670" spans="1:2" hidden="1" x14ac:dyDescent="0.4">
      <c r="A670" s="12" t="s">
        <v>468</v>
      </c>
      <c r="B670" s="13">
        <v>1</v>
      </c>
    </row>
    <row r="671" spans="1:2" hidden="1" x14ac:dyDescent="0.4">
      <c r="A671" s="12" t="s">
        <v>446</v>
      </c>
      <c r="B671" s="13">
        <v>1</v>
      </c>
    </row>
    <row r="672" spans="1:2" hidden="1" x14ac:dyDescent="0.4">
      <c r="A672" s="12" t="s">
        <v>308</v>
      </c>
      <c r="B672" s="13">
        <v>1</v>
      </c>
    </row>
    <row r="673" spans="1:2" hidden="1" x14ac:dyDescent="0.4">
      <c r="A673" s="12" t="s">
        <v>437</v>
      </c>
      <c r="B673" s="13">
        <v>1</v>
      </c>
    </row>
    <row r="674" spans="1:2" hidden="1" x14ac:dyDescent="0.4">
      <c r="A674" s="12" t="s">
        <v>23</v>
      </c>
      <c r="B674" s="13">
        <v>1</v>
      </c>
    </row>
    <row r="675" spans="1:2" hidden="1" x14ac:dyDescent="0.4">
      <c r="A675" s="12" t="s">
        <v>234</v>
      </c>
      <c r="B675" s="13">
        <v>1</v>
      </c>
    </row>
    <row r="676" spans="1:2" hidden="1" x14ac:dyDescent="0.4">
      <c r="A676" s="12" t="s">
        <v>218</v>
      </c>
      <c r="B676" s="13">
        <v>1</v>
      </c>
    </row>
    <row r="677" spans="1:2" hidden="1" x14ac:dyDescent="0.4">
      <c r="A677" s="12" t="s">
        <v>85</v>
      </c>
      <c r="B677" s="13">
        <v>1</v>
      </c>
    </row>
    <row r="678" spans="1:2" hidden="1" x14ac:dyDescent="0.4">
      <c r="A678" s="12" t="s">
        <v>129</v>
      </c>
      <c r="B678" s="13">
        <v>1</v>
      </c>
    </row>
    <row r="679" spans="1:2" hidden="1" x14ac:dyDescent="0.4">
      <c r="A679" s="12" t="s">
        <v>141</v>
      </c>
      <c r="B679" s="13">
        <v>1</v>
      </c>
    </row>
    <row r="680" spans="1:2" hidden="1" x14ac:dyDescent="0.4">
      <c r="A680" s="12" t="s">
        <v>282</v>
      </c>
      <c r="B680" s="13">
        <v>1</v>
      </c>
    </row>
    <row r="681" spans="1:2" hidden="1" x14ac:dyDescent="0.4">
      <c r="A681" s="12" t="s">
        <v>86</v>
      </c>
      <c r="B681" s="13">
        <v>1</v>
      </c>
    </row>
    <row r="682" spans="1:2" hidden="1" x14ac:dyDescent="0.4">
      <c r="A682" s="12" t="s">
        <v>75</v>
      </c>
      <c r="B682" s="13">
        <v>1</v>
      </c>
    </row>
    <row r="683" spans="1:2" hidden="1" x14ac:dyDescent="0.4">
      <c r="A683" s="12" t="s">
        <v>143</v>
      </c>
      <c r="B683" s="13">
        <v>1</v>
      </c>
    </row>
    <row r="684" spans="1:2" hidden="1" x14ac:dyDescent="0.4">
      <c r="A684" s="12" t="s">
        <v>126</v>
      </c>
      <c r="B684" s="13">
        <v>1</v>
      </c>
    </row>
    <row r="685" spans="1:2" hidden="1" x14ac:dyDescent="0.4">
      <c r="A685" s="12" t="s">
        <v>144</v>
      </c>
      <c r="B685" s="13">
        <v>1</v>
      </c>
    </row>
    <row r="686" spans="1:2" hidden="1" x14ac:dyDescent="0.4">
      <c r="A686" s="12" t="s">
        <v>258</v>
      </c>
      <c r="B686" s="13">
        <v>1</v>
      </c>
    </row>
    <row r="687" spans="1:2" hidden="1" x14ac:dyDescent="0.4">
      <c r="A687" s="12" t="s">
        <v>87</v>
      </c>
      <c r="B687" s="13">
        <v>1</v>
      </c>
    </row>
    <row r="688" spans="1:2" hidden="1" x14ac:dyDescent="0.4">
      <c r="A688" s="12" t="s">
        <v>81</v>
      </c>
      <c r="B688" s="13">
        <v>1</v>
      </c>
    </row>
    <row r="689" spans="1:2" hidden="1" x14ac:dyDescent="0.4">
      <c r="A689" s="12" t="s">
        <v>32</v>
      </c>
      <c r="B689" s="13">
        <v>1</v>
      </c>
    </row>
    <row r="690" spans="1:2" hidden="1" x14ac:dyDescent="0.4">
      <c r="A690" s="12" t="s">
        <v>113</v>
      </c>
      <c r="B690" s="13">
        <v>1</v>
      </c>
    </row>
    <row r="691" spans="1:2" hidden="1" x14ac:dyDescent="0.4">
      <c r="A691" s="12" t="s">
        <v>147</v>
      </c>
      <c r="B691" s="13">
        <v>1</v>
      </c>
    </row>
    <row r="692" spans="1:2" hidden="1" x14ac:dyDescent="0.4">
      <c r="A692" s="12" t="s">
        <v>222</v>
      </c>
      <c r="B692" s="13">
        <v>1</v>
      </c>
    </row>
    <row r="693" spans="1:2" hidden="1" x14ac:dyDescent="0.4">
      <c r="A693" s="12" t="s">
        <v>89</v>
      </c>
      <c r="B693" s="13">
        <v>1</v>
      </c>
    </row>
    <row r="694" spans="1:2" hidden="1" x14ac:dyDescent="0.4">
      <c r="A694" s="12" t="s">
        <v>20</v>
      </c>
      <c r="B694" s="13">
        <v>1</v>
      </c>
    </row>
    <row r="695" spans="1:2" hidden="1" x14ac:dyDescent="0.4">
      <c r="A695" s="12" t="s">
        <v>149</v>
      </c>
      <c r="B695" s="13">
        <v>1</v>
      </c>
    </row>
    <row r="696" spans="1:2" hidden="1" x14ac:dyDescent="0.4">
      <c r="A696" s="12" t="s">
        <v>238</v>
      </c>
      <c r="B696" s="13">
        <v>1</v>
      </c>
    </row>
    <row r="697" spans="1:2" hidden="1" x14ac:dyDescent="0.4">
      <c r="A697" s="12" t="s">
        <v>42</v>
      </c>
      <c r="B697" s="13">
        <v>1</v>
      </c>
    </row>
    <row r="698" spans="1:2" hidden="1" x14ac:dyDescent="0.4">
      <c r="A698" s="12" t="s">
        <v>246</v>
      </c>
      <c r="B698" s="13">
        <v>1</v>
      </c>
    </row>
    <row r="699" spans="1:2" hidden="1" x14ac:dyDescent="0.4">
      <c r="A699" s="12" t="s">
        <v>151</v>
      </c>
      <c r="B699" s="13">
        <v>1</v>
      </c>
    </row>
    <row r="700" spans="1:2" hidden="1" x14ac:dyDescent="0.4">
      <c r="A700" s="12" t="s">
        <v>254</v>
      </c>
      <c r="B700" s="13">
        <v>1</v>
      </c>
    </row>
    <row r="701" spans="1:2" hidden="1" x14ac:dyDescent="0.4">
      <c r="A701" s="12" t="s">
        <v>152</v>
      </c>
      <c r="B701" s="13">
        <v>1</v>
      </c>
    </row>
    <row r="702" spans="1:2" hidden="1" x14ac:dyDescent="0.4">
      <c r="A702" s="12" t="s">
        <v>262</v>
      </c>
      <c r="B702" s="13">
        <v>1</v>
      </c>
    </row>
    <row r="703" spans="1:2" hidden="1" x14ac:dyDescent="0.4">
      <c r="A703" s="12" t="s">
        <v>153</v>
      </c>
      <c r="B703" s="13">
        <v>1</v>
      </c>
    </row>
    <row r="704" spans="1:2" hidden="1" x14ac:dyDescent="0.4">
      <c r="A704" s="12" t="s">
        <v>270</v>
      </c>
      <c r="B704" s="13">
        <v>1</v>
      </c>
    </row>
    <row r="705" spans="1:2" hidden="1" x14ac:dyDescent="0.4">
      <c r="A705" s="12" t="s">
        <v>43</v>
      </c>
      <c r="B705" s="13">
        <v>1</v>
      </c>
    </row>
    <row r="706" spans="1:2" hidden="1" x14ac:dyDescent="0.4">
      <c r="A706" s="12" t="s">
        <v>68</v>
      </c>
      <c r="B706" s="13">
        <v>1</v>
      </c>
    </row>
    <row r="707" spans="1:2" hidden="1" x14ac:dyDescent="0.4">
      <c r="A707" s="12" t="s">
        <v>90</v>
      </c>
      <c r="B707" s="13">
        <v>1</v>
      </c>
    </row>
    <row r="708" spans="1:2" hidden="1" x14ac:dyDescent="0.4">
      <c r="A708" s="12" t="s">
        <v>53</v>
      </c>
      <c r="B708" s="13">
        <v>1</v>
      </c>
    </row>
    <row r="709" spans="1:2" hidden="1" x14ac:dyDescent="0.4">
      <c r="A709" s="12" t="s">
        <v>91</v>
      </c>
      <c r="B709" s="13">
        <v>1</v>
      </c>
    </row>
    <row r="710" spans="1:2" hidden="1" x14ac:dyDescent="0.4">
      <c r="A710" s="12" t="s">
        <v>62</v>
      </c>
      <c r="B710" s="13">
        <v>1</v>
      </c>
    </row>
    <row r="711" spans="1:2" hidden="1" x14ac:dyDescent="0.4">
      <c r="A711" s="12" t="s">
        <v>290</v>
      </c>
      <c r="B711" s="13">
        <v>1</v>
      </c>
    </row>
    <row r="712" spans="1:2" hidden="1" x14ac:dyDescent="0.4">
      <c r="A712" s="12" t="s">
        <v>116</v>
      </c>
      <c r="B712" s="13">
        <v>1</v>
      </c>
    </row>
    <row r="713" spans="1:2" hidden="1" x14ac:dyDescent="0.4">
      <c r="A713" s="12" t="s">
        <v>292</v>
      </c>
      <c r="B713" s="13">
        <v>1</v>
      </c>
    </row>
    <row r="714" spans="1:2" hidden="1" x14ac:dyDescent="0.4">
      <c r="A714" s="12" t="s">
        <v>26</v>
      </c>
      <c r="B714" s="13">
        <v>1</v>
      </c>
    </row>
    <row r="715" spans="1:2" hidden="1" x14ac:dyDescent="0.4">
      <c r="A715" s="12" t="s">
        <v>92</v>
      </c>
      <c r="B715" s="13">
        <v>1</v>
      </c>
    </row>
    <row r="716" spans="1:2" hidden="1" x14ac:dyDescent="0.4">
      <c r="A716" s="12" t="s">
        <v>67</v>
      </c>
      <c r="B716" s="13">
        <v>1</v>
      </c>
    </row>
    <row r="717" spans="1:2" hidden="1" x14ac:dyDescent="0.4">
      <c r="A717" s="12" t="s">
        <v>160</v>
      </c>
      <c r="B717" s="13">
        <v>1</v>
      </c>
    </row>
    <row r="718" spans="1:2" hidden="1" x14ac:dyDescent="0.4">
      <c r="A718" s="12" t="s">
        <v>232</v>
      </c>
      <c r="B718" s="13">
        <v>1</v>
      </c>
    </row>
    <row r="719" spans="1:2" hidden="1" x14ac:dyDescent="0.4">
      <c r="A719" s="12" t="s">
        <v>93</v>
      </c>
      <c r="B719" s="13">
        <v>1</v>
      </c>
    </row>
    <row r="720" spans="1:2" hidden="1" x14ac:dyDescent="0.4">
      <c r="A720" s="12" t="s">
        <v>236</v>
      </c>
      <c r="B720" s="13">
        <v>1</v>
      </c>
    </row>
    <row r="721" spans="1:2" hidden="1" x14ac:dyDescent="0.4">
      <c r="A721" s="12" t="s">
        <v>162</v>
      </c>
      <c r="B721" s="13">
        <v>1</v>
      </c>
    </row>
    <row r="722" spans="1:2" hidden="1" x14ac:dyDescent="0.4">
      <c r="A722" s="12" t="s">
        <v>240</v>
      </c>
      <c r="B722" s="13">
        <v>1</v>
      </c>
    </row>
    <row r="723" spans="1:2" hidden="1" x14ac:dyDescent="0.4">
      <c r="A723" s="12" t="s">
        <v>163</v>
      </c>
      <c r="B723" s="13">
        <v>1</v>
      </c>
    </row>
    <row r="724" spans="1:2" hidden="1" x14ac:dyDescent="0.4">
      <c r="A724" s="12" t="s">
        <v>244</v>
      </c>
      <c r="B724" s="13">
        <v>1</v>
      </c>
    </row>
    <row r="725" spans="1:2" hidden="1" x14ac:dyDescent="0.4">
      <c r="A725" s="12" t="s">
        <v>94</v>
      </c>
      <c r="B725" s="13">
        <v>1</v>
      </c>
    </row>
    <row r="726" spans="1:2" hidden="1" x14ac:dyDescent="0.4">
      <c r="A726" s="12" t="s">
        <v>34</v>
      </c>
      <c r="B726" s="13">
        <v>1</v>
      </c>
    </row>
    <row r="727" spans="1:2" hidden="1" x14ac:dyDescent="0.4">
      <c r="A727" s="12" t="s">
        <v>165</v>
      </c>
      <c r="B727" s="13">
        <v>1</v>
      </c>
    </row>
    <row r="728" spans="1:2" hidden="1" x14ac:dyDescent="0.4">
      <c r="A728" s="12" t="s">
        <v>56</v>
      </c>
      <c r="B728" s="13">
        <v>1</v>
      </c>
    </row>
    <row r="729" spans="1:2" hidden="1" x14ac:dyDescent="0.4">
      <c r="A729" s="12" t="s">
        <v>166</v>
      </c>
      <c r="B729" s="13">
        <v>1</v>
      </c>
    </row>
    <row r="730" spans="1:2" hidden="1" x14ac:dyDescent="0.4">
      <c r="A730" s="12" t="s">
        <v>256</v>
      </c>
      <c r="B730" s="13">
        <v>1</v>
      </c>
    </row>
    <row r="731" spans="1:2" hidden="1" x14ac:dyDescent="0.4">
      <c r="A731" s="12" t="s">
        <v>167</v>
      </c>
      <c r="B731" s="13">
        <v>1</v>
      </c>
    </row>
    <row r="732" spans="1:2" hidden="1" x14ac:dyDescent="0.4">
      <c r="A732" s="12" t="s">
        <v>260</v>
      </c>
      <c r="B732" s="13">
        <v>1</v>
      </c>
    </row>
    <row r="733" spans="1:2" hidden="1" x14ac:dyDescent="0.4">
      <c r="A733" s="12" t="s">
        <v>63</v>
      </c>
      <c r="B733" s="13">
        <v>1</v>
      </c>
    </row>
    <row r="734" spans="1:2" hidden="1" x14ac:dyDescent="0.4">
      <c r="A734" s="12" t="s">
        <v>264</v>
      </c>
      <c r="B734" s="13">
        <v>1</v>
      </c>
    </row>
    <row r="735" spans="1:2" hidden="1" x14ac:dyDescent="0.4">
      <c r="A735" s="12" t="s">
        <v>45</v>
      </c>
      <c r="B735" s="13">
        <v>1</v>
      </c>
    </row>
    <row r="736" spans="1:2" hidden="1" x14ac:dyDescent="0.4">
      <c r="A736" s="12" t="s">
        <v>80</v>
      </c>
      <c r="B736" s="13">
        <v>1</v>
      </c>
    </row>
    <row r="737" spans="1:2" hidden="1" x14ac:dyDescent="0.4">
      <c r="A737" s="12" t="s">
        <v>46</v>
      </c>
      <c r="B737" s="13">
        <v>1</v>
      </c>
    </row>
    <row r="738" spans="1:2" hidden="1" x14ac:dyDescent="0.4">
      <c r="A738" s="12" t="s">
        <v>134</v>
      </c>
      <c r="B738" s="13">
        <v>1</v>
      </c>
    </row>
    <row r="739" spans="1:2" hidden="1" x14ac:dyDescent="0.4">
      <c r="A739" s="12" t="s">
        <v>171</v>
      </c>
      <c r="B739" s="13">
        <v>1</v>
      </c>
    </row>
    <row r="740" spans="1:2" hidden="1" x14ac:dyDescent="0.4">
      <c r="A740" s="12" t="s">
        <v>82</v>
      </c>
      <c r="B740" s="13">
        <v>1</v>
      </c>
    </row>
    <row r="741" spans="1:2" hidden="1" x14ac:dyDescent="0.4">
      <c r="A741" s="12" t="s">
        <v>172</v>
      </c>
      <c r="B741" s="13">
        <v>1</v>
      </c>
    </row>
    <row r="742" spans="1:2" hidden="1" x14ac:dyDescent="0.4">
      <c r="A742" s="12" t="s">
        <v>60</v>
      </c>
      <c r="B742" s="13">
        <v>1</v>
      </c>
    </row>
    <row r="743" spans="1:2" hidden="1" x14ac:dyDescent="0.4">
      <c r="A743" s="12" t="s">
        <v>71</v>
      </c>
      <c r="B743" s="13">
        <v>1</v>
      </c>
    </row>
    <row r="744" spans="1:2" hidden="1" x14ac:dyDescent="0.4">
      <c r="A744" s="12" t="s">
        <v>284</v>
      </c>
      <c r="B744" s="13">
        <v>1</v>
      </c>
    </row>
    <row r="745" spans="1:2" hidden="1" x14ac:dyDescent="0.4">
      <c r="A745" s="12" t="s">
        <v>287</v>
      </c>
      <c r="B745" s="13">
        <v>1</v>
      </c>
    </row>
    <row r="746" spans="1:2" hidden="1" x14ac:dyDescent="0.4">
      <c r="A746" s="12" t="s">
        <v>213</v>
      </c>
      <c r="B746" s="13">
        <v>1</v>
      </c>
    </row>
    <row r="747" spans="1:2" hidden="1" x14ac:dyDescent="0.4">
      <c r="A747" s="12" t="s">
        <v>97</v>
      </c>
      <c r="B747" s="13">
        <v>1</v>
      </c>
    </row>
    <row r="748" spans="1:2" hidden="1" x14ac:dyDescent="0.4">
      <c r="A748" s="12" t="s">
        <v>215</v>
      </c>
      <c r="B748" s="13">
        <v>1</v>
      </c>
    </row>
    <row r="749" spans="1:2" hidden="1" x14ac:dyDescent="0.4">
      <c r="A749" s="12" t="s">
        <v>98</v>
      </c>
      <c r="B749" s="13">
        <v>1</v>
      </c>
    </row>
    <row r="750" spans="1:2" hidden="1" x14ac:dyDescent="0.4">
      <c r="A750" s="12" t="s">
        <v>36</v>
      </c>
      <c r="B750" s="13">
        <v>1</v>
      </c>
    </row>
    <row r="751" spans="1:2" hidden="1" x14ac:dyDescent="0.4">
      <c r="A751" s="12" t="s">
        <v>177</v>
      </c>
      <c r="B751" s="13">
        <v>1</v>
      </c>
    </row>
    <row r="752" spans="1:2" hidden="1" x14ac:dyDescent="0.4">
      <c r="A752" s="12" t="s">
        <v>219</v>
      </c>
      <c r="B752" s="13">
        <v>1</v>
      </c>
    </row>
    <row r="753" spans="1:2" hidden="1" x14ac:dyDescent="0.4">
      <c r="A753" s="12" t="s">
        <v>178</v>
      </c>
      <c r="B753" s="13">
        <v>1</v>
      </c>
    </row>
    <row r="754" spans="1:2" hidden="1" x14ac:dyDescent="0.4">
      <c r="A754" s="12" t="s">
        <v>66</v>
      </c>
      <c r="B754" s="13">
        <v>1</v>
      </c>
    </row>
    <row r="755" spans="1:2" hidden="1" x14ac:dyDescent="0.4">
      <c r="A755" s="12" t="s">
        <v>99</v>
      </c>
      <c r="B755" s="13">
        <v>1</v>
      </c>
    </row>
    <row r="756" spans="1:2" hidden="1" x14ac:dyDescent="0.4">
      <c r="A756" s="12" t="s">
        <v>223</v>
      </c>
      <c r="B756" s="13">
        <v>1</v>
      </c>
    </row>
    <row r="757" spans="1:2" hidden="1" x14ac:dyDescent="0.4">
      <c r="A757" s="12" t="s">
        <v>100</v>
      </c>
      <c r="B757" s="13">
        <v>1</v>
      </c>
    </row>
    <row r="758" spans="1:2" hidden="1" x14ac:dyDescent="0.4">
      <c r="A758" s="12" t="s">
        <v>225</v>
      </c>
      <c r="B758" s="13">
        <v>1</v>
      </c>
    </row>
    <row r="759" spans="1:2" hidden="1" x14ac:dyDescent="0.4">
      <c r="A759" s="12" t="s">
        <v>101</v>
      </c>
      <c r="B759" s="13">
        <v>1</v>
      </c>
    </row>
    <row r="760" spans="1:2" hidden="1" x14ac:dyDescent="0.4">
      <c r="A760" s="12" t="s">
        <v>227</v>
      </c>
      <c r="B760" s="13">
        <v>1</v>
      </c>
    </row>
    <row r="761" spans="1:2" hidden="1" x14ac:dyDescent="0.4">
      <c r="A761" s="12" t="s">
        <v>182</v>
      </c>
      <c r="B761" s="13">
        <v>1</v>
      </c>
    </row>
    <row r="762" spans="1:2" hidden="1" x14ac:dyDescent="0.4">
      <c r="A762" s="12" t="s">
        <v>229</v>
      </c>
      <c r="B762" s="13">
        <v>1</v>
      </c>
    </row>
    <row r="763" spans="1:2" hidden="1" x14ac:dyDescent="0.4">
      <c r="A763" s="12" t="s">
        <v>183</v>
      </c>
      <c r="B763" s="13">
        <v>1</v>
      </c>
    </row>
    <row r="764" spans="1:2" hidden="1" x14ac:dyDescent="0.4">
      <c r="A764" s="12" t="s">
        <v>123</v>
      </c>
      <c r="B764" s="13">
        <v>1</v>
      </c>
    </row>
    <row r="765" spans="1:2" hidden="1" x14ac:dyDescent="0.4">
      <c r="A765" s="12" t="s">
        <v>184</v>
      </c>
      <c r="B765" s="13">
        <v>1</v>
      </c>
    </row>
    <row r="766" spans="1:2" hidden="1" x14ac:dyDescent="0.4">
      <c r="A766" s="12" t="s">
        <v>233</v>
      </c>
      <c r="B766" s="13">
        <v>1</v>
      </c>
    </row>
    <row r="767" spans="1:2" hidden="1" x14ac:dyDescent="0.4">
      <c r="A767" s="12" t="s">
        <v>102</v>
      </c>
      <c r="B767" s="13">
        <v>1</v>
      </c>
    </row>
    <row r="768" spans="1:2" hidden="1" x14ac:dyDescent="0.4">
      <c r="A768" s="12" t="s">
        <v>77</v>
      </c>
      <c r="B768" s="13">
        <v>1</v>
      </c>
    </row>
    <row r="769" spans="1:2" hidden="1" x14ac:dyDescent="0.4">
      <c r="A769" s="12" t="s">
        <v>103</v>
      </c>
      <c r="B769" s="13">
        <v>1</v>
      </c>
    </row>
    <row r="770" spans="1:2" hidden="1" x14ac:dyDescent="0.4">
      <c r="A770" s="12" t="s">
        <v>39</v>
      </c>
      <c r="B770" s="13">
        <v>1</v>
      </c>
    </row>
    <row r="771" spans="1:2" hidden="1" x14ac:dyDescent="0.4">
      <c r="A771" s="12" t="s">
        <v>187</v>
      </c>
      <c r="B771" s="13">
        <v>1</v>
      </c>
    </row>
    <row r="772" spans="1:2" hidden="1" x14ac:dyDescent="0.4">
      <c r="A772" s="12" t="s">
        <v>239</v>
      </c>
      <c r="B772" s="13">
        <v>1</v>
      </c>
    </row>
    <row r="773" spans="1:2" hidden="1" x14ac:dyDescent="0.4">
      <c r="A773" s="12" t="s">
        <v>188</v>
      </c>
      <c r="B773" s="13">
        <v>1</v>
      </c>
    </row>
    <row r="774" spans="1:2" hidden="1" x14ac:dyDescent="0.4">
      <c r="A774" s="12" t="s">
        <v>241</v>
      </c>
      <c r="B774" s="13">
        <v>1</v>
      </c>
    </row>
    <row r="775" spans="1:2" hidden="1" x14ac:dyDescent="0.4">
      <c r="A775" s="12" t="s">
        <v>104</v>
      </c>
      <c r="B775" s="13">
        <v>1</v>
      </c>
    </row>
    <row r="776" spans="1:2" hidden="1" x14ac:dyDescent="0.4">
      <c r="A776" s="12" t="s">
        <v>55</v>
      </c>
      <c r="B776" s="13">
        <v>1</v>
      </c>
    </row>
    <row r="777" spans="1:2" hidden="1" x14ac:dyDescent="0.4">
      <c r="A777" s="12" t="s">
        <v>105</v>
      </c>
      <c r="B777" s="13">
        <v>1</v>
      </c>
    </row>
    <row r="778" spans="1:2" hidden="1" x14ac:dyDescent="0.4">
      <c r="A778" s="12" t="s">
        <v>245</v>
      </c>
      <c r="B778" s="13">
        <v>1</v>
      </c>
    </row>
    <row r="779" spans="1:2" hidden="1" x14ac:dyDescent="0.4">
      <c r="A779" s="12" t="s">
        <v>191</v>
      </c>
      <c r="B779" s="13">
        <v>1</v>
      </c>
    </row>
    <row r="780" spans="1:2" hidden="1" x14ac:dyDescent="0.4">
      <c r="A780" s="12" t="s">
        <v>247</v>
      </c>
      <c r="B780" s="13">
        <v>1</v>
      </c>
    </row>
    <row r="781" spans="1:2" hidden="1" x14ac:dyDescent="0.4">
      <c r="A781" s="12" t="s">
        <v>106</v>
      </c>
      <c r="B781" s="13">
        <v>1</v>
      </c>
    </row>
    <row r="782" spans="1:2" hidden="1" x14ac:dyDescent="0.4">
      <c r="A782" s="12" t="s">
        <v>128</v>
      </c>
      <c r="B782" s="13">
        <v>1</v>
      </c>
    </row>
    <row r="783" spans="1:2" hidden="1" x14ac:dyDescent="0.4">
      <c r="A783" s="12" t="s">
        <v>193</v>
      </c>
      <c r="B783" s="13">
        <v>1</v>
      </c>
    </row>
    <row r="784" spans="1:2" hidden="1" x14ac:dyDescent="0.4">
      <c r="A784" s="12" t="s">
        <v>251</v>
      </c>
      <c r="B784" s="13">
        <v>1</v>
      </c>
    </row>
    <row r="785" spans="1:2" hidden="1" x14ac:dyDescent="0.4">
      <c r="A785" s="12" t="s">
        <v>194</v>
      </c>
      <c r="B785" s="13">
        <v>1</v>
      </c>
    </row>
    <row r="786" spans="1:2" hidden="1" x14ac:dyDescent="0.4">
      <c r="A786" s="12" t="s">
        <v>253</v>
      </c>
      <c r="B786" s="13">
        <v>1</v>
      </c>
    </row>
    <row r="787" spans="1:2" hidden="1" x14ac:dyDescent="0.4">
      <c r="A787" s="12" t="s">
        <v>195</v>
      </c>
      <c r="B787" s="13">
        <v>1</v>
      </c>
    </row>
    <row r="788" spans="1:2" hidden="1" x14ac:dyDescent="0.4">
      <c r="A788" s="12" t="s">
        <v>255</v>
      </c>
      <c r="B788" s="13">
        <v>1</v>
      </c>
    </row>
    <row r="789" spans="1:2" hidden="1" x14ac:dyDescent="0.4">
      <c r="A789" s="12" t="s">
        <v>196</v>
      </c>
      <c r="B789" s="13">
        <v>1</v>
      </c>
    </row>
    <row r="790" spans="1:2" hidden="1" x14ac:dyDescent="0.4">
      <c r="A790" s="12" t="s">
        <v>257</v>
      </c>
      <c r="B790" s="13">
        <v>1</v>
      </c>
    </row>
    <row r="791" spans="1:2" hidden="1" x14ac:dyDescent="0.4">
      <c r="A791" s="12" t="s">
        <v>197</v>
      </c>
      <c r="B791" s="13">
        <v>1</v>
      </c>
    </row>
    <row r="792" spans="1:2" hidden="1" x14ac:dyDescent="0.4">
      <c r="A792" s="12" t="s">
        <v>259</v>
      </c>
      <c r="B792" s="13">
        <v>1</v>
      </c>
    </row>
    <row r="793" spans="1:2" hidden="1" x14ac:dyDescent="0.4">
      <c r="A793" s="12" t="s">
        <v>198</v>
      </c>
      <c r="B793" s="13">
        <v>1</v>
      </c>
    </row>
    <row r="794" spans="1:2" hidden="1" x14ac:dyDescent="0.4">
      <c r="A794" s="12" t="s">
        <v>130</v>
      </c>
      <c r="B794" s="13">
        <v>1</v>
      </c>
    </row>
    <row r="795" spans="1:2" hidden="1" x14ac:dyDescent="0.4">
      <c r="A795" s="12" t="s">
        <v>199</v>
      </c>
      <c r="B795" s="13">
        <v>1</v>
      </c>
    </row>
    <row r="796" spans="1:2" hidden="1" x14ac:dyDescent="0.4">
      <c r="A796" s="12" t="s">
        <v>263</v>
      </c>
      <c r="B796" s="13">
        <v>1</v>
      </c>
    </row>
    <row r="797" spans="1:2" hidden="1" x14ac:dyDescent="0.4">
      <c r="A797" s="12" t="s">
        <v>200</v>
      </c>
      <c r="B797" s="13">
        <v>1</v>
      </c>
    </row>
    <row r="798" spans="1:2" hidden="1" x14ac:dyDescent="0.4">
      <c r="A798" s="12" t="s">
        <v>79</v>
      </c>
      <c r="B798" s="13">
        <v>1</v>
      </c>
    </row>
    <row r="799" spans="1:2" hidden="1" x14ac:dyDescent="0.4">
      <c r="A799" s="12" t="s">
        <v>48</v>
      </c>
      <c r="B799" s="13">
        <v>1</v>
      </c>
    </row>
    <row r="800" spans="1:2" hidden="1" x14ac:dyDescent="0.4">
      <c r="A800" s="12" t="s">
        <v>132</v>
      </c>
      <c r="B800" s="13">
        <v>1</v>
      </c>
    </row>
    <row r="801" spans="1:2" hidden="1" x14ac:dyDescent="0.4">
      <c r="A801" s="12" t="s">
        <v>202</v>
      </c>
      <c r="B801" s="13">
        <v>1</v>
      </c>
    </row>
    <row r="802" spans="1:2" hidden="1" x14ac:dyDescent="0.4">
      <c r="A802" s="12" t="s">
        <v>58</v>
      </c>
      <c r="B802" s="13">
        <v>1</v>
      </c>
    </row>
    <row r="803" spans="1:2" hidden="1" x14ac:dyDescent="0.4">
      <c r="A803" s="12" t="s">
        <v>203</v>
      </c>
      <c r="B803" s="13">
        <v>1</v>
      </c>
    </row>
    <row r="804" spans="1:2" hidden="1" x14ac:dyDescent="0.4">
      <c r="A804" s="12" t="s">
        <v>271</v>
      </c>
      <c r="B804" s="13">
        <v>1</v>
      </c>
    </row>
    <row r="805" spans="1:2" hidden="1" x14ac:dyDescent="0.4">
      <c r="A805" s="12" t="s">
        <v>107</v>
      </c>
      <c r="B805" s="13">
        <v>1</v>
      </c>
    </row>
    <row r="806" spans="1:2" hidden="1" x14ac:dyDescent="0.4">
      <c r="A806" s="12" t="s">
        <v>273</v>
      </c>
      <c r="B806" s="13">
        <v>1</v>
      </c>
    </row>
    <row r="807" spans="1:2" hidden="1" x14ac:dyDescent="0.4">
      <c r="A807" s="12" t="s">
        <v>108</v>
      </c>
      <c r="B807" s="13">
        <v>1</v>
      </c>
    </row>
    <row r="808" spans="1:2" hidden="1" x14ac:dyDescent="0.4">
      <c r="A808" s="12" t="s">
        <v>275</v>
      </c>
      <c r="B808" s="13">
        <v>1</v>
      </c>
    </row>
    <row r="809" spans="1:2" hidden="1" x14ac:dyDescent="0.4">
      <c r="A809" s="12" t="s">
        <v>30</v>
      </c>
      <c r="B809" s="13">
        <v>1</v>
      </c>
    </row>
    <row r="810" spans="1:2" hidden="1" x14ac:dyDescent="0.4">
      <c r="A810" s="12" t="s">
        <v>277</v>
      </c>
      <c r="B810" s="13">
        <v>1</v>
      </c>
    </row>
    <row r="811" spans="1:2" hidden="1" x14ac:dyDescent="0.4">
      <c r="A811" s="12" t="s">
        <v>18</v>
      </c>
      <c r="B811" s="13">
        <v>1</v>
      </c>
    </row>
    <row r="812" spans="1:2" hidden="1" x14ac:dyDescent="0.4">
      <c r="A812" s="12" t="s">
        <v>279</v>
      </c>
      <c r="B812" s="13">
        <v>1</v>
      </c>
    </row>
    <row r="813" spans="1:2" hidden="1" x14ac:dyDescent="0.4">
      <c r="A813" s="12" t="s">
        <v>110</v>
      </c>
      <c r="B813" s="13">
        <v>1</v>
      </c>
    </row>
    <row r="814" spans="1:2" hidden="1" x14ac:dyDescent="0.4">
      <c r="A814" s="12" t="s">
        <v>41</v>
      </c>
      <c r="B814" s="13">
        <v>1</v>
      </c>
    </row>
    <row r="815" spans="1:2" hidden="1" x14ac:dyDescent="0.4">
      <c r="A815" s="12" t="s">
        <v>51</v>
      </c>
      <c r="B815" s="13">
        <v>1</v>
      </c>
    </row>
    <row r="816" spans="1:2" hidden="1" x14ac:dyDescent="0.4">
      <c r="A816" s="12" t="s">
        <v>283</v>
      </c>
      <c r="B816" s="13">
        <v>1</v>
      </c>
    </row>
    <row r="817" spans="1:2" hidden="1" x14ac:dyDescent="0.4">
      <c r="A817" s="12" t="s">
        <v>111</v>
      </c>
      <c r="B817" s="13">
        <v>1</v>
      </c>
    </row>
    <row r="818" spans="1:2" hidden="1" x14ac:dyDescent="0.4">
      <c r="A818" s="12" t="s">
        <v>84</v>
      </c>
      <c r="B818" s="13">
        <v>1</v>
      </c>
    </row>
    <row r="819" spans="1:2" hidden="1" x14ac:dyDescent="0.4">
      <c r="A819" s="12" t="s">
        <v>112</v>
      </c>
      <c r="B819" s="13">
        <v>1</v>
      </c>
    </row>
    <row r="820" spans="1:2" hidden="1" x14ac:dyDescent="0.4">
      <c r="A820" s="12" t="s">
        <v>47</v>
      </c>
      <c r="B820" s="13">
        <v>1</v>
      </c>
    </row>
    <row r="821" spans="1:2" hidden="1" x14ac:dyDescent="0.4">
      <c r="A821" s="12" t="s">
        <v>288</v>
      </c>
      <c r="B821" s="13">
        <v>1</v>
      </c>
    </row>
    <row r="822" spans="1:2" hidden="1" x14ac:dyDescent="0.4">
      <c r="A822" s="12" t="s">
        <v>174</v>
      </c>
      <c r="B822" s="13">
        <v>1</v>
      </c>
    </row>
    <row r="823" spans="1:2" hidden="1" x14ac:dyDescent="0.4">
      <c r="A823" s="12" t="s">
        <v>61</v>
      </c>
      <c r="B823" s="13">
        <v>1</v>
      </c>
    </row>
    <row r="824" spans="1:2" hidden="1" x14ac:dyDescent="0.4">
      <c r="A824" s="12" t="s">
        <v>175</v>
      </c>
      <c r="B824" s="13">
        <v>1</v>
      </c>
    </row>
    <row r="825" spans="1:2" hidden="1" x14ac:dyDescent="0.4">
      <c r="A825" s="12" t="s">
        <v>157</v>
      </c>
      <c r="B825" s="13">
        <v>1</v>
      </c>
    </row>
    <row r="826" spans="1:2" hidden="1" x14ac:dyDescent="0.4">
      <c r="A826" s="12" t="s">
        <v>24</v>
      </c>
      <c r="B826" s="13">
        <v>1</v>
      </c>
    </row>
    <row r="827" spans="1:2" hidden="1" x14ac:dyDescent="0.4">
      <c r="A827" s="12" t="s">
        <v>158</v>
      </c>
      <c r="B827" s="13">
        <v>1</v>
      </c>
    </row>
    <row r="828" spans="1:2" x14ac:dyDescent="0.4">
      <c r="A828" s="12" t="s">
        <v>7</v>
      </c>
      <c r="B828" s="13">
        <v>1200</v>
      </c>
    </row>
  </sheetData>
  <autoFilter ref="A3:B828">
    <filterColumn colId="1">
      <filters>
        <filter val="1200"/>
        <filter val="4"/>
        <filter val="5"/>
        <filter val="6"/>
        <filter val="7"/>
      </filters>
    </filterColumn>
  </autoFilter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dailyMovers_Data</vt:lpstr>
      <vt:lpstr>Pivot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Haber Dashery</dc:creator>
  <cp:lastModifiedBy>Haber Dashery</cp:lastModifiedBy>
  <dcterms:created xsi:type="dcterms:W3CDTF">2018-02-07T17:23:34Z</dcterms:created>
  <dcterms:modified xsi:type="dcterms:W3CDTF">2018-05-15T03:14:13Z</dcterms:modified>
</cp:coreProperties>
</file>