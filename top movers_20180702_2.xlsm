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Pivot" sheetId="4" r:id="rId2"/>
    <sheet name="Sheet2" sheetId="2" r:id="rId3"/>
    <sheet name="Sheet3" sheetId="3" r:id="rId4"/>
  </sheets>
  <functionGroups builtInGroupCount="17"/>
  <definedNames>
    <definedName name="_xlnm._FilterDatabase" localSheetId="0" hidden="1">dailyMovers_Data!$A$1:$I$1101</definedName>
  </definedNames>
  <calcPr calcId="144525"/>
  <pivotCaches>
    <pivotCache cacheId="0" r:id="rId5"/>
    <pivotCache cacheId="1" r:id="rId6"/>
  </pivotCaches>
</workbook>
</file>

<file path=xl/calcChain.xml><?xml version="1.0" encoding="utf-8"?>
<calcChain xmlns="http://schemas.openxmlformats.org/spreadsheetml/2006/main">
  <c r="I20" i="1" l="1"/>
</calcChain>
</file>

<file path=xl/sharedStrings.xml><?xml version="1.0" encoding="utf-8"?>
<sst xmlns="http://schemas.openxmlformats.org/spreadsheetml/2006/main" count="879" uniqueCount="479">
  <si>
    <t xml:space="preserve">Asta Funding (ASFI) </t>
  </si>
  <si>
    <t xml:space="preserve">Cyanotech (CYAN) </t>
  </si>
  <si>
    <t xml:space="preserve">Quotient (QTNT) </t>
  </si>
  <si>
    <t xml:space="preserve">ATA ADR (ATAI) </t>
  </si>
  <si>
    <t xml:space="preserve">Fabrinet (FN) </t>
  </si>
  <si>
    <t xml:space="preserve">Borqs Technologies (BRQS) </t>
  </si>
  <si>
    <t xml:space="preserve">Lumentum Holdings (LITE) </t>
  </si>
  <si>
    <t xml:space="preserve">Riot Blockchain (RIOT) </t>
  </si>
  <si>
    <t xml:space="preserve">SSLJ.com Cl A (SSLJ) </t>
  </si>
  <si>
    <t xml:space="preserve">Oclaro (OCLR) </t>
  </si>
  <si>
    <t xml:space="preserve">Liberty TripAdvisor Holdings Series A (LTRPA) </t>
  </si>
  <si>
    <t xml:space="preserve">Net Element (NETE) </t>
  </si>
  <si>
    <t xml:space="preserve">ZIOPHARM Oncology (ZIOP) </t>
  </si>
  <si>
    <t xml:space="preserve">Xcel Brands (XELB) </t>
  </si>
  <si>
    <t xml:space="preserve">Array BioPharma (ARRY) </t>
  </si>
  <si>
    <t xml:space="preserve">TripAdvisor (TRIP) </t>
  </si>
  <si>
    <t xml:space="preserve">MediciNova (MNOV) </t>
  </si>
  <si>
    <t xml:space="preserve">Purple Innovation (PRPL) </t>
  </si>
  <si>
    <t xml:space="preserve">Menlo Therapeutics (MNLO) </t>
  </si>
  <si>
    <t xml:space="preserve">Aquantia (AQ) </t>
  </si>
  <si>
    <t xml:space="preserve">NeoPhotonics (NPTN) </t>
  </si>
  <si>
    <t xml:space="preserve">22nd Century Group (XXII) </t>
  </si>
  <si>
    <t xml:space="preserve">Phibro Animal Health (PAHC) </t>
  </si>
  <si>
    <t xml:space="preserve">UroGen Pharma (URGN) </t>
  </si>
  <si>
    <t xml:space="preserve">Zafgen (ZFGN) </t>
  </si>
  <si>
    <t xml:space="preserve">DB Commodity Double Long ETN (DYY) </t>
  </si>
  <si>
    <t xml:space="preserve">Redfin (RDFN) </t>
  </si>
  <si>
    <t xml:space="preserve">Direxion Daily South Korea Bull 3X Shares (KORU) </t>
  </si>
  <si>
    <t xml:space="preserve">Fossil Group (FOSL) </t>
  </si>
  <si>
    <t xml:space="preserve">Direxion Daily Brazil Bull 3X Shares (BRZU) </t>
  </si>
  <si>
    <t xml:space="preserve">Lithium Americas (LAC) </t>
  </si>
  <si>
    <t xml:space="preserve">Karyopharm Therapeutics (KPTI) </t>
  </si>
  <si>
    <t xml:space="preserve">ObsEva (OBSV) </t>
  </si>
  <si>
    <t xml:space="preserve">RISE Education Cayman ADR (REDU) </t>
  </si>
  <si>
    <t xml:space="preserve">Micron Technology (MU) </t>
  </si>
  <si>
    <t xml:space="preserve">Inphi (IPHI) </t>
  </si>
  <si>
    <t xml:space="preserve">Centrus Energy (LEU) </t>
  </si>
  <si>
    <t xml:space="preserve">Forescout Technologies (FSCT) </t>
  </si>
  <si>
    <t xml:space="preserve">Overstock.com (OSTK) </t>
  </si>
  <si>
    <t xml:space="preserve">Triton International (TRTN) </t>
  </si>
  <si>
    <t xml:space="preserve">Adesto Technologies (IOTS) </t>
  </si>
  <si>
    <t xml:space="preserve">CGG ADR (CGG) </t>
  </si>
  <si>
    <t xml:space="preserve">Direxion Daily Homebuilders&amp;Supplies Bull 3X Shares (NAIL) </t>
  </si>
  <si>
    <t xml:space="preserve">Mirati Therapeutics (MRTX) </t>
  </si>
  <si>
    <t xml:space="preserve">LongFin Cl A (LFIN) </t>
  </si>
  <si>
    <t xml:space="preserve">Skyworks Solutions (SWKS) </t>
  </si>
  <si>
    <t xml:space="preserve">Direxion Daily Latin America Bull 3X Shares (LBJ) </t>
  </si>
  <si>
    <t xml:space="preserve">Flexion Therapeutics (FLXN) </t>
  </si>
  <si>
    <t xml:space="preserve">Direxion Daily MSCI India Bull 3X Shares (INDL) </t>
  </si>
  <si>
    <t xml:space="preserve">Direxion Daily Semiconductor Bull 3X Shares (SOXL) </t>
  </si>
  <si>
    <t xml:space="preserve">Westmoreland Resource Partners (WMLP) </t>
  </si>
  <si>
    <t xml:space="preserve">Marathon Patent Group (MARA) </t>
  </si>
  <si>
    <t xml:space="preserve">Fuling Global (FORK) </t>
  </si>
  <si>
    <t xml:space="preserve">Newell Brands (NWL) </t>
  </si>
  <si>
    <t xml:space="preserve">Calithera Biosciences (CALA) </t>
  </si>
  <si>
    <t xml:space="preserve">CASI Pharmaceuticals (CASI) </t>
  </si>
  <si>
    <t xml:space="preserve">ION Geophysical (IO) </t>
  </si>
  <si>
    <t xml:space="preserve">ETFMG Alternative Harvest ETF (MJX) </t>
  </si>
  <si>
    <t xml:space="preserve">Netshoes (Cayman) (NETS) </t>
  </si>
  <si>
    <t xml:space="preserve">TRACON Pharmaceuticals (TCON) </t>
  </si>
  <si>
    <t xml:space="preserve">Salisbury Bancorp (SAL) </t>
  </si>
  <si>
    <t xml:space="preserve">Haemonetics (HAE) </t>
  </si>
  <si>
    <t xml:space="preserve">Infinera (INFN) </t>
  </si>
  <si>
    <t xml:space="preserve">ADMA Biologics (ADMA) </t>
  </si>
  <si>
    <t xml:space="preserve">NantKwest (NK) </t>
  </si>
  <si>
    <t xml:space="preserve">ShiftPixy (PIXY) </t>
  </si>
  <si>
    <t xml:space="preserve">ProShares Ultra MSCI Brazil (UBR) </t>
  </si>
  <si>
    <t xml:space="preserve">Ring Energy (REI) </t>
  </si>
  <si>
    <t xml:space="preserve">Tapestry (TPR) </t>
  </si>
  <si>
    <t xml:space="preserve">Direxion Daily Retail Bull 3x Shares (RETL) </t>
  </si>
  <si>
    <t xml:space="preserve">Direxion Daily Emerging Markets Bull 3x Shares (EDC) </t>
  </si>
  <si>
    <t xml:space="preserve">Lianluo Smart (LLIT) </t>
  </si>
  <si>
    <t xml:space="preserve">Atara Biotherapeutics (ATRA) </t>
  </si>
  <si>
    <t xml:space="preserve">Novelion Therapeutics (NVLN) </t>
  </si>
  <si>
    <t xml:space="preserve">TG Therapeutics (TGTX) </t>
  </si>
  <si>
    <t xml:space="preserve">SMART Global Holdings (SGH) </t>
  </si>
  <si>
    <t xml:space="preserve">Zogenix (ZGNX) </t>
  </si>
  <si>
    <t xml:space="preserve">Nuverra Environmental Solutions (NES) </t>
  </si>
  <si>
    <t xml:space="preserve">DropCar (DCAR) </t>
  </si>
  <si>
    <t xml:space="preserve">TIM Participacoes ADR (TSU) </t>
  </si>
  <si>
    <t xml:space="preserve">Direxion Daily Technology Bull 3x Shares (TECL) </t>
  </si>
  <si>
    <t xml:space="preserve">Intersections (INTX) </t>
  </si>
  <si>
    <t xml:space="preserve">Direxion Daily S&amp;P Biotech Bull 3X Shares (LABU) </t>
  </si>
  <si>
    <t xml:space="preserve">Intrexon (XON) </t>
  </si>
  <si>
    <t xml:space="preserve">Safe Bulkers (SB) </t>
  </si>
  <si>
    <t xml:space="preserve">eGain (EGAN) </t>
  </si>
  <si>
    <t xml:space="preserve">Identiv (INVE) </t>
  </si>
  <si>
    <t xml:space="preserve">S&amp;P Global (SPGI) </t>
  </si>
  <si>
    <t xml:space="preserve">BioCryst Pharmaceuticals (BCRX) </t>
  </si>
  <si>
    <t xml:space="preserve">Daqo New Energy ADR (DQ) </t>
  </si>
  <si>
    <t xml:space="preserve">Direxion Daily Gold Miners Index Bear 3x Shares (DUST) </t>
  </si>
  <si>
    <t xml:space="preserve">Community Bankers Trust (ESXB) </t>
  </si>
  <si>
    <t xml:space="preserve">ProShares Ultra Semiconductors (USD) </t>
  </si>
  <si>
    <t xml:space="preserve">Sogou ADR (SOGO) </t>
  </si>
  <si>
    <t xml:space="preserve">Transportadora de Gas del Sur ADR (TGS) </t>
  </si>
  <si>
    <t xml:space="preserve">Finisar (FNSR) </t>
  </si>
  <si>
    <t xml:space="preserve">Ciena (CIEN) </t>
  </si>
  <si>
    <t xml:space="preserve">Genius Brands International (GNUS) </t>
  </si>
  <si>
    <t xml:space="preserve">ProShares UltraPro QQQ (TQQQ) </t>
  </si>
  <si>
    <t xml:space="preserve">iPath Global Carbon ETN (GRN) </t>
  </si>
  <si>
    <t>Rank</t>
  </si>
  <si>
    <t>Symbol</t>
  </si>
  <si>
    <t xml:space="preserve">Price </t>
  </si>
  <si>
    <t>Change</t>
  </si>
  <si>
    <t>% Change</t>
  </si>
  <si>
    <t xml:space="preserve">Volume </t>
  </si>
  <si>
    <t>Date</t>
  </si>
  <si>
    <t>06-02-2018</t>
  </si>
  <si>
    <t xml:space="preserve">VelocityShares Daily 2x VIX Short Term ETN (TVIX) </t>
  </si>
  <si>
    <t xml:space="preserve">ProShares Ultra VIX Short-Term Futures ETF (UVXY) </t>
  </si>
  <si>
    <t xml:space="preserve">ProShares VIX Short-Term Futures ETF (VIXY) </t>
  </si>
  <si>
    <t xml:space="preserve">VelocityShares VIX Short Term ETN (VIIX) </t>
  </si>
  <si>
    <t xml:space="preserve">Barclays Bank iPath S&amp;P 500 VIX Short Term Futures ETN (VXX) </t>
  </si>
  <si>
    <t xml:space="preserve">VelocityShares Daily 2x VIX Medium Term ETN (TVIZ) </t>
  </si>
  <si>
    <t xml:space="preserve">VelocityShares VIX Tail Risk ETN linked to the S&amp;P 500 VIX Futures Tail Risk Index Short Term due July 18 2046 (BSWN) </t>
  </si>
  <si>
    <t xml:space="preserve">Oragenics (OGEN) </t>
  </si>
  <si>
    <t xml:space="preserve">Barclays Bank iPath S&amp;P 500 VIX Mid Term Futures ETN (VXZ) </t>
  </si>
  <si>
    <t xml:space="preserve">Arcturus Therapeutics (ARCT) </t>
  </si>
  <si>
    <t xml:space="preserve">ProShares UltraPro Short Financial Select Sector (FINZ) </t>
  </si>
  <si>
    <t xml:space="preserve">Direxion Daily Semiconductor Bear 3X Shares (SOXS) </t>
  </si>
  <si>
    <t xml:space="preserve">Hexindai ADR (HX) </t>
  </si>
  <si>
    <t xml:space="preserve">ProShares VIX Mid-Term Futures ETF (VIXM) </t>
  </si>
  <si>
    <t xml:space="preserve">Direxion Daily Financial Bear 3x Shares (FAZ) </t>
  </si>
  <si>
    <t xml:space="preserve">ProShares UltraPro Short Dow30 (SDOW) </t>
  </si>
  <si>
    <t xml:space="preserve">ProShares UltraPro Short NASDAQ Biotechnology (ZBIO) </t>
  </si>
  <si>
    <t xml:space="preserve">Direxion Daily Energy Bear 3x Shares (ERY) </t>
  </si>
  <si>
    <t xml:space="preserve">Second Sight Medical Products (EYES) </t>
  </si>
  <si>
    <t xml:space="preserve">VelocityShares VIX Medium Term ETN (VIIZ) </t>
  </si>
  <si>
    <t xml:space="preserve">Coda Octopus Group (CODA) </t>
  </si>
  <si>
    <t xml:space="preserve">BMO REX MicroSectors FANG+ Index -3X Inverse Leveraged ETN (FNGD) </t>
  </si>
  <si>
    <t xml:space="preserve">Direxion Daily S&amp;P 500 Bear 3X Shares (SPXS) </t>
  </si>
  <si>
    <t xml:space="preserve">ProShares UltraPro Short S&amp;P 500 (SPXU) </t>
  </si>
  <si>
    <t xml:space="preserve">Direxion Daily Developed Markets Bear 3x Shares (DPK) </t>
  </si>
  <si>
    <t xml:space="preserve">VelocityShares 3x Inverse Natural Gas ETN linked to the S&amp;P GSCI Natural Gas Index Excess Return (DGAZ) </t>
  </si>
  <si>
    <t xml:space="preserve">ProShares UltraPro Short QQQ (SQQQ) </t>
  </si>
  <si>
    <t xml:space="preserve">ProShares UltraPro Short Russell2000 (SRTY) </t>
  </si>
  <si>
    <t xml:space="preserve">ProShares UltraShort MSCI Japan (EWV) </t>
  </si>
  <si>
    <t xml:space="preserve">Direxion Daily Small Cap Bear 3x Shares (TZA) </t>
  </si>
  <si>
    <t xml:space="preserve">Direxion Daily S&amp;P Biotech Bear 3X Shares (LABD) </t>
  </si>
  <si>
    <t xml:space="preserve">Direxion Daily Technology Bear 3x Shares (TECS) </t>
  </si>
  <si>
    <t xml:space="preserve">Enphase Energy (ENPH) </t>
  </si>
  <si>
    <t xml:space="preserve">Aytu BioScience (AYTU) </t>
  </si>
  <si>
    <t xml:space="preserve">Direxion Daily Mid Cap Bear 3x Shares (MIDZ) </t>
  </si>
  <si>
    <t xml:space="preserve">ProShares UltraPro Short MidCap400 (SMDD) </t>
  </si>
  <si>
    <t xml:space="preserve">ACM Research Cl A (ACMR) </t>
  </si>
  <si>
    <t xml:space="preserve">GRAVITY ADR (GRVY) </t>
  </si>
  <si>
    <t xml:space="preserve">Direxion Daily Natural Gas Related Bear 3x Shares (GASX) </t>
  </si>
  <si>
    <t xml:space="preserve">Direxion Daily Emerging Markets Bear 3x Shares (EDZ) </t>
  </si>
  <si>
    <t xml:space="preserve">Direxion Daily S&amp;P Oil&amp;Gas Exp.&amp;Prod. Bear 3X Shares (DRIP) </t>
  </si>
  <si>
    <t xml:space="preserve">ARMO Biosciences (ARMO) </t>
  </si>
  <si>
    <t xml:space="preserve">Apollo Medical Holdings (AMEH) </t>
  </si>
  <si>
    <t xml:space="preserve">Direxion Daily Regional Banks Bear 3X Shares (WDRW) </t>
  </si>
  <si>
    <t xml:space="preserve">Direxion Daily Russia Bear 3x Shares (RUSS) </t>
  </si>
  <si>
    <t xml:space="preserve">ProShares UltraShort Dow30 (DXD) </t>
  </si>
  <si>
    <t xml:space="preserve">ProShares UltraShort Financials (SKF) </t>
  </si>
  <si>
    <t xml:space="preserve">Cerecor (CERC) </t>
  </si>
  <si>
    <t xml:space="preserve">Direxion Daily Real Estate Bear 3x Shares (DRV) </t>
  </si>
  <si>
    <t xml:space="preserve">ProShares UltraShort Nasdaq Biotechnology (BIS) </t>
  </si>
  <si>
    <t xml:space="preserve">ReTo Eco-Solutions (RETO) </t>
  </si>
  <si>
    <t xml:space="preserve">ProShares UltraShort Oil&amp;Gas (DUG) </t>
  </si>
  <si>
    <t xml:space="preserve">ProShares UltraShort MSCI EAFE (EFU) </t>
  </si>
  <si>
    <t xml:space="preserve">ProShares UltraShort FTSE Europe (EPV) </t>
  </si>
  <si>
    <t xml:space="preserve">ProShares UltraShort Technology (REW) </t>
  </si>
  <si>
    <t xml:space="preserve">ProShares UltraShort S&amp;P500 (SDS) </t>
  </si>
  <si>
    <t xml:space="preserve">PowerShares DB G10 Currency Harvest Fund (DBV) </t>
  </si>
  <si>
    <t xml:space="preserve">Anavex Life Sciences (AVXL) </t>
  </si>
  <si>
    <t xml:space="preserve">ProShares UltraShort Bloomberg Natural Gas (KOLD) </t>
  </si>
  <si>
    <t xml:space="preserve">Juniper Pharmaceuticals (JNP) </t>
  </si>
  <si>
    <t xml:space="preserve">Co-Diagnostics (CODX) </t>
  </si>
  <si>
    <t xml:space="preserve">ProShares UltraShort Industrials (SIJ) </t>
  </si>
  <si>
    <t xml:space="preserve">ProShares UltraShort QQQ (QID) </t>
  </si>
  <si>
    <t xml:space="preserve">ProShares UltraShort Russell2000 (TWM) </t>
  </si>
  <si>
    <t xml:space="preserve">ProShares UltraShort MSCI Brazil Capped (BZQ) </t>
  </si>
  <si>
    <t xml:space="preserve">ProShares UltraShort Health Care (RXD) </t>
  </si>
  <si>
    <t xml:space="preserve">ProShares UltraShort Consumer Goods (SZK) </t>
  </si>
  <si>
    <t xml:space="preserve">ProShares UltraShort MidCap400 (MZZ) </t>
  </si>
  <si>
    <t xml:space="preserve">Arsanis (ASNS) </t>
  </si>
  <si>
    <t xml:space="preserve">ProShares UltraShort Semiconductors (SSG) </t>
  </si>
  <si>
    <t xml:space="preserve">Hamilton Bancorp (HBK) </t>
  </si>
  <si>
    <t xml:space="preserve">Bridgford Foods (BRID) </t>
  </si>
  <si>
    <t xml:space="preserve">UBS E-TRACS - ProShares Daily 3x Inverse Crude ETN (WTID) </t>
  </si>
  <si>
    <t xml:space="preserve">ProShares UltraShort MSCI Emerging Markets (EEV) </t>
  </si>
  <si>
    <t xml:space="preserve">ProShares UltraPro 3x Short Crude Oil ETF (OILD) </t>
  </si>
  <si>
    <t xml:space="preserve">Direxion Daily FTSE China Bear 3X Shares (YANG) </t>
  </si>
  <si>
    <t xml:space="preserve">ProShares UltraShort Basic Materials (SMN) </t>
  </si>
  <si>
    <t xml:space="preserve">Natural Grocers by Vitamin Cottage (NGVC) </t>
  </si>
  <si>
    <t xml:space="preserve">Newater Technology (NEWA) </t>
  </si>
  <si>
    <t xml:space="preserve">VelocityShares 3x Inverse Crude Oil ETNs linked to the S&amp;P GSCI Crude Oil Index ER (DWT) </t>
  </si>
  <si>
    <t xml:space="preserve">China Lending (CLDC) </t>
  </si>
  <si>
    <t xml:space="preserve">Galectin Therapeutics (GALT) </t>
  </si>
  <si>
    <t xml:space="preserve">Sonic Foundry (SOFO) </t>
  </si>
  <si>
    <t xml:space="preserve">China Southern Airlines ADR (ZNH) </t>
  </si>
  <si>
    <t xml:space="preserve">Inspired Entertainment (INSE) </t>
  </si>
  <si>
    <t xml:space="preserve">Babcock&amp;Wilcox Enterprises (BW) </t>
  </si>
  <si>
    <t xml:space="preserve">ProShares UltraShort Real Estate (SRS) </t>
  </si>
  <si>
    <t xml:space="preserve">Yatra Online (YTRA) </t>
  </si>
  <si>
    <t xml:space="preserve">CounterPath (CPAH) </t>
  </si>
  <si>
    <t xml:space="preserve">Catalyst Biosciences (CBIO) </t>
  </si>
  <si>
    <t xml:space="preserve">Professional Diversity Network (IPDN) </t>
  </si>
  <si>
    <t xml:space="preserve">National Holdings (NHLD) </t>
  </si>
  <si>
    <t xml:space="preserve">McEwen Mining (MUX) </t>
  </si>
  <si>
    <t xml:space="preserve">ProShares Short Dow30 (DOG) </t>
  </si>
  <si>
    <t xml:space="preserve">Haynes International (HAYN) </t>
  </si>
  <si>
    <t xml:space="preserve">ProShares UltraShort FTSE/Xinhua China 25 (FXP) </t>
  </si>
  <si>
    <t xml:space="preserve">USA Truck (USAK) </t>
  </si>
  <si>
    <t xml:space="preserve">Johnson Outdoors Cl A (JOUT) </t>
  </si>
  <si>
    <t xml:space="preserve">Viavi Solutions (VIAV) </t>
  </si>
  <si>
    <t xml:space="preserve">Socket Mobile (SCKT) </t>
  </si>
  <si>
    <t xml:space="preserve">China Auto Logistics (CALI) </t>
  </si>
  <si>
    <t xml:space="preserve">FTS International (FTSI) </t>
  </si>
  <si>
    <t xml:space="preserve">Viking Therapeutics (VKTX) </t>
  </si>
  <si>
    <t xml:space="preserve">athenahealth (ATHN) </t>
  </si>
  <si>
    <t xml:space="preserve">Biostar Pharmaceuticals (BSPM) </t>
  </si>
  <si>
    <t xml:space="preserve">Direxion Daily Junior Gold Miners Index Bear 3X Shares (JDST) </t>
  </si>
  <si>
    <t xml:space="preserve">Qualstar (QBAK) </t>
  </si>
  <si>
    <t xml:space="preserve">Mobile Mini (MINI) </t>
  </si>
  <si>
    <t xml:space="preserve">Tableau Software (DATA) </t>
  </si>
  <si>
    <t xml:space="preserve">Neurotrope (NTRP) </t>
  </si>
  <si>
    <t xml:space="preserve">Alkermes (ALKS) </t>
  </si>
  <si>
    <t xml:space="preserve">Enova International (ENVA) </t>
  </si>
  <si>
    <t xml:space="preserve">ProSharesUltraShortSilver (ZSL) </t>
  </si>
  <si>
    <t xml:space="preserve">Par Technology (PAR) </t>
  </si>
  <si>
    <t xml:space="preserve">Mattel (MAT) </t>
  </si>
  <si>
    <t xml:space="preserve">Miragen Therapeutics (MGEN) </t>
  </si>
  <si>
    <t xml:space="preserve">La Jolla Pharmaceutical (LJPC) </t>
  </si>
  <si>
    <t xml:space="preserve">McClatchy Cl A (MNI) </t>
  </si>
  <si>
    <t xml:space="preserve">ProShares UltraShort Gold Miners (GDXS) </t>
  </si>
  <si>
    <t xml:space="preserve">Deckers Outdoor (DECK) </t>
  </si>
  <si>
    <t xml:space="preserve">Central Puerto ADR (CEPU) </t>
  </si>
  <si>
    <t xml:space="preserve">China Internet Nationwide Financial Services (CIFS) </t>
  </si>
  <si>
    <t xml:space="preserve">Cimpress (CMPR) </t>
  </si>
  <si>
    <t xml:space="preserve">Solid Biosciences (SLDB) </t>
  </si>
  <si>
    <t xml:space="preserve">Dynavax Technologies (DVAX) </t>
  </si>
  <si>
    <t xml:space="preserve">Marlin Business Services (MRLN) </t>
  </si>
  <si>
    <t xml:space="preserve">Helios&amp;Matheson Analytics (HMNY) </t>
  </si>
  <si>
    <t xml:space="preserve">OptimumBank Holdings (OPHC) </t>
  </si>
  <si>
    <t xml:space="preserve">Sony ADR (SNE) </t>
  </si>
  <si>
    <t xml:space="preserve">SemiLEDS (LEDS) </t>
  </si>
  <si>
    <t xml:space="preserve">Allena Pharmaceuticals (ALNA) </t>
  </si>
  <si>
    <t xml:space="preserve">Adamis Pharmaceuticals (ADMP) </t>
  </si>
  <si>
    <t xml:space="preserve">Sorrento Therapeutics (SRNE) </t>
  </si>
  <si>
    <t xml:space="preserve">Tintri (TNTR) </t>
  </si>
  <si>
    <t xml:space="preserve">Citigroup Global Markets Holdings VelocityShares ETN Daily 4X Long USD vs. AUD Index (DAUD) </t>
  </si>
  <si>
    <t xml:space="preserve">Pieris Pharmaceuticals (PIRS) </t>
  </si>
  <si>
    <t xml:space="preserve">QCR Holdings (QCRH) </t>
  </si>
  <si>
    <t xml:space="preserve">Energy Recovery (ERII) </t>
  </si>
  <si>
    <t xml:space="preserve">Sprint (S) </t>
  </si>
  <si>
    <t xml:space="preserve">Twin Disc (TWIN) </t>
  </si>
  <si>
    <t xml:space="preserve">Motorola Solutions (MSI) </t>
  </si>
  <si>
    <t xml:space="preserve">Tyme Technologies (TYME) </t>
  </si>
  <si>
    <t xml:space="preserve">MiX Telematics ADR (MIXT) </t>
  </si>
  <si>
    <t xml:space="preserve">Remark Holdings (MARK) </t>
  </si>
  <si>
    <t xml:space="preserve">Ashland Global Holdings (ASH) </t>
  </si>
  <si>
    <t xml:space="preserve">iPath US Treasury Long Bond Bear ETN (DLBS) </t>
  </si>
  <si>
    <t xml:space="preserve">Leaf Group (LFGR) </t>
  </si>
  <si>
    <t xml:space="preserve">Geron (GERN) </t>
  </si>
  <si>
    <t xml:space="preserve">Horizon Global (HZN) </t>
  </si>
  <si>
    <t xml:space="preserve">QuinStreet (QNST) </t>
  </si>
  <si>
    <t xml:space="preserve">Liquidity Services (LQDT) </t>
  </si>
  <si>
    <t xml:space="preserve">Zion Oil&amp;Gas (ZN) </t>
  </si>
  <si>
    <t xml:space="preserve">Intellicheck (IDN) </t>
  </si>
  <si>
    <t xml:space="preserve">Revolution Lighting Technologies (RVLT) </t>
  </si>
  <si>
    <t xml:space="preserve">Qorvo (QRVO) </t>
  </si>
  <si>
    <t xml:space="preserve">Ezcorp Cl A (EZPW) </t>
  </si>
  <si>
    <t xml:space="preserve">eBay (EBAY) </t>
  </si>
  <si>
    <t xml:space="preserve">Sol-Gel Technologies (SLGL) </t>
  </si>
  <si>
    <t xml:space="preserve">Erin Energy (ERN) </t>
  </si>
  <si>
    <t xml:space="preserve">Open Text (OTEX) </t>
  </si>
  <si>
    <t xml:space="preserve">Nokia ADR (NOK) </t>
  </si>
  <si>
    <t xml:space="preserve">Atomera (ATOM) </t>
  </si>
  <si>
    <t xml:space="preserve">Nemaura Medical (NMRD) </t>
  </si>
  <si>
    <t xml:space="preserve">Seneca Foods Cl A (SENEA) </t>
  </si>
  <si>
    <t xml:space="preserve">CONMED (CNMD) </t>
  </si>
  <si>
    <t xml:space="preserve">Nuvectra (NVTR) </t>
  </si>
  <si>
    <t xml:space="preserve">Esquire Financial Holdings (ESQ) </t>
  </si>
  <si>
    <t xml:space="preserve">California Resources (CRC) </t>
  </si>
  <si>
    <t xml:space="preserve">Constellium Cl A (CSTM) </t>
  </si>
  <si>
    <t xml:space="preserve">Oxbridge Re Holdings (OXBR) </t>
  </si>
  <si>
    <t xml:space="preserve">Shutterfly (SFLY) </t>
  </si>
  <si>
    <t xml:space="preserve">Meritor (MTOR) </t>
  </si>
  <si>
    <t xml:space="preserve">I.D. Systems (IDSY) </t>
  </si>
  <si>
    <t xml:space="preserve">Aeglea BioTherapeutics (AGLE) </t>
  </si>
  <si>
    <t xml:space="preserve">Piper Jaffray (PJC) </t>
  </si>
  <si>
    <t xml:space="preserve">One Horizon Group (OHGI) </t>
  </si>
  <si>
    <t xml:space="preserve">Forestar Group (FOR) </t>
  </si>
  <si>
    <t xml:space="preserve">Cardtronics Cl A (CATM) </t>
  </si>
  <si>
    <t xml:space="preserve">Abiomed (ABMD) </t>
  </si>
  <si>
    <t xml:space="preserve">Pioneer Energy Services (PES) </t>
  </si>
  <si>
    <t xml:space="preserve">Reliv International (RELV) </t>
  </si>
  <si>
    <t xml:space="preserve">GDS Holdings ADR (GDS) </t>
  </si>
  <si>
    <t xml:space="preserve">Pandora Media (P) </t>
  </si>
  <si>
    <t xml:space="preserve">Aegean Marine Petroleum Network (ANW) </t>
  </si>
  <si>
    <t xml:space="preserve">Seattle Genetics (SGEN) </t>
  </si>
  <si>
    <t xml:space="preserve">Graham (GHM) </t>
  </si>
  <si>
    <t xml:space="preserve">Ferrari (RACE) </t>
  </si>
  <si>
    <t xml:space="preserve">Acacia Communications (ACIA) </t>
  </si>
  <si>
    <t xml:space="preserve">CACI International Cl A (CACI) </t>
  </si>
  <si>
    <t xml:space="preserve">Pacira Pharmaceuticals (PCRX) </t>
  </si>
  <si>
    <t xml:space="preserve">Vince Holding (VNCE) </t>
  </si>
  <si>
    <t xml:space="preserve">EDAP TMS ADR (EDAP) </t>
  </si>
  <si>
    <t xml:space="preserve">MKS Instruments (MKSI) </t>
  </si>
  <si>
    <t xml:space="preserve">Tetra Tech (TTEK) </t>
  </si>
  <si>
    <t xml:space="preserve">Galmed Pharmaceuticals (GLMD) </t>
  </si>
  <si>
    <t xml:space="preserve">Grana y Montero ADR (GRAM) </t>
  </si>
  <si>
    <t xml:space="preserve">Associated Capital Group Cl A (AC) </t>
  </si>
  <si>
    <t xml:space="preserve">Archrock (AROC) </t>
  </si>
  <si>
    <t xml:space="preserve">New Age Beverages (NBEV) </t>
  </si>
  <si>
    <t xml:space="preserve">Empire Resorts (NYNY) </t>
  </si>
  <si>
    <t xml:space="preserve">American Financial Group (AFG) </t>
  </si>
  <si>
    <t xml:space="preserve">Dawson Geophysical (DWSN) </t>
  </si>
  <si>
    <t xml:space="preserve">MSG Networks Cl A (MSGN) </t>
  </si>
  <si>
    <t xml:space="preserve">BrasilAgro-Companhia Brasileira de Propriedades Agricolas ADR (LND) </t>
  </si>
  <si>
    <t xml:space="preserve">UBS E-TRACS - ProShares Daily 3x Long Crude ETN (WTIU) </t>
  </si>
  <si>
    <t xml:space="preserve">Boot Barn Holdings (BOOT) </t>
  </si>
  <si>
    <t xml:space="preserve">Nektar Therapeutics (NKTR) </t>
  </si>
  <si>
    <t xml:space="preserve">Iovance Biotherapeutics (IOVA) </t>
  </si>
  <si>
    <t xml:space="preserve">Vericel (VCEL) </t>
  </si>
  <si>
    <t xml:space="preserve">VelocityShares 3x Long Crude Oil ETNs linked to the S&amp;P GSCI Crude Oil Index ER (UWT) </t>
  </si>
  <si>
    <t xml:space="preserve">United Therapeutics (UTHR) </t>
  </si>
  <si>
    <t xml:space="preserve">Gorman-Rupp (GRC) </t>
  </si>
  <si>
    <t xml:space="preserve">Meritage Homes (MTH) </t>
  </si>
  <si>
    <t xml:space="preserve">ArcBest (ARCB) </t>
  </si>
  <si>
    <t xml:space="preserve">ProShares UltraPro 3x Crude Oil ETF (OILU) </t>
  </si>
  <si>
    <t xml:space="preserve">Asia Pacific Wire&amp;Cable (APWC) </t>
  </si>
  <si>
    <t xml:space="preserve">Spring Bank Pharmaceuticals (SBPH) </t>
  </si>
  <si>
    <t xml:space="preserve">KemPharm (KMPH) </t>
  </si>
  <si>
    <t xml:space="preserve">Corcept Therapeutics (CORT) </t>
  </si>
  <si>
    <t xml:space="preserve">Adverum Biotechnologies (ADVM) </t>
  </si>
  <si>
    <t xml:space="preserve">AMC Entertainment Holding (AMC) </t>
  </si>
  <si>
    <t xml:space="preserve">Merchants Bancorp (MBIN) </t>
  </si>
  <si>
    <t xml:space="preserve">CNH Industrial (CNHI) </t>
  </si>
  <si>
    <t xml:space="preserve">ClearOne (CLRO) </t>
  </si>
  <si>
    <t xml:space="preserve">Direxion Daily MSCI Mexico Bull 3X Shares (MEXX) </t>
  </si>
  <si>
    <t xml:space="preserve">Immersion (IMMR) </t>
  </si>
  <si>
    <t xml:space="preserve">Zealand Pharma ADR (ZEAL) </t>
  </si>
  <si>
    <t xml:space="preserve">Ooma (OOMA) </t>
  </si>
  <si>
    <t xml:space="preserve">Spartan Motors (SPAR) </t>
  </si>
  <si>
    <t xml:space="preserve">Mesa Laboratories (MLAB) </t>
  </si>
  <si>
    <t xml:space="preserve">Dycom Industries (DY) </t>
  </si>
  <si>
    <t xml:space="preserve">Tuesday Morning (TUES) </t>
  </si>
  <si>
    <t xml:space="preserve">Yulong Eco-Materials (YECO) </t>
  </si>
  <si>
    <t xml:space="preserve">Twitter (TWTR) </t>
  </si>
  <si>
    <t xml:space="preserve">Cascadian Therapeutics (CASC) </t>
  </si>
  <si>
    <t xml:space="preserve">Global Eagle Entertainment (ENT) </t>
  </si>
  <si>
    <t xml:space="preserve">Heat Biologics (HTBX) </t>
  </si>
  <si>
    <t xml:space="preserve">Sunesis Pharmaceuticals (SNSS) </t>
  </si>
  <si>
    <t xml:space="preserve">Ply Gem Holdings (PGEM) </t>
  </si>
  <si>
    <t xml:space="preserve">Eastside Distilling (EAST) </t>
  </si>
  <si>
    <t xml:space="preserve">OMNOVA Solutions (OMN) </t>
  </si>
  <si>
    <t xml:space="preserve">Kingtone Wirelessinfo Solution Holding ADR (KONE) </t>
  </si>
  <si>
    <t xml:space="preserve">Meta Financial Group (CASH) </t>
  </si>
  <si>
    <t xml:space="preserve">MGP Ingredients (MGPI) </t>
  </si>
  <si>
    <t xml:space="preserve">Pitney Bowes (PBI) </t>
  </si>
  <si>
    <t xml:space="preserve">OFG Bancorp (OFG) </t>
  </si>
  <si>
    <t xml:space="preserve">Navigator Holdings (NVGS) </t>
  </si>
  <si>
    <t xml:space="preserve">Immuron ADR (IMRN) </t>
  </si>
  <si>
    <t xml:space="preserve">Cleveland BioLabs (CBLI) </t>
  </si>
  <si>
    <t xml:space="preserve">On Assignment (ASGN) </t>
  </si>
  <si>
    <t xml:space="preserve">Resolute Energy (REN) </t>
  </si>
  <si>
    <t xml:space="preserve">Plantronics (PLT) </t>
  </si>
  <si>
    <t xml:space="preserve">Immunogen (IMGN) </t>
  </si>
  <si>
    <t xml:space="preserve">Rocket Pharmaceuticals (RCKT) </t>
  </si>
  <si>
    <t xml:space="preserve">Long Blockchain (LBCC) </t>
  </si>
  <si>
    <t xml:space="preserve">Knight-Swift Transportation Holdings Cl A (KNX) </t>
  </si>
  <si>
    <t xml:space="preserve">Energizer Holdings (ENR) </t>
  </si>
  <si>
    <t xml:space="preserve">BeiGene ADR (BGNE) </t>
  </si>
  <si>
    <t xml:space="preserve">Wabash National (WNC) </t>
  </si>
  <si>
    <t xml:space="preserve">Checkpoint Therapeutics (CKPT) </t>
  </si>
  <si>
    <t xml:space="preserve">Luby's (LUB) </t>
  </si>
  <si>
    <t xml:space="preserve">Zai Lab ADR (ZLAB) </t>
  </si>
  <si>
    <t xml:space="preserve">Reading International Cl B (RDIB) </t>
  </si>
  <si>
    <t xml:space="preserve">Youngevity International (YGYI) </t>
  </si>
  <si>
    <t xml:space="preserve">BofI Holding (BOFI) </t>
  </si>
  <si>
    <t xml:space="preserve">Videocon d2h ADR (VDTH) </t>
  </si>
  <si>
    <t xml:space="preserve">National Instruments (NATI) </t>
  </si>
  <si>
    <t xml:space="preserve">Castlight Health Cl B (CSLT) </t>
  </si>
  <si>
    <t xml:space="preserve">Myomo (MYO) </t>
  </si>
  <si>
    <t xml:space="preserve">NantHealth (NH) </t>
  </si>
  <si>
    <t xml:space="preserve">Eldorado Resorts (ERI) </t>
  </si>
  <si>
    <t xml:space="preserve">Take-Two Interactive Software (TTWO) </t>
  </si>
  <si>
    <t xml:space="preserve">Digital Ally (DGLY) </t>
  </si>
  <si>
    <t xml:space="preserve">Electronic Arts (EA) </t>
  </si>
  <si>
    <t xml:space="preserve">AVEO Pharmaceuticals (AVEO) </t>
  </si>
  <si>
    <t xml:space="preserve">Casa Systems (CASA) </t>
  </si>
  <si>
    <t xml:space="preserve">Advanced Micro Devices (AMD) </t>
  </si>
  <si>
    <t xml:space="preserve">Och-Ziff Capital Management (OZM) </t>
  </si>
  <si>
    <t xml:space="preserve">Technical Communications (TCCO) </t>
  </si>
  <si>
    <t xml:space="preserve">Nine Energy Service (NINE) </t>
  </si>
  <si>
    <t xml:space="preserve">DPW Holdings (DPW) </t>
  </si>
  <si>
    <t xml:space="preserve">Metropolitan Bank Holding (MCB) </t>
  </si>
  <si>
    <t xml:space="preserve">PolarityTE (COOL) </t>
  </si>
  <si>
    <t xml:space="preserve">KBS Fashion Group (KBSF) </t>
  </si>
  <si>
    <t xml:space="preserve">Cheetah Mobile ADR (CMCM) </t>
  </si>
  <si>
    <t xml:space="preserve">CRH Medical (CRHM) </t>
  </si>
  <si>
    <t xml:space="preserve">First Savings Financial Group (FSFG) </t>
  </si>
  <si>
    <t xml:space="preserve">Madrigal Pharmaceuticals (MDGL) </t>
  </si>
  <si>
    <t xml:space="preserve">Diana Containerships (DCIX) </t>
  </si>
  <si>
    <t xml:space="preserve">Valhi (VHI) </t>
  </si>
  <si>
    <t xml:space="preserve">Iteris (ITI) </t>
  </si>
  <si>
    <t xml:space="preserve">Patriot Transportation Holding (PATI) </t>
  </si>
  <si>
    <t xml:space="preserve">Myovant Sciences (MYOV) </t>
  </si>
  <si>
    <t xml:space="preserve">Alaska Communications Systems Group (ALSK) </t>
  </si>
  <si>
    <t xml:space="preserve">Ever-Glory International Group (EVK) </t>
  </si>
  <si>
    <t xml:space="preserve">InflaRx (IFRX) </t>
  </si>
  <si>
    <t xml:space="preserve">Sientra (SIEN) </t>
  </si>
  <si>
    <t xml:space="preserve">CVR Refining (CVRR) </t>
  </si>
  <si>
    <t xml:space="preserve">Neptune Technologies&amp;Bioressources (NEPT) </t>
  </si>
  <si>
    <t xml:space="preserve">Direxion Daily Real Estate Bull 3x Shares (DRN) </t>
  </si>
  <si>
    <t xml:space="preserve">Cohbar (CWBR) </t>
  </si>
  <si>
    <t xml:space="preserve">TapImmune (TPIV) </t>
  </si>
  <si>
    <t xml:space="preserve">Grupo Financiero Galicia ADR (GGAL) </t>
  </si>
  <si>
    <t xml:space="preserve">Digital Realty Trust (DLR) </t>
  </si>
  <si>
    <t xml:space="preserve">LRAD (LRAD) </t>
  </si>
  <si>
    <t xml:space="preserve">Kazia Therapeutics ADR (KZIA) </t>
  </si>
  <si>
    <t xml:space="preserve">Bravo Brio Restaurant Group (BBRG) </t>
  </si>
  <si>
    <t xml:space="preserve">AzurRx BioPharma (AZRX) </t>
  </si>
  <si>
    <t xml:space="preserve">Transcat (TRNS) </t>
  </si>
  <si>
    <t xml:space="preserve">China Cord Blood (CO) </t>
  </si>
  <si>
    <t xml:space="preserve">Apellis Pharmaceuticals (APLS) </t>
  </si>
  <si>
    <t xml:space="preserve">Achaogen (AKAO) </t>
  </si>
  <si>
    <t xml:space="preserve">Callidus Software (CALD) </t>
  </si>
  <si>
    <t xml:space="preserve">Energous (WATT) </t>
  </si>
  <si>
    <t xml:space="preserve">Extreme Networks (EXTR) </t>
  </si>
  <si>
    <t xml:space="preserve">Green Bancorp (GNBC) </t>
  </si>
  <si>
    <t xml:space="preserve">NetScout Systems (NTCT) </t>
  </si>
  <si>
    <t xml:space="preserve">Autoliv (ALV) </t>
  </si>
  <si>
    <t xml:space="preserve">Ampio Pharmaceuticals (AMPE) </t>
  </si>
  <si>
    <t xml:space="preserve">Forterra (FRTA) </t>
  </si>
  <si>
    <t xml:space="preserve">Thomson Reuters (TRI) </t>
  </si>
  <si>
    <t xml:space="preserve">Histogenics (HSGX) </t>
  </si>
  <si>
    <t xml:space="preserve">MobileIron (MOBL) </t>
  </si>
  <si>
    <t xml:space="preserve">Chanticleer Holdings (BURG) </t>
  </si>
  <si>
    <t xml:space="preserve">Oritani Financial (ORIT) </t>
  </si>
  <si>
    <t xml:space="preserve">Community West Bancshares (CWBC) </t>
  </si>
  <si>
    <t xml:space="preserve">NovaBay Pharmaceuticals (NBY) </t>
  </si>
  <si>
    <t xml:space="preserve">CymaBay Therapeutics (CBAY) </t>
  </si>
  <si>
    <t xml:space="preserve">ENDRA Life Sciences (NDRA) </t>
  </si>
  <si>
    <t xml:space="preserve">Harris Corp. (HRS) </t>
  </si>
  <si>
    <t xml:space="preserve">My Size (MYSZ) </t>
  </si>
  <si>
    <t xml:space="preserve">NTN Buzztime (NTN) </t>
  </si>
  <si>
    <t xml:space="preserve">Emmis Communications Cl A (EMMS) </t>
  </si>
  <si>
    <t xml:space="preserve">Majesco (MJCO) </t>
  </si>
  <si>
    <t xml:space="preserve">Select Medical Holdings (SEM) </t>
  </si>
  <si>
    <t xml:space="preserve">Anixter International (AXE) </t>
  </si>
  <si>
    <t xml:space="preserve">Ocular Therapeutix (OCUL) </t>
  </si>
  <si>
    <t xml:space="preserve">Atlantic Capital Bancshares (ACBI) </t>
  </si>
  <si>
    <t xml:space="preserve">Brunswick (BC) </t>
  </si>
  <si>
    <t xml:space="preserve">Proteostasis Therapeutics (PTI) </t>
  </si>
  <si>
    <t xml:space="preserve">Ambarella (AMBA) </t>
  </si>
  <si>
    <t xml:space="preserve">Accuray (ARAY) </t>
  </si>
  <si>
    <t xml:space="preserve">Novus Therapeutics (NVUS) </t>
  </si>
  <si>
    <t xml:space="preserve">Momenta Pharmaceuticals (MNTA) </t>
  </si>
  <si>
    <t xml:space="preserve">Calix (CALX) </t>
  </si>
  <si>
    <t xml:space="preserve">Wynn Resorts (WYNN) </t>
  </si>
  <si>
    <t xml:space="preserve">PennyMac Mortgage Investment Trust (PMT) </t>
  </si>
  <si>
    <t xml:space="preserve">Collegium Pharmaceutical (COLL) </t>
  </si>
  <si>
    <t xml:space="preserve">Zymeworks (ZYME) </t>
  </si>
  <si>
    <t xml:space="preserve">Aware (AWRE) </t>
  </si>
  <si>
    <t xml:space="preserve">Hawaiian Holdings (HA) </t>
  </si>
  <si>
    <t xml:space="preserve">XBiotech (XBIT) </t>
  </si>
  <si>
    <t xml:space="preserve">Vocera Communications (VCRA) </t>
  </si>
  <si>
    <t xml:space="preserve">Ocean Bio-Chem (OBCI) </t>
  </si>
  <si>
    <t xml:space="preserve">ProShares Ultra Telecommunications (LTL) </t>
  </si>
  <si>
    <t xml:space="preserve">Broadwind Energy (BWEN) </t>
  </si>
  <si>
    <t xml:space="preserve">WAVE Life Sciences (WVE) </t>
  </si>
  <si>
    <t xml:space="preserve">Avon Products (AVP) </t>
  </si>
  <si>
    <t xml:space="preserve">China Distance Education Holdings ADR (DL) </t>
  </si>
  <si>
    <t xml:space="preserve">DB Agriculture Double Long ETN (DAG) </t>
  </si>
  <si>
    <t xml:space="preserve">Altair Engineering Cl A (ALTR) </t>
  </si>
  <si>
    <t>Row Labels</t>
  </si>
  <si>
    <t>Grand Total</t>
  </si>
  <si>
    <t>Count of Symbol</t>
  </si>
  <si>
    <t>Sum of 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</si>
  <si>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</si>
  <si>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</si>
  <si>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</si>
  <si>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</si>
  <si>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</si>
  <si>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http://www.wsj.com/mdc/public/page/2_3021-gaincomp-gainer-20180122.html?mod=mdc_pastcalendar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</si>
</sst>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164" formatCode="[$-F800]dddd\,\ mmmm\ dd\,\ yyyy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8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5" fontId="0" fillId="0" borderId="0" xfId="0" applyNumberFormat="1" applyAlignment="1">
      <alignment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movers_20180702_2.xlsm]Pivot!PivotTable2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5.2835053748037715E-2"/>
                  <c:y val="-0.1225018577094488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  <c:txPr>
                <a:bodyPr/>
                <a:lstStyle/>
                <a:p>
                  <a:pPr>
                    <a:defRPr sz="1100"/>
                  </a:pPr>
                  <a:endParaRPr lang="en-US"/>
                </a:p>
              </c:txPr>
            </c:trendlineLbl>
          </c:trendline>
          <c:cat>
            <c:strRef>
              <c:f>Pivot!$E$5:$E$9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Pivot!$F$5:$F$9</c:f>
              <c:numCache>
                <c:formatCode>General</c:formatCode>
                <c:ptCount val="4"/>
                <c:pt idx="0">
                  <c:v>354</c:v>
                </c:pt>
                <c:pt idx="1">
                  <c:v>154</c:v>
                </c:pt>
                <c:pt idx="2">
                  <c:v>84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418752"/>
        <c:axId val="257420288"/>
      </c:barChart>
      <c:catAx>
        <c:axId val="25741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257420288"/>
        <c:crosses val="autoZero"/>
        <c:auto val="1"/>
        <c:lblAlgn val="ctr"/>
        <c:lblOffset val="100"/>
        <c:noMultiLvlLbl val="0"/>
      </c:catAx>
      <c:valAx>
        <c:axId val="25742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418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157843</xdr:colOff>
          <xdr:row>99</xdr:row>
          <xdr:rowOff>130629</xdr:rowOff>
        </xdr:from>
        <xdr:to>
          <xdr:col>9</xdr:col>
          <xdr:colOff>92529</xdr:colOff>
          <xdr:row>100</xdr:row>
          <xdr:rowOff>168729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5441</xdr:colOff>
      <xdr:row>12</xdr:row>
      <xdr:rowOff>130628</xdr:rowOff>
    </xdr:from>
    <xdr:to>
      <xdr:col>12</xdr:col>
      <xdr:colOff>462642</xdr:colOff>
      <xdr:row>36</xdr:row>
      <xdr:rowOff>92529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138.548807060186" createdVersion="4" refreshedVersion="4" minRefreshableVersion="3" recordCount="600">
  <cacheSource type="worksheet">
    <worksheetSource ref="A1:G601" sheet="dailyMovers_Data"/>
  </cacheSource>
  <cacheFields count="7">
    <cacheField name="Rank" numFmtId="0">
      <sharedItems containsSemiMixedTypes="0" containsString="0" containsNumber="1" containsInteger="1" minValue="1" maxValue="100"/>
    </cacheField>
    <cacheField name="Symbol" numFmtId="0">
      <sharedItems count="461">
        <s v="Asta Funding (ASFI) "/>
        <s v="Cyanotech (CYAN) "/>
        <s v="Quotient (QTNT) "/>
        <s v="ATA ADR (ATAI) "/>
        <s v="Fabrinet (FN) "/>
        <s v="Borqs Technologies (BRQS) "/>
        <s v="Lumentum Holdings (LITE) "/>
        <s v="Riot Blockchain (RIOT) "/>
        <s v="SSLJ.com Cl A (SSLJ) "/>
        <s v="Oclaro (OCLR) "/>
        <s v="Liberty TripAdvisor Holdings Series A (LTRPA) "/>
        <s v="Net Element (NETE) "/>
        <s v="ZIOPHARM Oncology (ZIOP) "/>
        <s v="Xcel Brands (XELB) "/>
        <s v="Array BioPharma (ARRY) "/>
        <s v="TripAdvisor (TRIP) "/>
        <s v="MediciNova (MNOV) "/>
        <s v="Purple Innovation (PRPL) "/>
        <s v="Menlo Therapeutics (MNLO) "/>
        <s v="Aquantia (AQ) "/>
        <s v="NeoPhotonics (NPTN) "/>
        <s v="22nd Century Group (XXII) "/>
        <s v="Phibro Animal Health (PAHC) "/>
        <s v="UroGen Pharma (URGN) "/>
        <s v="Zafgen (ZFGN) "/>
        <s v="DB Commodity Double Long ETN (DYY) "/>
        <s v="Redfin (RDFN) "/>
        <s v="Direxion Daily South Korea Bull 3X Shares (KORU) "/>
        <s v="Fossil Group (FOSL) "/>
        <s v="Direxion Daily Brazil Bull 3X Shares (BRZU) "/>
        <s v="Lithium Americas (LAC) "/>
        <s v="Karyopharm Therapeutics (KPTI) "/>
        <s v="ObsEva (OBSV) "/>
        <s v="RISE Education Cayman ADR (REDU) "/>
        <s v="Micron Technology (MU) "/>
        <s v="Inphi (IPHI) "/>
        <s v="Centrus Energy (LEU) "/>
        <s v="Forescout Technologies (FSCT) "/>
        <s v="Overstock.com (OSTK) "/>
        <s v="Triton International (TRTN) "/>
        <s v="Adesto Technologies (IOTS) "/>
        <s v="CGG ADR (CGG) "/>
        <s v="Direxion Daily Homebuilders&amp;Supplies Bull 3X Shares (NAIL) "/>
        <s v="Mirati Therapeutics (MRTX) "/>
        <s v="LongFin Cl A (LFIN) "/>
        <s v="Skyworks Solutions (SWKS) "/>
        <s v="Direxion Daily Latin America Bull 3X Shares (LBJ) "/>
        <s v="Flexion Therapeutics (FLXN) "/>
        <s v="Direxion Daily MSCI India Bull 3X Shares (INDL) "/>
        <s v="Direxion Daily Semiconductor Bull 3X Shares (SOXL) "/>
        <s v="Westmoreland Resource Partners (WMLP) "/>
        <s v="Marathon Patent Group (MARA) "/>
        <s v="Fuling Global (FORK) "/>
        <s v="Newell Brands (NWL) "/>
        <s v="Calithera Biosciences (CALA) "/>
        <s v="CASI Pharmaceuticals (CASI) "/>
        <s v="ION Geophysical (IO) "/>
        <s v="ETFMG Alternative Harvest ETF (MJX) "/>
        <s v="Netshoes (Cayman) (NETS) "/>
        <s v="TRACON Pharmaceuticals (TCON) "/>
        <s v="Salisbury Bancorp (SAL) "/>
        <s v="Haemonetics (HAE) "/>
        <s v="Infinera (INFN) "/>
        <s v="ADMA Biologics (ADMA) "/>
        <s v="NantKwest (NK) "/>
        <s v="ShiftPixy (PIXY) "/>
        <s v="ProShares Ultra MSCI Brazil (UBR) "/>
        <s v="Ring Energy (REI) "/>
        <s v="Tapestry (TPR) "/>
        <s v="Direxion Daily Retail Bull 3x Shares (RETL) "/>
        <s v="Direxion Daily Emerging Markets Bull 3x Shares (EDC) "/>
        <s v="Lianluo Smart (LLIT) "/>
        <s v="Atara Biotherapeutics (ATRA) "/>
        <s v="Novelion Therapeutics (NVLN) "/>
        <s v="TG Therapeutics (TGTX) "/>
        <s v="SMART Global Holdings (SGH) "/>
        <s v="Zogenix (ZGNX) "/>
        <s v="Nuverra Environmental Solutions (NES) "/>
        <s v="DropCar (DCAR) "/>
        <s v="TIM Participacoes ADR (TSU) "/>
        <s v="Direxion Daily Technology Bull 3x Shares (TECL) "/>
        <s v="Intersections (INTX) "/>
        <s v="Direxion Daily S&amp;P Biotech Bull 3X Shares (LABU) "/>
        <s v="Intrexon (XON) "/>
        <s v="Safe Bulkers (SB) "/>
        <s v="eGain (EGAN) "/>
        <s v="Identiv (INVE) "/>
        <s v="S&amp;P Global (SPGI) "/>
        <s v="BioCryst Pharmaceuticals (BCRX) "/>
        <s v="Daqo New Energy ADR (DQ) "/>
        <s v="Direxion Daily Gold Miners Index Bear 3x Shares (DUST) "/>
        <s v="Community Bankers Trust (ESXB) "/>
        <s v="ProShares Ultra Semiconductors (USD) "/>
        <s v="Sogou ADR (SOGO) "/>
        <s v="Transportadora de Gas del Sur ADR (TGS) "/>
        <s v="Finisar (FNSR) "/>
        <s v="Ciena (CIEN) "/>
        <s v="Genius Brands International (GNUS) "/>
        <s v="ProShares UltraPro QQQ (TQQQ) "/>
        <s v="iPath Global Carbon ETN (GRN) "/>
        <s v="VelocityShares Daily 2x VIX Short Term ETN (TVIX) "/>
        <s v="ProShares Ultra VIX Short-Term Futures ETF (UVXY) "/>
        <s v="ProShares VIX Short-Term Futures ETF (VIXY) "/>
        <s v="VelocityShares VIX Short Term ETN (VIIX) "/>
        <s v="Barclays Bank iPath S&amp;P 500 VIX Short Term Futures ETN (VXX) "/>
        <s v="VelocityShares Daily 2x VIX Medium Term ETN (TVIZ) "/>
        <s v="VelocityShares VIX Tail Risk ETN linked to the S&amp;P 500 VIX Futures Tail Risk Index Short Term due July 18 2046 (BSWN) "/>
        <s v="Oragenics (OGEN) "/>
        <s v="Barclays Bank iPath S&amp;P 500 VIX Mid Term Futures ETN (VXZ) "/>
        <s v="Arcturus Therapeutics (ARCT) "/>
        <s v="ProShares UltraPro Short Financial Select Sector (FINZ) "/>
        <s v="Direxion Daily Semiconductor Bear 3X Shares (SOXS) "/>
        <s v="Hexindai ADR (HX) "/>
        <s v="ProShares VIX Mid-Term Futures ETF (VIXM) "/>
        <s v="Direxion Daily Financial Bear 3x Shares (FAZ) "/>
        <s v="ProShares UltraPro Short Dow30 (SDOW) "/>
        <s v="ProShares UltraPro Short NASDAQ Biotechnology (ZBIO) "/>
        <s v="Direxion Daily Energy Bear 3x Shares (ERY) "/>
        <s v="Second Sight Medical Products (EYES) "/>
        <s v="VelocityShares VIX Medium Term ETN (VIIZ) "/>
        <s v="Coda Octopus Group (CODA) "/>
        <s v="BMO REX MicroSectors FANG+ Index -3X Inverse Leveraged ETN (FNGD) "/>
        <s v="Direxion Daily S&amp;P 500 Bear 3X Shares (SPXS) "/>
        <s v="ProShares UltraPro Short S&amp;P 500 (SPXU) "/>
        <s v="Direxion Daily Developed Markets Bear 3x Shares (DPK) "/>
        <s v="VelocityShares 3x Inverse Natural Gas ETN linked to the S&amp;P GSCI Natural Gas Index Excess Return (DGAZ) "/>
        <s v="ProShares UltraPro Short QQQ (SQQQ) "/>
        <s v="ProShares UltraPro Short Russell2000 (SRTY) "/>
        <s v="ProShares UltraShort MSCI Japan (EWV) "/>
        <s v="Direxion Daily Small Cap Bear 3x Shares (TZA) "/>
        <s v="Direxion Daily S&amp;P Biotech Bear 3X Shares (LABD) "/>
        <s v="Direxion Daily Technology Bear 3x Shares (TECS) "/>
        <s v="Enphase Energy (ENPH) "/>
        <s v="Aytu BioScience (AYTU) "/>
        <s v="Direxion Daily Mid Cap Bear 3x Shares (MIDZ) "/>
        <s v="ProShares UltraPro Short MidCap400 (SMDD) "/>
        <s v="ACM Research Cl A (ACMR) "/>
        <s v="GRAVITY ADR (GRVY) "/>
        <s v="Direxion Daily Natural Gas Related Bear 3x Shares (GASX) "/>
        <s v="Direxion Daily Emerging Markets Bear 3x Shares (EDZ) "/>
        <s v="Direxion Daily S&amp;P Oil&amp;Gas Exp.&amp;Prod. Bear 3X Shares (DRIP) "/>
        <s v="ARMO Biosciences (ARMO) "/>
        <s v="Apollo Medical Holdings (AMEH) "/>
        <s v="Direxion Daily Regional Banks Bear 3X Shares (WDRW) "/>
        <s v="Direxion Daily Russia Bear 3x Shares (RUSS) "/>
        <s v="ProShares UltraShort Dow30 (DXD) "/>
        <s v="ProShares UltraShort Financials (SKF) "/>
        <s v="Cerecor (CERC) "/>
        <s v="Direxion Daily Real Estate Bear 3x Shares (DRV) "/>
        <s v="ProShares UltraShort Nasdaq Biotechnology (BIS) "/>
        <s v="ReTo Eco-Solutions (RETO) "/>
        <s v="ProShares UltraShort Oil&amp;Gas (DUG) "/>
        <s v="ProShares UltraShort MSCI EAFE (EFU) "/>
        <s v="ProShares UltraShort FTSE Europe (EPV) "/>
        <s v="ProShares UltraShort Technology (REW) "/>
        <s v="ProShares UltraShort S&amp;P500 (SDS) "/>
        <s v="PowerShares DB G10 Currency Harvest Fund (DBV) "/>
        <s v="Anavex Life Sciences (AVXL) "/>
        <s v="ProShares UltraShort Bloomberg Natural Gas (KOLD) "/>
        <s v="Juniper Pharmaceuticals (JNP) "/>
        <s v="Co-Diagnostics (CODX) "/>
        <s v="ProShares UltraShort Industrials (SIJ) "/>
        <s v="ProShares UltraShort QQQ (QID) "/>
        <s v="ProShares UltraShort Russell2000 (TWM) "/>
        <s v="ProShares UltraShort MSCI Brazil Capped (BZQ) "/>
        <s v="ProShares UltraShort Health Care (RXD) "/>
        <s v="ProShares UltraShort Consumer Goods (SZK) "/>
        <s v="ProShares UltraShort MidCap400 (MZZ) "/>
        <s v="Arsanis (ASNS) "/>
        <s v="ProShares UltraShort Semiconductors (SSG) "/>
        <s v="Hamilton Bancorp (HBK) "/>
        <s v="Bridgford Foods (BRID) "/>
        <s v="UBS E-TRACS - ProShares Daily 3x Inverse Crude ETN (WTID) "/>
        <s v="ProShares UltraShort MSCI Emerging Markets (EEV) "/>
        <s v="ProShares UltraPro 3x Short Crude Oil ETF (OILD) "/>
        <s v="Direxion Daily FTSE China Bear 3X Shares (YANG) "/>
        <s v="ProShares UltraShort Basic Materials (SMN) "/>
        <s v="Natural Grocers by Vitamin Cottage (NGVC) "/>
        <s v="Newater Technology (NEWA) "/>
        <s v="VelocityShares 3x Inverse Crude Oil ETNs linked to the S&amp;P GSCI Crude Oil Index ER (DWT) "/>
        <s v="China Lending (CLDC) "/>
        <s v="Galectin Therapeutics (GALT) "/>
        <s v="Sonic Foundry (SOFO) "/>
        <s v="China Southern Airlines ADR (ZNH) "/>
        <s v="Inspired Entertainment (INSE) "/>
        <s v="Babcock&amp;Wilcox Enterprises (BW) "/>
        <s v="ProShares UltraShort Real Estate (SRS) "/>
        <s v="Yatra Online (YTRA) "/>
        <s v="CounterPath (CPAH) "/>
        <s v="Catalyst Biosciences (CBIO) "/>
        <s v="Professional Diversity Network (IPDN) "/>
        <s v="National Holdings (NHLD) "/>
        <s v="McEwen Mining (MUX) "/>
        <s v="ProShares Short Dow30 (DOG) "/>
        <s v="Haynes International (HAYN) "/>
        <s v="ProShares UltraShort FTSE/Xinhua China 25 (FXP) "/>
        <s v="USA Truck (USAK) "/>
        <s v="Johnson Outdoors Cl A (JOUT) "/>
        <s v="Viavi Solutions (VIAV) "/>
        <s v="Socket Mobile (SCKT) "/>
        <s v="China Auto Logistics (CALI) "/>
        <s v="FTS International (FTSI) "/>
        <s v="Viking Therapeutics (VKTX) "/>
        <s v="athenahealth (ATHN) "/>
        <s v="Biostar Pharmaceuticals (BSPM) "/>
        <s v="Direxion Daily Junior Gold Miners Index Bear 3X Shares (JDST) "/>
        <s v="Qualstar (QBAK) "/>
        <s v="Mobile Mini (MINI) "/>
        <s v="Tableau Software (DATA) "/>
        <s v="Neurotrope (NTRP) "/>
        <s v="Alkermes (ALKS) "/>
        <s v="Enova International (ENVA) "/>
        <s v="ProSharesUltraShortSilver (ZSL) "/>
        <s v="Par Technology (PAR) "/>
        <s v="Mattel (MAT) "/>
        <s v="Miragen Therapeutics (MGEN) "/>
        <s v="La Jolla Pharmaceutical (LJPC) "/>
        <s v="McClatchy Cl A (MNI) "/>
        <s v="ProShares UltraShort Gold Miners (GDXS) "/>
        <s v="Deckers Outdoor (DECK) "/>
        <s v="Central Puerto ADR (CEPU) "/>
        <s v="China Internet Nationwide Financial Services (CIFS) "/>
        <s v="Cimpress (CMPR) "/>
        <s v="Solid Biosciences (SLDB) "/>
        <s v="Dynavax Technologies (DVAX) "/>
        <s v="Marlin Business Services (MRLN) "/>
        <s v="Helios&amp;Matheson Analytics (HMNY) "/>
        <s v="OptimumBank Holdings (OPHC) "/>
        <s v="Sony ADR (SNE) "/>
        <s v="SemiLEDS (LEDS) "/>
        <s v="Allena Pharmaceuticals (ALNA) "/>
        <s v="Adamis Pharmaceuticals (ADMP) "/>
        <s v="Sorrento Therapeutics (SRNE) "/>
        <s v="Tintri (TNTR) "/>
        <s v="Citigroup Global Markets Holdings VelocityShares ETN Daily 4X Long USD vs. AUD Index (DAUD) "/>
        <s v="Pieris Pharmaceuticals (PIRS) "/>
        <s v="QCR Holdings (QCRH) "/>
        <s v="Energy Recovery (ERII) "/>
        <s v="Sprint (S) "/>
        <s v="Twin Disc (TWIN) "/>
        <s v="Motorola Solutions (MSI) "/>
        <s v="Tyme Technologies (TYME) "/>
        <s v="MiX Telematics ADR (MIXT) "/>
        <s v="Remark Holdings (MARK) "/>
        <s v="Ashland Global Holdings (ASH) "/>
        <s v="iPath US Treasury Long Bond Bear ETN (DLBS) "/>
        <s v="Leaf Group (LFGR) "/>
        <s v="Geron (GERN) "/>
        <s v="Horizon Global (HZN) "/>
        <s v="QuinStreet (QNST) "/>
        <s v="Liquidity Services (LQDT) "/>
        <s v="Zion Oil&amp;Gas (ZN) "/>
        <s v="Intellicheck (IDN) "/>
        <s v="Revolution Lighting Technologies (RVLT) "/>
        <s v="Qorvo (QRVO) "/>
        <s v="Ezcorp Cl A (EZPW) "/>
        <s v="eBay (EBAY) "/>
        <s v="Sol-Gel Technologies (SLGL) "/>
        <s v="Erin Energy (ERN) "/>
        <s v="Open Text (OTEX) "/>
        <s v="Nokia ADR (NOK) "/>
        <s v="Atomera (ATOM) "/>
        <s v="Nemaura Medical (NMRD) "/>
        <s v="Seneca Foods Cl A (SENEA) "/>
        <s v="CONMED (CNMD) "/>
        <s v="Nuvectra (NVTR) "/>
        <s v="Esquire Financial Holdings (ESQ) "/>
        <s v="California Resources (CRC) "/>
        <s v="Constellium Cl A (CSTM) "/>
        <s v="Oxbridge Re Holdings (OXBR) "/>
        <s v="Shutterfly (SFLY) "/>
        <s v="Meritor (MTOR) "/>
        <s v="I.D. Systems (IDSY) "/>
        <s v="Aeglea BioTherapeutics (AGLE) "/>
        <s v="Piper Jaffray (PJC) "/>
        <s v="One Horizon Group (OHGI) "/>
        <s v="Forestar Group (FOR) "/>
        <s v="Cardtronics Cl A (CATM) "/>
        <s v="Abiomed (ABMD) "/>
        <s v="Pioneer Energy Services (PES) "/>
        <s v="Reliv International (RELV) "/>
        <s v="GDS Holdings ADR (GDS) "/>
        <s v="Pandora Media (P) "/>
        <s v="Aegean Marine Petroleum Network (ANW) "/>
        <s v="Seattle Genetics (SGEN) "/>
        <s v="Graham (GHM) "/>
        <s v="Ferrari (RACE) "/>
        <s v="Acacia Communications (ACIA) "/>
        <s v="CACI International Cl A (CACI) "/>
        <s v="Pacira Pharmaceuticals (PCRX) "/>
        <s v="Vince Holding (VNCE) "/>
        <s v="EDAP TMS ADR (EDAP) "/>
        <s v="MKS Instruments (MKSI) "/>
        <s v="Tetra Tech (TTEK) "/>
        <s v="Galmed Pharmaceuticals (GLMD) "/>
        <s v="Grana y Montero ADR (GRAM) "/>
        <s v="Associated Capital Group Cl A (AC) "/>
        <s v="Archrock (AROC) "/>
        <s v="New Age Beverages (NBEV) "/>
        <s v="Empire Resorts (NYNY) "/>
        <s v="American Financial Group (AFG) "/>
        <s v="Dawson Geophysical (DWSN) "/>
        <s v="MSG Networks Cl A (MSGN) "/>
        <s v="BrasilAgro-Companhia Brasileira de Propriedades Agricolas ADR (LND) "/>
        <s v="UBS E-TRACS - ProShares Daily 3x Long Crude ETN (WTIU) "/>
        <s v="Boot Barn Holdings (BOOT) "/>
        <s v="Nektar Therapeutics (NKTR) "/>
        <s v="Iovance Biotherapeutics (IOVA) "/>
        <s v="Vericel (VCEL) "/>
        <s v="VelocityShares 3x Long Crude Oil ETNs linked to the S&amp;P GSCI Crude Oil Index ER (UWT) "/>
        <s v="United Therapeutics (UTHR) "/>
        <s v="Gorman-Rupp (GRC) "/>
        <s v="Meritage Homes (MTH) "/>
        <s v="ArcBest (ARCB) "/>
        <s v="ProShares UltraPro 3x Crude Oil ETF (OILU) "/>
        <s v="Asia Pacific Wire&amp;Cable (APWC) "/>
        <s v="Spring Bank Pharmaceuticals (SBPH) "/>
        <s v="KemPharm (KMPH) "/>
        <s v="Corcept Therapeutics (CORT) "/>
        <s v="Adverum Biotechnologies (ADVM) "/>
        <s v="AMC Entertainment Holding (AMC) "/>
        <s v="Merchants Bancorp (MBIN) "/>
        <s v="CNH Industrial (CNHI) "/>
        <s v="ClearOne (CLRO) "/>
        <s v="Direxion Daily MSCI Mexico Bull 3X Shares (MEXX) "/>
        <s v="Immersion (IMMR) "/>
        <s v="Zealand Pharma ADR (ZEAL) "/>
        <s v="Ooma (OOMA) "/>
        <s v="Spartan Motors (SPAR) "/>
        <s v="Mesa Laboratories (MLAB) "/>
        <s v="Dycom Industries (DY) "/>
        <s v="Tuesday Morning (TUES) "/>
        <s v="Yulong Eco-Materials (YECO) "/>
        <s v="Twitter (TWTR) "/>
        <s v="Cascadian Therapeutics (CASC) "/>
        <s v="Global Eagle Entertainment (ENT) "/>
        <s v="Heat Biologics (HTBX) "/>
        <s v="Sunesis Pharmaceuticals (SNSS) "/>
        <s v="Ply Gem Holdings (PGEM) "/>
        <s v="Eastside Distilling (EAST) "/>
        <s v="OMNOVA Solutions (OMN) "/>
        <s v="Kingtone Wirelessinfo Solution Holding ADR (KONE) "/>
        <s v="Meta Financial Group (CASH) "/>
        <s v="MGP Ingredients (MGPI) "/>
        <s v="Pitney Bowes (PBI) "/>
        <s v="OFG Bancorp (OFG) "/>
        <s v="Navigator Holdings (NVGS) "/>
        <s v="Immuron ADR (IMRN) "/>
        <s v="Cleveland BioLabs (CBLI) "/>
        <s v="On Assignment (ASGN) "/>
        <s v="Resolute Energy (REN) "/>
        <s v="Plantronics (PLT) "/>
        <s v="Immunogen (IMGN) "/>
        <s v="Rocket Pharmaceuticals (RCKT) "/>
        <s v="Long Blockchain (LBCC) "/>
        <s v="Knight-Swift Transportation Holdings Cl A (KNX) "/>
        <s v="Energizer Holdings (ENR) "/>
        <s v="BeiGene ADR (BGNE) "/>
        <s v="Wabash National (WNC) "/>
        <s v="Checkpoint Therapeutics (CKPT) "/>
        <s v="Luby's (LUB) "/>
        <s v="Zai Lab ADR (ZLAB) "/>
        <s v="Reading International Cl B (RDIB) "/>
        <s v="Youngevity International (YGYI) "/>
        <s v="BofI Holding (BOFI) "/>
        <s v="Videocon d2h ADR (VDTH) "/>
        <s v="National Instruments (NATI) "/>
        <s v="Castlight Health Cl B (CSLT) "/>
        <s v="Myomo (MYO) "/>
        <s v="NantHealth (NH) "/>
        <s v="Eldorado Resorts (ERI) "/>
        <s v="Take-Two Interactive Software (TTWO) "/>
        <s v="Digital Ally (DGLY) "/>
        <s v="Electronic Arts (EA) "/>
        <s v="AVEO Pharmaceuticals (AVEO) "/>
        <s v="Casa Systems (CASA) "/>
        <s v="Advanced Micro Devices (AMD) "/>
        <s v="Och-Ziff Capital Management (OZM) "/>
        <s v="Technical Communications (TCCO) "/>
        <s v="Nine Energy Service (NINE) "/>
        <s v="DPW Holdings (DPW) "/>
        <s v="Metropolitan Bank Holding (MCB) "/>
        <s v="PolarityTE (COOL) "/>
        <s v="KBS Fashion Group (KBSF) "/>
        <s v="Cheetah Mobile ADR (CMCM) "/>
        <s v="CRH Medical (CRHM) "/>
        <s v="First Savings Financial Group (FSFG) "/>
        <s v="Madrigal Pharmaceuticals (MDGL) "/>
        <s v="Diana Containerships (DCIX) "/>
        <s v="Valhi (VHI) "/>
        <s v="Iteris (ITI) "/>
        <s v="Patriot Transportation Holding (PATI) "/>
        <s v="Myovant Sciences (MYOV) "/>
        <s v="Alaska Communications Systems Group (ALSK) "/>
        <s v="Ever-Glory International Group (EVK) "/>
        <s v="InflaRx (IFRX) "/>
        <s v="Sientra (SIEN) "/>
        <s v="CVR Refining (CVRR) "/>
        <s v="Neptune Technologies&amp;Bioressources (NEPT) "/>
        <s v="Direxion Daily Real Estate Bull 3x Shares (DRN) "/>
        <s v="Cohbar (CWBR) "/>
        <s v="TapImmune (TPIV) "/>
        <s v="Grupo Financiero Galicia ADR (GGAL) "/>
        <s v="Digital Realty Trust (DLR) "/>
        <s v="LRAD (LRAD) "/>
        <s v="Kazia Therapeutics ADR (KZIA) "/>
        <s v="Bravo Brio Restaurant Group (BBRG) "/>
        <s v="AzurRx BioPharma (AZRX) "/>
        <s v="Transcat (TRNS) "/>
        <s v="China Cord Blood (CO) "/>
        <s v="Apellis Pharmaceuticals (APLS) "/>
        <s v="Achaogen (AKAO) "/>
        <s v="Callidus Software (CALD) "/>
        <s v="Energous (WATT) "/>
        <s v="Extreme Networks (EXTR) "/>
        <s v="Green Bancorp (GNBC) "/>
        <s v="NetScout Systems (NTCT) "/>
        <s v="Autoliv (ALV) "/>
        <s v="Ampio Pharmaceuticals (AMPE) "/>
        <s v="Forterra (FRTA) "/>
        <s v="Thomson Reuters (TRI) "/>
        <s v="Histogenics (HSGX) "/>
        <s v="MobileIron (MOBL) "/>
        <s v="Chanticleer Holdings (BURG) "/>
        <s v="Oritani Financial (ORIT) "/>
        <s v="Community West Bancshares (CWBC) "/>
        <s v="NovaBay Pharmaceuticals (NBY) "/>
        <s v="CymaBay Therapeutics (CBAY) "/>
        <s v="ENDRA Life Sciences (NDRA) "/>
        <s v="Harris Corp. (HRS) "/>
        <s v="My Size (MYSZ) "/>
        <s v="NTN Buzztime (NTN) "/>
        <s v="Emmis Communications Cl A (EMMS) "/>
        <s v="Majesco (MJCO) "/>
        <s v="Select Medical Holdings (SEM) "/>
        <s v="Anixter International (AXE) "/>
        <s v="Ocular Therapeutix (OCUL) "/>
        <s v="Atlantic Capital Bancshares (ACBI) "/>
        <s v="Brunswick (BC) "/>
        <s v="Proteostasis Therapeutics (PTI) "/>
        <s v="Ambarella (AMBA) "/>
        <s v="Accuray (ARAY) "/>
        <s v="Novus Therapeutics (NVUS) "/>
        <s v="Momenta Pharmaceuticals (MNTA) "/>
        <s v="Calix (CALX) "/>
        <s v="Wynn Resorts (WYNN) "/>
        <s v="PennyMac Mortgage Investment Trust (PMT) "/>
        <s v="Collegium Pharmaceutical (COLL) "/>
        <s v="Zymeworks (ZYME) "/>
        <s v="Aware (AWRE) "/>
        <s v="Hawaiian Holdings (HA) "/>
        <s v="XBiotech (XBIT) "/>
        <s v="Vocera Communications (VCRA) "/>
        <s v="Ocean Bio-Chem (OBCI) "/>
        <s v="ProShares Ultra Telecommunications (LTL) "/>
        <s v="Broadwind Energy (BWEN) "/>
        <s v="WAVE Life Sciences (WVE) "/>
        <s v="Avon Products (AVP) "/>
        <s v="China Distance Education Holdings ADR (DL) "/>
        <s v="DB Agriculture Double Long ETN (DAG) "/>
        <s v="Altair Engineering Cl A (ALTR) "/>
      </sharedItems>
    </cacheField>
    <cacheField name="Price " numFmtId="165">
      <sharedItems containsSemiMixedTypes="0" containsString="0" containsNumber="1" minValue="2.2000000000000002" maxValue="253.13"/>
    </cacheField>
    <cacheField name="Change" numFmtId="165">
      <sharedItems containsSemiMixedTypes="0" containsString="0" containsNumber="1" minValue="0.1" maxValue="25.6"/>
    </cacheField>
    <cacheField name="% Change" numFmtId="0">
      <sharedItems containsSemiMixedTypes="0" containsString="0" containsNumber="1" minValue="4.08" maxValue="70.510000000000005"/>
    </cacheField>
    <cacheField name="Volume " numFmtId="3">
      <sharedItems containsSemiMixedTypes="0" containsString="0" containsNumber="1" containsInteger="1" minValue="2066" maxValue="202368529"/>
    </cacheField>
    <cacheField name="Date" numFmtId="164">
      <sharedItems count="6">
        <s v="06-02-2018"/>
        <s v="05-02-2018"/>
        <s v="04-02-2018"/>
        <s v="03-02-2018"/>
        <s v="31-01-2018"/>
        <s v="30-01-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138.553884490742" createdVersion="4" refreshedVersion="4" minRefreshableVersion="3" recordCount="461">
  <cacheSource type="worksheet">
    <worksheetSource ref="A3:B464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4" count="4">
        <n v="1"/>
        <n v="3"/>
        <n v="2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n v="1"/>
    <x v="0"/>
    <n v="10.25"/>
    <n v="3.1"/>
    <n v="43.36"/>
    <n v="197131"/>
    <x v="0"/>
  </r>
  <r>
    <n v="2"/>
    <x v="1"/>
    <n v="5.25"/>
    <n v="1.4"/>
    <n v="36.36"/>
    <n v="201412"/>
    <x v="0"/>
  </r>
  <r>
    <n v="3"/>
    <x v="2"/>
    <n v="4.03"/>
    <n v="1.04"/>
    <n v="34.78"/>
    <n v="4348632"/>
    <x v="0"/>
  </r>
  <r>
    <n v="4"/>
    <x v="3"/>
    <n v="6.19"/>
    <n v="1.53"/>
    <n v="32.83"/>
    <n v="138297"/>
    <x v="0"/>
  </r>
  <r>
    <n v="5"/>
    <x v="4"/>
    <n v="30"/>
    <n v="5.95"/>
    <n v="24.74"/>
    <n v="3345036"/>
    <x v="0"/>
  </r>
  <r>
    <n v="6"/>
    <x v="5"/>
    <n v="9"/>
    <n v="1.6"/>
    <n v="21.62"/>
    <n v="5980"/>
    <x v="0"/>
  </r>
  <r>
    <n v="7"/>
    <x v="6"/>
    <n v="51.65"/>
    <n v="9.0500000000000007"/>
    <n v="21.24"/>
    <n v="9745776"/>
    <x v="0"/>
  </r>
  <r>
    <n v="8"/>
    <x v="7"/>
    <n v="12.95"/>
    <n v="2.25"/>
    <n v="21.03"/>
    <n v="2722265"/>
    <x v="0"/>
  </r>
  <r>
    <n v="9"/>
    <x v="8"/>
    <n v="4.34"/>
    <n v="0.75"/>
    <n v="20.89"/>
    <n v="367931"/>
    <x v="0"/>
  </r>
  <r>
    <n v="10"/>
    <x v="9"/>
    <n v="6.83"/>
    <n v="1.18"/>
    <n v="20.88"/>
    <n v="19314646"/>
    <x v="0"/>
  </r>
  <r>
    <n v="11"/>
    <x v="10"/>
    <n v="10.8"/>
    <n v="1.8"/>
    <n v="20"/>
    <n v="2716195"/>
    <x v="0"/>
  </r>
  <r>
    <n v="12"/>
    <x v="11"/>
    <n v="6.96"/>
    <n v="1.02"/>
    <n v="17.170000000000002"/>
    <n v="982829"/>
    <x v="0"/>
  </r>
  <r>
    <n v="13"/>
    <x v="12"/>
    <n v="4.01"/>
    <n v="0.55000000000000004"/>
    <n v="15.9"/>
    <n v="2939738"/>
    <x v="0"/>
  </r>
  <r>
    <n v="14"/>
    <x v="13"/>
    <n v="3.3"/>
    <n v="0.45"/>
    <n v="15.79"/>
    <n v="23897"/>
    <x v="0"/>
  </r>
  <r>
    <n v="15"/>
    <x v="14"/>
    <n v="16.28"/>
    <n v="2.19"/>
    <n v="15.54"/>
    <n v="10057461"/>
    <x v="0"/>
  </r>
  <r>
    <n v="16"/>
    <x v="15"/>
    <n v="40.840000000000003"/>
    <n v="5.22"/>
    <n v="14.65"/>
    <n v="11458193"/>
    <x v="0"/>
  </r>
  <r>
    <n v="17"/>
    <x v="16"/>
    <n v="10.75"/>
    <n v="1.3"/>
    <n v="13.76"/>
    <n v="553281"/>
    <x v="0"/>
  </r>
  <r>
    <n v="18"/>
    <x v="17"/>
    <n v="12"/>
    <n v="1.44"/>
    <n v="13.59"/>
    <n v="26763"/>
    <x v="0"/>
  </r>
  <r>
    <n v="19"/>
    <x v="18"/>
    <n v="34.74"/>
    <n v="4.03"/>
    <n v="13.12"/>
    <n v="116691"/>
    <x v="0"/>
  </r>
  <r>
    <n v="20"/>
    <x v="19"/>
    <n v="15.11"/>
    <n v="1.75"/>
    <n v="13.1"/>
    <n v="1300766"/>
    <x v="0"/>
  </r>
  <r>
    <n v="21"/>
    <x v="20"/>
    <n v="5.83"/>
    <n v="0.67"/>
    <n v="12.98"/>
    <n v="1934098"/>
    <x v="0"/>
  </r>
  <r>
    <n v="22"/>
    <x v="21"/>
    <n v="2.89"/>
    <n v="0.33"/>
    <n v="12.89"/>
    <n v="6110467"/>
    <x v="0"/>
  </r>
  <r>
    <n v="23"/>
    <x v="22"/>
    <n v="36.35"/>
    <n v="4.1500000000000004"/>
    <n v="12.89"/>
    <n v="156177"/>
    <x v="0"/>
  </r>
  <r>
    <n v="24"/>
    <x v="23"/>
    <n v="51"/>
    <n v="5.78"/>
    <n v="12.78"/>
    <n v="209395"/>
    <x v="0"/>
  </r>
  <r>
    <n v="25"/>
    <x v="24"/>
    <n v="8.41"/>
    <n v="0.95"/>
    <n v="12.73"/>
    <n v="449050"/>
    <x v="0"/>
  </r>
  <r>
    <n v="26"/>
    <x v="25"/>
    <n v="3.5"/>
    <n v="0.38"/>
    <n v="12.18"/>
    <n v="3640"/>
    <x v="0"/>
  </r>
  <r>
    <n v="27"/>
    <x v="26"/>
    <n v="22.03"/>
    <n v="2.37"/>
    <n v="12.05"/>
    <n v="2956879"/>
    <x v="0"/>
  </r>
  <r>
    <n v="28"/>
    <x v="27"/>
    <n v="60.49"/>
    <n v="6.43"/>
    <n v="11.89"/>
    <n v="38203"/>
    <x v="0"/>
  </r>
  <r>
    <n v="29"/>
    <x v="28"/>
    <n v="8.2100000000000009"/>
    <n v="0.87"/>
    <n v="11.85"/>
    <n v="2974383"/>
    <x v="0"/>
  </r>
  <r>
    <n v="30"/>
    <x v="29"/>
    <n v="53.98"/>
    <n v="5.59"/>
    <n v="11.55"/>
    <n v="572974"/>
    <x v="0"/>
  </r>
  <r>
    <n v="31"/>
    <x v="30"/>
    <n v="6.96"/>
    <n v="0.72"/>
    <n v="11.54"/>
    <n v="442431"/>
    <x v="0"/>
  </r>
  <r>
    <n v="32"/>
    <x v="31"/>
    <n v="12.49"/>
    <n v="1.29"/>
    <n v="11.52"/>
    <n v="508840"/>
    <x v="0"/>
  </r>
  <r>
    <n v="33"/>
    <x v="32"/>
    <n v="12.21"/>
    <n v="1.26"/>
    <n v="11.51"/>
    <n v="18627"/>
    <x v="0"/>
  </r>
  <r>
    <n v="34"/>
    <x v="33"/>
    <n v="15.61"/>
    <n v="1.61"/>
    <n v="11.5"/>
    <n v="545829"/>
    <x v="0"/>
  </r>
  <r>
    <n v="35"/>
    <x v="34"/>
    <n v="43.88"/>
    <n v="4.4800000000000004"/>
    <n v="11.37"/>
    <n v="66024556"/>
    <x v="0"/>
  </r>
  <r>
    <n v="36"/>
    <x v="35"/>
    <n v="32.090000000000003"/>
    <n v="3.27"/>
    <n v="11.35"/>
    <n v="2317148"/>
    <x v="0"/>
  </r>
  <r>
    <n v="37"/>
    <x v="36"/>
    <n v="3.7"/>
    <n v="0.37"/>
    <n v="11.22"/>
    <n v="28195"/>
    <x v="0"/>
  </r>
  <r>
    <n v="38"/>
    <x v="37"/>
    <n v="32.78"/>
    <n v="3.28"/>
    <n v="11.12"/>
    <n v="203788"/>
    <x v="0"/>
  </r>
  <r>
    <n v="39"/>
    <x v="38"/>
    <n v="55"/>
    <n v="5.5"/>
    <n v="11.11"/>
    <n v="4841277"/>
    <x v="0"/>
  </r>
  <r>
    <n v="40"/>
    <x v="39"/>
    <n v="33.33"/>
    <n v="3.3"/>
    <n v="10.99"/>
    <n v="1167037"/>
    <x v="0"/>
  </r>
  <r>
    <n v="41"/>
    <x v="40"/>
    <n v="6.6"/>
    <n v="0.65"/>
    <n v="10.92"/>
    <n v="133286"/>
    <x v="0"/>
  </r>
  <r>
    <n v="42"/>
    <x v="41"/>
    <n v="6.34"/>
    <n v="0.62"/>
    <n v="10.87"/>
    <n v="75053"/>
    <x v="0"/>
  </r>
  <r>
    <n v="43"/>
    <x v="42"/>
    <n v="74.84"/>
    <n v="7.27"/>
    <n v="10.76"/>
    <n v="196025"/>
    <x v="0"/>
  </r>
  <r>
    <n v="44"/>
    <x v="43"/>
    <n v="29.9"/>
    <n v="2.9"/>
    <n v="10.74"/>
    <n v="846996"/>
    <x v="0"/>
  </r>
  <r>
    <n v="45"/>
    <x v="44"/>
    <n v="35.5"/>
    <n v="3.44"/>
    <n v="10.73"/>
    <n v="210925"/>
    <x v="0"/>
  </r>
  <r>
    <n v="46"/>
    <x v="45"/>
    <n v="104.56"/>
    <n v="9.8800000000000008"/>
    <n v="10.44"/>
    <n v="8476242"/>
    <x v="0"/>
  </r>
  <r>
    <n v="47"/>
    <x v="46"/>
    <n v="42.38"/>
    <n v="3.99"/>
    <n v="10.39"/>
    <n v="90035"/>
    <x v="0"/>
  </r>
  <r>
    <n v="48"/>
    <x v="47"/>
    <n v="23.8"/>
    <n v="2.23"/>
    <n v="10.34"/>
    <n v="947053"/>
    <x v="0"/>
  </r>
  <r>
    <n v="49"/>
    <x v="48"/>
    <n v="98.22"/>
    <n v="9.1999999999999993"/>
    <n v="10.33"/>
    <n v="151391"/>
    <x v="0"/>
  </r>
  <r>
    <n v="50"/>
    <x v="49"/>
    <n v="150"/>
    <n v="13.98"/>
    <n v="10.28"/>
    <n v="1368906"/>
    <x v="0"/>
  </r>
  <r>
    <n v="51"/>
    <x v="50"/>
    <n v="2.92"/>
    <n v="0.27"/>
    <n v="10.18"/>
    <n v="17287"/>
    <x v="0"/>
  </r>
  <r>
    <n v="52"/>
    <x v="51"/>
    <n v="2.61"/>
    <n v="0.24"/>
    <n v="10.130000000000001"/>
    <n v="839482"/>
    <x v="0"/>
  </r>
  <r>
    <n v="53"/>
    <x v="52"/>
    <n v="4.3499999999999996"/>
    <n v="0.4"/>
    <n v="10.130000000000001"/>
    <n v="596428"/>
    <x v="0"/>
  </r>
  <r>
    <n v="54"/>
    <x v="53"/>
    <n v="28.75"/>
    <n v="2.63"/>
    <n v="10.07"/>
    <n v="19433739"/>
    <x v="0"/>
  </r>
  <r>
    <n v="55"/>
    <x v="54"/>
    <n v="7.7"/>
    <n v="0.7"/>
    <n v="10"/>
    <n v="1266948"/>
    <x v="0"/>
  </r>
  <r>
    <n v="56"/>
    <x v="55"/>
    <n v="4.2"/>
    <n v="0.37"/>
    <n v="9.66"/>
    <n v="361069"/>
    <x v="0"/>
  </r>
  <r>
    <n v="57"/>
    <x v="56"/>
    <n v="20.45"/>
    <n v="1.8"/>
    <n v="9.65"/>
    <n v="236494"/>
    <x v="0"/>
  </r>
  <r>
    <n v="58"/>
    <x v="57"/>
    <n v="33.24"/>
    <n v="2.9"/>
    <n v="9.56"/>
    <n v="1254218"/>
    <x v="0"/>
  </r>
  <r>
    <n v="59"/>
    <x v="58"/>
    <n v="7.49"/>
    <n v="0.65"/>
    <n v="9.5"/>
    <n v="78369"/>
    <x v="0"/>
  </r>
  <r>
    <n v="60"/>
    <x v="59"/>
    <n v="2.9"/>
    <n v="0.25"/>
    <n v="9.43"/>
    <n v="123465"/>
    <x v="0"/>
  </r>
  <r>
    <n v="61"/>
    <x v="60"/>
    <n v="49.4"/>
    <n v="4.25"/>
    <n v="9.41"/>
    <n v="20692"/>
    <x v="0"/>
  </r>
  <r>
    <n v="62"/>
    <x v="61"/>
    <n v="66.400000000000006"/>
    <n v="5.68"/>
    <n v="9.35"/>
    <n v="993736"/>
    <x v="0"/>
  </r>
  <r>
    <n v="63"/>
    <x v="62"/>
    <n v="6.83"/>
    <n v="0.57999999999999996"/>
    <n v="9.2799999999999994"/>
    <n v="3239214"/>
    <x v="0"/>
  </r>
  <r>
    <n v="64"/>
    <x v="63"/>
    <n v="3.8"/>
    <n v="0.32"/>
    <n v="9.1999999999999993"/>
    <n v="78463"/>
    <x v="0"/>
  </r>
  <r>
    <n v="65"/>
    <x v="64"/>
    <n v="4.04"/>
    <n v="0.34"/>
    <n v="9.19"/>
    <n v="702191"/>
    <x v="0"/>
  </r>
  <r>
    <n v="66"/>
    <x v="65"/>
    <n v="3"/>
    <n v="0.25"/>
    <n v="9.09"/>
    <n v="82055"/>
    <x v="0"/>
  </r>
  <r>
    <n v="67"/>
    <x v="66"/>
    <n v="96.5"/>
    <n v="8"/>
    <n v="9.0399999999999991"/>
    <n v="2647"/>
    <x v="0"/>
  </r>
  <r>
    <n v="68"/>
    <x v="67"/>
    <n v="14.4"/>
    <n v="1.19"/>
    <n v="9.01"/>
    <n v="821038"/>
    <x v="0"/>
  </r>
  <r>
    <n v="69"/>
    <x v="68"/>
    <n v="49.02"/>
    <n v="4.05"/>
    <n v="9.01"/>
    <n v="9339837"/>
    <x v="0"/>
  </r>
  <r>
    <n v="70"/>
    <x v="69"/>
    <n v="35.47"/>
    <n v="2.93"/>
    <n v="9"/>
    <n v="102875"/>
    <x v="0"/>
  </r>
  <r>
    <n v="71"/>
    <x v="70"/>
    <n v="137.66999999999999"/>
    <n v="11.35"/>
    <n v="8.99"/>
    <n v="672023"/>
    <x v="0"/>
  </r>
  <r>
    <n v="72"/>
    <x v="71"/>
    <n v="2.5499999999999998"/>
    <n v="0.21"/>
    <n v="8.9700000000000006"/>
    <n v="193662"/>
    <x v="0"/>
  </r>
  <r>
    <n v="73"/>
    <x v="72"/>
    <n v="35.799999999999997"/>
    <n v="2.92"/>
    <n v="8.9"/>
    <n v="732141"/>
    <x v="0"/>
  </r>
  <r>
    <n v="74"/>
    <x v="73"/>
    <n v="4.92"/>
    <n v="0.4"/>
    <n v="8.85"/>
    <n v="47998"/>
    <x v="0"/>
  </r>
  <r>
    <n v="75"/>
    <x v="74"/>
    <n v="13.05"/>
    <n v="1.05"/>
    <n v="8.75"/>
    <n v="2761746"/>
    <x v="0"/>
  </r>
  <r>
    <n v="76"/>
    <x v="75"/>
    <n v="33.950000000000003"/>
    <n v="2.72"/>
    <n v="8.7100000000000009"/>
    <n v="439120"/>
    <x v="0"/>
  </r>
  <r>
    <n v="77"/>
    <x v="76"/>
    <n v="38.700000000000003"/>
    <n v="3.1"/>
    <n v="8.7100000000000009"/>
    <n v="1220416"/>
    <x v="0"/>
  </r>
  <r>
    <n v="78"/>
    <x v="77"/>
    <n v="20.239999999999998"/>
    <n v="1.61"/>
    <n v="8.64"/>
    <n v="9140"/>
    <x v="0"/>
  </r>
  <r>
    <n v="79"/>
    <x v="78"/>
    <n v="2.52"/>
    <n v="0.2"/>
    <n v="8.6199999999999992"/>
    <n v="218893"/>
    <x v="0"/>
  </r>
  <r>
    <n v="80"/>
    <x v="79"/>
    <n v="21.45"/>
    <n v="1.7"/>
    <n v="8.61"/>
    <n v="2012494"/>
    <x v="0"/>
  </r>
  <r>
    <n v="81"/>
    <x v="80"/>
    <n v="118.79"/>
    <n v="9.32"/>
    <n v="8.51"/>
    <n v="683621"/>
    <x v="0"/>
  </r>
  <r>
    <n v="82"/>
    <x v="81"/>
    <n v="2.4300000000000002"/>
    <n v="0.19"/>
    <n v="8.48"/>
    <n v="7692"/>
    <x v="0"/>
  </r>
  <r>
    <n v="83"/>
    <x v="82"/>
    <n v="92.29"/>
    <n v="7.17"/>
    <n v="8.42"/>
    <n v="1432477"/>
    <x v="0"/>
  </r>
  <r>
    <n v="84"/>
    <x v="83"/>
    <n v="13.02"/>
    <n v="1.01"/>
    <n v="8.41"/>
    <n v="1805398"/>
    <x v="0"/>
  </r>
  <r>
    <n v="85"/>
    <x v="84"/>
    <n v="3.27"/>
    <n v="0.25"/>
    <n v="8.2799999999999994"/>
    <n v="790396"/>
    <x v="0"/>
  </r>
  <r>
    <n v="86"/>
    <x v="85"/>
    <n v="5.25"/>
    <n v="0.4"/>
    <n v="8.25"/>
    <n v="133920"/>
    <x v="0"/>
  </r>
  <r>
    <n v="87"/>
    <x v="86"/>
    <n v="3.83"/>
    <n v="0.28999999999999998"/>
    <n v="8.19"/>
    <n v="179059"/>
    <x v="0"/>
  </r>
  <r>
    <n v="88"/>
    <x v="87"/>
    <n v="179.96"/>
    <n v="13.6"/>
    <n v="8.18"/>
    <n v="5526778"/>
    <x v="0"/>
  </r>
  <r>
    <n v="89"/>
    <x v="88"/>
    <n v="4.78"/>
    <n v="0.36"/>
    <n v="8.14"/>
    <n v="1440743"/>
    <x v="0"/>
  </r>
  <r>
    <n v="90"/>
    <x v="89"/>
    <n v="52.3"/>
    <n v="3.92"/>
    <n v="8.1"/>
    <n v="399085"/>
    <x v="0"/>
  </r>
  <r>
    <n v="91"/>
    <x v="90"/>
    <n v="26.55"/>
    <n v="1.98"/>
    <n v="8.06"/>
    <n v="7036067"/>
    <x v="0"/>
  </r>
  <r>
    <n v="92"/>
    <x v="91"/>
    <n v="8.75"/>
    <n v="0.65"/>
    <n v="8.02"/>
    <n v="108014"/>
    <x v="0"/>
  </r>
  <r>
    <n v="93"/>
    <x v="92"/>
    <n v="125.96"/>
    <n v="9.33"/>
    <n v="8"/>
    <n v="46483"/>
    <x v="0"/>
  </r>
  <r>
    <n v="94"/>
    <x v="93"/>
    <n v="10.29"/>
    <n v="0.76"/>
    <n v="7.97"/>
    <n v="4026480"/>
    <x v="0"/>
  </r>
  <r>
    <n v="95"/>
    <x v="94"/>
    <n v="22.9"/>
    <n v="1.68"/>
    <n v="7.92"/>
    <n v="544125"/>
    <x v="0"/>
  </r>
  <r>
    <n v="96"/>
    <x v="95"/>
    <n v="18.03"/>
    <n v="1.32"/>
    <n v="7.9"/>
    <n v="5918137"/>
    <x v="0"/>
  </r>
  <r>
    <n v="97"/>
    <x v="96"/>
    <n v="22.7"/>
    <n v="1.66"/>
    <n v="7.89"/>
    <n v="6412297"/>
    <x v="0"/>
  </r>
  <r>
    <n v="98"/>
    <x v="97"/>
    <n v="2.63"/>
    <n v="0.19"/>
    <n v="7.79"/>
    <n v="26202"/>
    <x v="0"/>
  </r>
  <r>
    <n v="99"/>
    <x v="98"/>
    <n v="154.51"/>
    <n v="11.06"/>
    <n v="7.71"/>
    <n v="9889814"/>
    <x v="0"/>
  </r>
  <r>
    <n v="100"/>
    <x v="99"/>
    <n v="12.04"/>
    <n v="0.86"/>
    <n v="7.69"/>
    <n v="6035"/>
    <x v="0"/>
  </r>
  <r>
    <n v="1"/>
    <x v="100"/>
    <n v="12.6"/>
    <n v="5.0999999999999996"/>
    <n v="68"/>
    <n v="125483803"/>
    <x v="1"/>
  </r>
  <r>
    <n v="2"/>
    <x v="101"/>
    <n v="22.87"/>
    <n v="9.11"/>
    <n v="66.209999999999994"/>
    <n v="152083929"/>
    <x v="1"/>
  </r>
  <r>
    <n v="3"/>
    <x v="102"/>
    <n v="36.659999999999997"/>
    <n v="9.35"/>
    <n v="34.24"/>
    <n v="9912069"/>
    <x v="1"/>
  </r>
  <r>
    <n v="4"/>
    <x v="103"/>
    <n v="18.62"/>
    <n v="4.7300000000000004"/>
    <n v="34.049999999999997"/>
    <n v="945533"/>
    <x v="1"/>
  </r>
  <r>
    <n v="5"/>
    <x v="104"/>
    <n v="43.94"/>
    <n v="11.02"/>
    <n v="33.479999999999997"/>
    <n v="202368529"/>
    <x v="1"/>
  </r>
  <r>
    <n v="6"/>
    <x v="105"/>
    <n v="12"/>
    <n v="2.4300000000000002"/>
    <n v="25.39"/>
    <n v="54945"/>
    <x v="1"/>
  </r>
  <r>
    <n v="7"/>
    <x v="106"/>
    <n v="22.64"/>
    <n v="3.87"/>
    <n v="20.62"/>
    <n v="15206"/>
    <x v="1"/>
  </r>
  <r>
    <n v="8"/>
    <x v="107"/>
    <n v="2.7"/>
    <n v="0.44"/>
    <n v="19.47"/>
    <n v="177988"/>
    <x v="1"/>
  </r>
  <r>
    <n v="9"/>
    <x v="108"/>
    <n v="21"/>
    <n v="2.93"/>
    <n v="16.21"/>
    <n v="1113131"/>
    <x v="1"/>
  </r>
  <r>
    <n v="10"/>
    <x v="109"/>
    <n v="6.83"/>
    <n v="0.9"/>
    <n v="15.18"/>
    <n v="97199"/>
    <x v="1"/>
  </r>
  <r>
    <n v="11"/>
    <x v="110"/>
    <n v="8.0399999999999991"/>
    <n v="1.03"/>
    <n v="14.76"/>
    <n v="31564"/>
    <x v="1"/>
  </r>
  <r>
    <n v="12"/>
    <x v="111"/>
    <n v="15.66"/>
    <n v="1.92"/>
    <n v="13.97"/>
    <n v="2684892"/>
    <x v="1"/>
  </r>
  <r>
    <n v="13"/>
    <x v="112"/>
    <n v="11.7"/>
    <n v="1.4"/>
    <n v="13.59"/>
    <n v="164860"/>
    <x v="1"/>
  </r>
  <r>
    <n v="14"/>
    <x v="113"/>
    <n v="24.77"/>
    <n v="2.94"/>
    <n v="13.47"/>
    <n v="268941"/>
    <x v="1"/>
  </r>
  <r>
    <n v="15"/>
    <x v="114"/>
    <n v="12"/>
    <n v="1.42"/>
    <n v="13.42"/>
    <n v="8499848"/>
    <x v="1"/>
  </r>
  <r>
    <n v="16"/>
    <x v="115"/>
    <n v="20.079999999999998"/>
    <n v="2.37"/>
    <n v="13.38"/>
    <n v="15759876"/>
    <x v="1"/>
  </r>
  <r>
    <n v="17"/>
    <x v="116"/>
    <n v="10.87"/>
    <n v="1.27"/>
    <n v="13.23"/>
    <n v="136019"/>
    <x v="1"/>
  </r>
  <r>
    <n v="18"/>
    <x v="71"/>
    <n v="2.34"/>
    <n v="0.27"/>
    <n v="13.04"/>
    <n v="309026"/>
    <x v="1"/>
  </r>
  <r>
    <n v="19"/>
    <x v="117"/>
    <n v="9.84"/>
    <n v="1.1200000000000001"/>
    <n v="12.84"/>
    <n v="4340601"/>
    <x v="1"/>
  </r>
  <r>
    <n v="20"/>
    <x v="118"/>
    <n v="2.31"/>
    <n v="0.26"/>
    <n v="12.68"/>
    <n v="8520726"/>
    <x v="1"/>
  </r>
  <r>
    <n v="21"/>
    <x v="119"/>
    <n v="7.05"/>
    <n v="0.79"/>
    <n v="12.62"/>
    <n v="24901"/>
    <x v="1"/>
  </r>
  <r>
    <n v="22"/>
    <x v="120"/>
    <n v="5.23"/>
    <n v="0.57999999999999996"/>
    <n v="12.47"/>
    <n v="34428"/>
    <x v="1"/>
  </r>
  <r>
    <n v="23"/>
    <x v="121"/>
    <n v="52.3"/>
    <n v="5.8"/>
    <n v="12.47"/>
    <n v="60861"/>
    <x v="1"/>
  </r>
  <r>
    <n v="24"/>
    <x v="122"/>
    <n v="30.54"/>
    <n v="3.37"/>
    <n v="12.4"/>
    <n v="13366096"/>
    <x v="1"/>
  </r>
  <r>
    <n v="25"/>
    <x v="123"/>
    <n v="11.59"/>
    <n v="1.27"/>
    <n v="12.31"/>
    <n v="34878704"/>
    <x v="1"/>
  </r>
  <r>
    <n v="26"/>
    <x v="124"/>
    <n v="12.58"/>
    <n v="1.37"/>
    <n v="12.22"/>
    <n v="22597"/>
    <x v="1"/>
  </r>
  <r>
    <n v="27"/>
    <x v="125"/>
    <n v="27.06"/>
    <n v="2.9"/>
    <n v="12"/>
    <n v="12027605"/>
    <x v="1"/>
  </r>
  <r>
    <n v="28"/>
    <x v="126"/>
    <n v="20.2"/>
    <n v="2.1"/>
    <n v="11.6"/>
    <n v="28478907"/>
    <x v="1"/>
  </r>
  <r>
    <n v="29"/>
    <x v="127"/>
    <n v="34.96"/>
    <n v="3.62"/>
    <n v="11.55"/>
    <n v="1316231"/>
    <x v="1"/>
  </r>
  <r>
    <n v="30"/>
    <x v="128"/>
    <n v="26.8"/>
    <n v="2.76"/>
    <n v="11.49"/>
    <n v="12974"/>
    <x v="1"/>
  </r>
  <r>
    <n v="31"/>
    <x v="129"/>
    <n v="13.22"/>
    <n v="1.35"/>
    <n v="11.37"/>
    <n v="26195474"/>
    <x v="1"/>
  </r>
  <r>
    <n v="32"/>
    <x v="130"/>
    <n v="3.83"/>
    <n v="0.39"/>
    <n v="11.34"/>
    <n v="21172010"/>
    <x v="1"/>
  </r>
  <r>
    <n v="33"/>
    <x v="131"/>
    <n v="6.74"/>
    <n v="0.68"/>
    <n v="11.22"/>
    <n v="2125802"/>
    <x v="1"/>
  </r>
  <r>
    <n v="34"/>
    <x v="132"/>
    <n v="2.2999999999999998"/>
    <n v="0.23"/>
    <n v="11.11"/>
    <n v="2078771"/>
    <x v="1"/>
  </r>
  <r>
    <n v="35"/>
    <x v="133"/>
    <n v="2.94"/>
    <n v="0.28999999999999998"/>
    <n v="10.94"/>
    <n v="115454"/>
    <x v="1"/>
  </r>
  <r>
    <n v="36"/>
    <x v="134"/>
    <n v="14.53"/>
    <n v="1.43"/>
    <n v="10.92"/>
    <n v="179240"/>
    <x v="1"/>
  </r>
  <r>
    <n v="37"/>
    <x v="135"/>
    <n v="11.01"/>
    <n v="1.06"/>
    <n v="10.64"/>
    <n v="68219"/>
    <x v="1"/>
  </r>
  <r>
    <n v="38"/>
    <x v="136"/>
    <n v="6.75"/>
    <n v="0.64"/>
    <n v="10.47"/>
    <n v="64811"/>
    <x v="1"/>
  </r>
  <r>
    <n v="39"/>
    <x v="137"/>
    <n v="75"/>
    <n v="6.89"/>
    <n v="10.119999999999999"/>
    <n v="90782"/>
    <x v="1"/>
  </r>
  <r>
    <n v="40"/>
    <x v="138"/>
    <n v="27.78"/>
    <n v="2.52"/>
    <n v="9.98"/>
    <n v="36078"/>
    <x v="1"/>
  </r>
  <r>
    <n v="41"/>
    <x v="139"/>
    <n v="8.7100000000000009"/>
    <n v="0.79"/>
    <n v="9.9700000000000006"/>
    <n v="2504030"/>
    <x v="1"/>
  </r>
  <r>
    <n v="42"/>
    <x v="140"/>
    <n v="14.51"/>
    <n v="1.28"/>
    <n v="9.67"/>
    <n v="2451194"/>
    <x v="1"/>
  </r>
  <r>
    <n v="43"/>
    <x v="141"/>
    <n v="36.5"/>
    <n v="3.18"/>
    <n v="9.5399999999999991"/>
    <n v="292017"/>
    <x v="1"/>
  </r>
  <r>
    <n v="44"/>
    <x v="142"/>
    <n v="19.7"/>
    <n v="1.7"/>
    <n v="9.44"/>
    <n v="35889"/>
    <x v="1"/>
  </r>
  <r>
    <n v="45"/>
    <x v="143"/>
    <n v="27.38"/>
    <n v="2.36"/>
    <n v="9.43"/>
    <n v="6996"/>
    <x v="1"/>
  </r>
  <r>
    <n v="46"/>
    <x v="144"/>
    <n v="19.350000000000001"/>
    <n v="1.65"/>
    <n v="9.32"/>
    <n v="236527"/>
    <x v="1"/>
  </r>
  <r>
    <n v="47"/>
    <x v="145"/>
    <n v="8.92"/>
    <n v="0.75"/>
    <n v="9.18"/>
    <n v="9453664"/>
    <x v="1"/>
  </r>
  <r>
    <n v="48"/>
    <x v="146"/>
    <n v="21.43"/>
    <n v="1.8"/>
    <n v="9.17"/>
    <n v="140794"/>
    <x v="1"/>
  </r>
  <r>
    <n v="49"/>
    <x v="147"/>
    <n v="3.27"/>
    <n v="0.27"/>
    <n v="9"/>
    <n v="172181"/>
    <x v="1"/>
  </r>
  <r>
    <n v="50"/>
    <x v="148"/>
    <n v="14.05"/>
    <n v="1.1399999999999999"/>
    <n v="8.83"/>
    <n v="167267"/>
    <x v="1"/>
  </r>
  <r>
    <n v="51"/>
    <x v="149"/>
    <n v="21.49"/>
    <n v="1.73"/>
    <n v="8.76"/>
    <n v="172812"/>
    <x v="1"/>
  </r>
  <r>
    <n v="52"/>
    <x v="150"/>
    <n v="10.19"/>
    <n v="0.82"/>
    <n v="8.75"/>
    <n v="93808"/>
    <x v="1"/>
  </r>
  <r>
    <n v="53"/>
    <x v="151"/>
    <n v="39.68"/>
    <n v="3.08"/>
    <n v="8.42"/>
    <n v="173493"/>
    <x v="1"/>
  </r>
  <r>
    <n v="54"/>
    <x v="152"/>
    <n v="23.28"/>
    <n v="1.8"/>
    <n v="8.3800000000000008"/>
    <n v="14515"/>
    <x v="1"/>
  </r>
  <r>
    <n v="55"/>
    <x v="153"/>
    <n v="31.6"/>
    <n v="2.42"/>
    <n v="8.2899999999999991"/>
    <n v="20312"/>
    <x v="1"/>
  </r>
  <r>
    <n v="56"/>
    <x v="154"/>
    <n v="16.41"/>
    <n v="1.25"/>
    <n v="8.25"/>
    <n v="29898"/>
    <x v="1"/>
  </r>
  <r>
    <n v="57"/>
    <x v="155"/>
    <n v="41.67"/>
    <n v="3.14"/>
    <n v="8.15"/>
    <n v="21523284"/>
    <x v="1"/>
  </r>
  <r>
    <n v="58"/>
    <x v="156"/>
    <n v="23.12"/>
    <n v="1.73"/>
    <n v="8.11"/>
    <n v="401955"/>
    <x v="1"/>
  </r>
  <r>
    <n v="59"/>
    <x v="157"/>
    <n v="2.8"/>
    <n v="0.21"/>
    <n v="8.11"/>
    <n v="454541"/>
    <x v="1"/>
  </r>
  <r>
    <n v="60"/>
    <x v="158"/>
    <n v="41.86"/>
    <n v="3.1"/>
    <n v="8"/>
    <n v="121995"/>
    <x v="1"/>
  </r>
  <r>
    <n v="61"/>
    <x v="159"/>
    <n v="8.15"/>
    <n v="0.6"/>
    <n v="7.95"/>
    <n v="68014"/>
    <x v="1"/>
  </r>
  <r>
    <n v="62"/>
    <x v="160"/>
    <n v="2.77"/>
    <n v="0.2"/>
    <n v="7.78"/>
    <n v="8830"/>
    <x v="1"/>
  </r>
  <r>
    <n v="63"/>
    <x v="161"/>
    <n v="16.309999999999999"/>
    <n v="1.1599999999999999"/>
    <n v="7.63"/>
    <n v="4494"/>
    <x v="1"/>
  </r>
  <r>
    <n v="64"/>
    <x v="162"/>
    <n v="12.88"/>
    <n v="0.91"/>
    <n v="7.6"/>
    <n v="19555354"/>
    <x v="1"/>
  </r>
  <r>
    <n v="65"/>
    <x v="163"/>
    <n v="18.41"/>
    <n v="1.29"/>
    <n v="7.54"/>
    <n v="4366373"/>
    <x v="1"/>
  </r>
  <r>
    <n v="66"/>
    <x v="164"/>
    <n v="7.72"/>
    <n v="0.53"/>
    <n v="7.37"/>
    <n v="845632"/>
    <x v="1"/>
  </r>
  <r>
    <n v="67"/>
    <x v="165"/>
    <n v="29.25"/>
    <n v="2"/>
    <n v="7.35"/>
    <n v="8070"/>
    <x v="1"/>
  </r>
  <r>
    <n v="68"/>
    <x v="166"/>
    <n v="14.79"/>
    <n v="0.99"/>
    <n v="7.17"/>
    <n v="2259"/>
    <x v="1"/>
  </r>
  <r>
    <n v="69"/>
    <x v="41"/>
    <n v="5.72"/>
    <n v="0.38"/>
    <n v="7.12"/>
    <n v="28796"/>
    <x v="1"/>
  </r>
  <r>
    <n v="70"/>
    <x v="167"/>
    <n v="19.690000000000001"/>
    <n v="1.3"/>
    <n v="7.07"/>
    <n v="18723"/>
    <x v="1"/>
  </r>
  <r>
    <n v="71"/>
    <x v="168"/>
    <n v="13.2"/>
    <n v="0.87"/>
    <n v="7.06"/>
    <n v="7785"/>
    <x v="1"/>
  </r>
  <r>
    <n v="72"/>
    <x v="169"/>
    <n v="10.28"/>
    <n v="0.65"/>
    <n v="6.77"/>
    <n v="85428"/>
    <x v="1"/>
  </r>
  <r>
    <n v="73"/>
    <x v="170"/>
    <n v="15.75"/>
    <n v="0.99"/>
    <n v="6.74"/>
    <n v="6033"/>
    <x v="1"/>
  </r>
  <r>
    <n v="74"/>
    <x v="17"/>
    <n v="10.56"/>
    <n v="0.66"/>
    <n v="6.71"/>
    <n v="5252"/>
    <x v="1"/>
  </r>
  <r>
    <n v="75"/>
    <x v="171"/>
    <n v="17.600000000000001"/>
    <n v="1.1000000000000001"/>
    <n v="6.67"/>
    <n v="81933"/>
    <x v="1"/>
  </r>
  <r>
    <n v="76"/>
    <x v="172"/>
    <n v="12.6"/>
    <n v="0.78"/>
    <n v="6.56"/>
    <n v="28476"/>
    <x v="1"/>
  </r>
  <r>
    <n v="77"/>
    <x v="173"/>
    <n v="8.16"/>
    <n v="0.5"/>
    <n v="6.53"/>
    <n v="240472"/>
    <x v="1"/>
  </r>
  <r>
    <n v="78"/>
    <x v="174"/>
    <n v="8.86"/>
    <n v="0.54"/>
    <n v="6.49"/>
    <n v="858274"/>
    <x v="1"/>
  </r>
  <r>
    <n v="79"/>
    <x v="175"/>
    <n v="4.53"/>
    <n v="0.27"/>
    <n v="6.34"/>
    <n v="3182813"/>
    <x v="1"/>
  </r>
  <r>
    <n v="80"/>
    <x v="176"/>
    <n v="14.18"/>
    <n v="0.84"/>
    <n v="6.3"/>
    <n v="97658"/>
    <x v="1"/>
  </r>
  <r>
    <n v="81"/>
    <x v="177"/>
    <n v="7.02"/>
    <n v="0.41"/>
    <n v="6.2"/>
    <n v="345191"/>
    <x v="1"/>
  </r>
  <r>
    <n v="82"/>
    <x v="178"/>
    <n v="11.8"/>
    <n v="0.67"/>
    <n v="6.02"/>
    <n v="78537"/>
    <x v="1"/>
  </r>
  <r>
    <n v="83"/>
    <x v="179"/>
    <n v="11.52"/>
    <n v="0.65"/>
    <n v="5.98"/>
    <n v="6966337"/>
    <x v="1"/>
  </r>
  <r>
    <n v="84"/>
    <x v="10"/>
    <n v="9"/>
    <n v="0.5"/>
    <n v="5.88"/>
    <n v="1727339"/>
    <x v="1"/>
  </r>
  <r>
    <n v="85"/>
    <x v="180"/>
    <n v="2.35"/>
    <n v="0.13"/>
    <n v="5.86"/>
    <n v="43248"/>
    <x v="1"/>
  </r>
  <r>
    <n v="86"/>
    <x v="181"/>
    <n v="4.13"/>
    <n v="0.23"/>
    <n v="5.76"/>
    <n v="492714"/>
    <x v="1"/>
  </r>
  <r>
    <n v="87"/>
    <x v="182"/>
    <n v="2.69"/>
    <n v="0.14000000000000001"/>
    <n v="5.49"/>
    <n v="5079"/>
    <x v="1"/>
  </r>
  <r>
    <n v="88"/>
    <x v="183"/>
    <n v="66.66"/>
    <n v="3.35"/>
    <n v="5.29"/>
    <n v="114256"/>
    <x v="1"/>
  </r>
  <r>
    <n v="89"/>
    <x v="184"/>
    <n v="6.05"/>
    <n v="0.3"/>
    <n v="5.22"/>
    <n v="148889"/>
    <x v="1"/>
  </r>
  <r>
    <n v="90"/>
    <x v="185"/>
    <n v="6.05"/>
    <n v="0.3"/>
    <n v="5.22"/>
    <n v="2524021"/>
    <x v="1"/>
  </r>
  <r>
    <n v="91"/>
    <x v="186"/>
    <n v="34.369999999999997"/>
    <n v="1.69"/>
    <n v="5.17"/>
    <n v="152368"/>
    <x v="1"/>
  </r>
  <r>
    <n v="92"/>
    <x v="187"/>
    <n v="7.01"/>
    <n v="0.34"/>
    <n v="5.0999999999999996"/>
    <n v="368687"/>
    <x v="1"/>
  </r>
  <r>
    <n v="93"/>
    <x v="188"/>
    <n v="4.25"/>
    <n v="0.2"/>
    <n v="4.9400000000000004"/>
    <n v="62708"/>
    <x v="1"/>
  </r>
  <r>
    <n v="94"/>
    <x v="189"/>
    <n v="26.51"/>
    <n v="1.24"/>
    <n v="4.91"/>
    <n v="521772"/>
    <x v="1"/>
  </r>
  <r>
    <n v="95"/>
    <x v="190"/>
    <n v="3.89"/>
    <n v="0.18"/>
    <n v="4.8499999999999996"/>
    <n v="197202"/>
    <x v="1"/>
  </r>
  <r>
    <n v="96"/>
    <x v="191"/>
    <n v="3.73"/>
    <n v="0.17"/>
    <n v="4.78"/>
    <n v="104762"/>
    <x v="1"/>
  </r>
  <r>
    <n v="97"/>
    <x v="192"/>
    <n v="2.21"/>
    <n v="0.1"/>
    <n v="4.74"/>
    <n v="3803088"/>
    <x v="1"/>
  </r>
  <r>
    <n v="98"/>
    <x v="193"/>
    <n v="15.15"/>
    <n v="0.68"/>
    <n v="4.7"/>
    <n v="8228993"/>
    <x v="1"/>
  </r>
  <r>
    <n v="99"/>
    <x v="194"/>
    <n v="38.5"/>
    <n v="1.71"/>
    <n v="4.6500000000000004"/>
    <n v="227987"/>
    <x v="1"/>
  </r>
  <r>
    <n v="100"/>
    <x v="195"/>
    <n v="14.41"/>
    <n v="0.64"/>
    <n v="4.6500000000000004"/>
    <n v="132300"/>
    <x v="1"/>
  </r>
  <r>
    <n v="1"/>
    <x v="101"/>
    <n v="13.76"/>
    <n v="2.96"/>
    <n v="27.41"/>
    <n v="85502301"/>
    <x v="2"/>
  </r>
  <r>
    <n v="2"/>
    <x v="100"/>
    <n v="7.5"/>
    <n v="1.61"/>
    <n v="27.33"/>
    <n v="58755838"/>
    <x v="2"/>
  </r>
  <r>
    <n v="3"/>
    <x v="196"/>
    <n v="24.99"/>
    <n v="4.91"/>
    <n v="24.45"/>
    <n v="543598"/>
    <x v="2"/>
  </r>
  <r>
    <n v="4"/>
    <x v="197"/>
    <n v="74.48"/>
    <n v="13.46"/>
    <n v="22.06"/>
    <n v="131897"/>
    <x v="2"/>
  </r>
  <r>
    <n v="5"/>
    <x v="198"/>
    <n v="10"/>
    <n v="1.33"/>
    <n v="15.34"/>
    <n v="12636336"/>
    <x v="2"/>
  </r>
  <r>
    <n v="6"/>
    <x v="199"/>
    <n v="4.03"/>
    <n v="0.53"/>
    <n v="15.14"/>
    <n v="551607"/>
    <x v="2"/>
  </r>
  <r>
    <n v="7"/>
    <x v="200"/>
    <n v="3.52"/>
    <n v="0.45"/>
    <n v="14.66"/>
    <n v="167493"/>
    <x v="2"/>
  </r>
  <r>
    <n v="8"/>
    <x v="201"/>
    <n v="20.61"/>
    <n v="2.61"/>
    <n v="14.5"/>
    <n v="12758436"/>
    <x v="2"/>
  </r>
  <r>
    <n v="9"/>
    <x v="202"/>
    <n v="6.07"/>
    <n v="0.76"/>
    <n v="14.31"/>
    <n v="9022349"/>
    <x v="2"/>
  </r>
  <r>
    <n v="10"/>
    <x v="203"/>
    <n v="142.25"/>
    <n v="17.34"/>
    <n v="13.88"/>
    <n v="1810572"/>
    <x v="2"/>
  </r>
  <r>
    <n v="11"/>
    <x v="102"/>
    <n v="27.31"/>
    <n v="3.27"/>
    <n v="13.6"/>
    <n v="7583008"/>
    <x v="2"/>
  </r>
  <r>
    <n v="12"/>
    <x v="104"/>
    <n v="32.92"/>
    <n v="3.91"/>
    <n v="13.48"/>
    <n v="125038902"/>
    <x v="2"/>
  </r>
  <r>
    <n v="13"/>
    <x v="204"/>
    <n v="4.08"/>
    <n v="0.48"/>
    <n v="13.33"/>
    <n v="13192707"/>
    <x v="2"/>
  </r>
  <r>
    <n v="14"/>
    <x v="103"/>
    <n v="13.89"/>
    <n v="1.63"/>
    <n v="13.3"/>
    <n v="260921"/>
    <x v="2"/>
  </r>
  <r>
    <n v="15"/>
    <x v="117"/>
    <n v="8.7200000000000006"/>
    <n v="0.98"/>
    <n v="12.66"/>
    <n v="2393251"/>
    <x v="2"/>
  </r>
  <r>
    <n v="16"/>
    <x v="140"/>
    <n v="13.23"/>
    <n v="1.46"/>
    <n v="12.4"/>
    <n v="2873712"/>
    <x v="2"/>
  </r>
  <r>
    <n v="17"/>
    <x v="138"/>
    <n v="25.26"/>
    <n v="2.77"/>
    <n v="12.32"/>
    <n v="55172"/>
    <x v="2"/>
  </r>
  <r>
    <n v="18"/>
    <x v="205"/>
    <n v="57.78"/>
    <n v="6.31"/>
    <n v="12.26"/>
    <n v="2446955"/>
    <x v="2"/>
  </r>
  <r>
    <n v="19"/>
    <x v="206"/>
    <n v="10.99"/>
    <n v="1.1200000000000001"/>
    <n v="11.35"/>
    <n v="81387"/>
    <x v="2"/>
  </r>
  <r>
    <n v="20"/>
    <x v="207"/>
    <n v="42.4"/>
    <n v="4.2"/>
    <n v="10.99"/>
    <n v="785240"/>
    <x v="2"/>
  </r>
  <r>
    <n v="21"/>
    <x v="141"/>
    <n v="33.32"/>
    <n v="3.23"/>
    <n v="10.73"/>
    <n v="479824"/>
    <x v="2"/>
  </r>
  <r>
    <n v="22"/>
    <x v="90"/>
    <n v="23.97"/>
    <n v="2.2000000000000002"/>
    <n v="10.11"/>
    <n v="12350629"/>
    <x v="2"/>
  </r>
  <r>
    <n v="23"/>
    <x v="121"/>
    <n v="46.5"/>
    <n v="3.88"/>
    <n v="9.11"/>
    <n v="28576"/>
    <x v="2"/>
  </r>
  <r>
    <n v="24"/>
    <x v="208"/>
    <n v="84.01"/>
    <n v="6.92"/>
    <n v="8.98"/>
    <n v="5865183"/>
    <x v="2"/>
  </r>
  <r>
    <n v="25"/>
    <x v="209"/>
    <n v="7.82"/>
    <n v="0.64"/>
    <n v="8.91"/>
    <n v="105422"/>
    <x v="2"/>
  </r>
  <r>
    <n v="26"/>
    <x v="210"/>
    <n v="63.42"/>
    <n v="5.09"/>
    <n v="8.73"/>
    <n v="2883846"/>
    <x v="2"/>
  </r>
  <r>
    <n v="27"/>
    <x v="131"/>
    <n v="6.06"/>
    <n v="0.47"/>
    <n v="8.41"/>
    <n v="996343"/>
    <x v="2"/>
  </r>
  <r>
    <n v="28"/>
    <x v="211"/>
    <n v="20.25"/>
    <n v="1.55"/>
    <n v="8.2899999999999991"/>
    <n v="971890"/>
    <x v="2"/>
  </r>
  <r>
    <n v="29"/>
    <x v="105"/>
    <n v="9.57"/>
    <n v="0.73"/>
    <n v="8.26"/>
    <n v="21779"/>
    <x v="2"/>
  </r>
  <r>
    <n v="30"/>
    <x v="151"/>
    <n v="36.6"/>
    <n v="2.78"/>
    <n v="8.2200000000000006"/>
    <n v="138682"/>
    <x v="2"/>
  </r>
  <r>
    <n v="31"/>
    <x v="111"/>
    <n v="13.74"/>
    <n v="1.03"/>
    <n v="8.1"/>
    <n v="1732360"/>
    <x v="2"/>
  </r>
  <r>
    <n v="32"/>
    <x v="212"/>
    <n v="32.74"/>
    <n v="2.4300000000000002"/>
    <n v="8.02"/>
    <n v="51415"/>
    <x v="2"/>
  </r>
  <r>
    <n v="33"/>
    <x v="213"/>
    <n v="9.19"/>
    <n v="0.68"/>
    <n v="7.99"/>
    <n v="36525"/>
    <x v="2"/>
  </r>
  <r>
    <n v="34"/>
    <x v="214"/>
    <n v="16.53"/>
    <n v="1.21"/>
    <n v="7.9"/>
    <n v="16438983"/>
    <x v="2"/>
  </r>
  <r>
    <n v="35"/>
    <x v="115"/>
    <n v="17.71"/>
    <n v="1.28"/>
    <n v="7.79"/>
    <n v="5186735"/>
    <x v="2"/>
  </r>
  <r>
    <n v="36"/>
    <x v="215"/>
    <n v="8.6"/>
    <n v="0.62"/>
    <n v="7.77"/>
    <n v="319339"/>
    <x v="2"/>
  </r>
  <r>
    <n v="37"/>
    <x v="216"/>
    <n v="38.590000000000003"/>
    <n v="2.75"/>
    <n v="7.67"/>
    <n v="725785"/>
    <x v="2"/>
  </r>
  <r>
    <n v="38"/>
    <x v="217"/>
    <n v="9"/>
    <n v="0.64"/>
    <n v="7.66"/>
    <n v="8017"/>
    <x v="2"/>
  </r>
  <r>
    <n v="39"/>
    <x v="139"/>
    <n v="7.92"/>
    <n v="0.56000000000000005"/>
    <n v="7.61"/>
    <n v="2291544"/>
    <x v="2"/>
  </r>
  <r>
    <n v="40"/>
    <x v="218"/>
    <n v="14.25"/>
    <n v="0.98"/>
    <n v="7.39"/>
    <n v="20195"/>
    <x v="2"/>
  </r>
  <r>
    <n v="41"/>
    <x v="219"/>
    <n v="93.63"/>
    <n v="6.37"/>
    <n v="7.3"/>
    <n v="2773002"/>
    <x v="2"/>
  </r>
  <r>
    <n v="42"/>
    <x v="220"/>
    <n v="17.7"/>
    <n v="1.2"/>
    <n v="7.27"/>
    <n v="6225077"/>
    <x v="2"/>
  </r>
  <r>
    <n v="43"/>
    <x v="144"/>
    <n v="17.7"/>
    <n v="1.1299999999999999"/>
    <n v="6.82"/>
    <n v="138499"/>
    <x v="2"/>
  </r>
  <r>
    <n v="44"/>
    <x v="221"/>
    <n v="46.59"/>
    <n v="2.93"/>
    <n v="6.71"/>
    <n v="285573"/>
    <x v="2"/>
  </r>
  <r>
    <n v="45"/>
    <x v="164"/>
    <n v="7.19"/>
    <n v="0.45"/>
    <n v="6.68"/>
    <n v="370456"/>
    <x v="2"/>
  </r>
  <r>
    <n v="46"/>
    <x v="123"/>
    <n v="10.32"/>
    <n v="0.64"/>
    <n v="6.61"/>
    <n v="17939874"/>
    <x v="2"/>
  </r>
  <r>
    <n v="47"/>
    <x v="178"/>
    <n v="11.13"/>
    <n v="0.69"/>
    <n v="6.61"/>
    <n v="22315"/>
    <x v="2"/>
  </r>
  <r>
    <n v="48"/>
    <x v="169"/>
    <n v="9.6300000000000008"/>
    <n v="0.59"/>
    <n v="6.53"/>
    <n v="29979"/>
    <x v="2"/>
  </r>
  <r>
    <n v="49"/>
    <x v="122"/>
    <n v="27.17"/>
    <n v="1.65"/>
    <n v="6.47"/>
    <n v="6700663"/>
    <x v="2"/>
  </r>
  <r>
    <n v="50"/>
    <x v="124"/>
    <n v="11.21"/>
    <n v="0.67"/>
    <n v="6.36"/>
    <n v="13493"/>
    <x v="2"/>
  </r>
  <r>
    <n v="51"/>
    <x v="222"/>
    <n v="162.49"/>
    <n v="9.48"/>
    <n v="6.2"/>
    <n v="1117331"/>
    <x v="2"/>
  </r>
  <r>
    <n v="52"/>
    <x v="223"/>
    <n v="29"/>
    <n v="1.69"/>
    <n v="6.19"/>
    <n v="302246"/>
    <x v="2"/>
  </r>
  <r>
    <n v="53"/>
    <x v="134"/>
    <n v="13.1"/>
    <n v="0.76"/>
    <n v="6.16"/>
    <n v="14462"/>
    <x v="2"/>
  </r>
  <r>
    <n v="54"/>
    <x v="224"/>
    <n v="17.45"/>
    <n v="1"/>
    <n v="6.08"/>
    <n v="1779623"/>
    <x v="2"/>
  </r>
  <r>
    <n v="55"/>
    <x v="189"/>
    <n v="25.27"/>
    <n v="1.44"/>
    <n v="6.04"/>
    <n v="299402"/>
    <x v="2"/>
  </r>
  <r>
    <n v="56"/>
    <x v="176"/>
    <n v="13.34"/>
    <n v="0.76"/>
    <n v="6.04"/>
    <n v="16407"/>
    <x v="2"/>
  </r>
  <r>
    <n v="57"/>
    <x v="127"/>
    <n v="31.34"/>
    <n v="1.77"/>
    <n v="5.99"/>
    <n v="1850135"/>
    <x v="2"/>
  </r>
  <r>
    <n v="58"/>
    <x v="225"/>
    <n v="25.75"/>
    <n v="1.45"/>
    <n v="5.97"/>
    <n v="50731"/>
    <x v="2"/>
  </r>
  <r>
    <n v="59"/>
    <x v="126"/>
    <n v="18.100000000000001"/>
    <n v="1.01"/>
    <n v="5.91"/>
    <n v="16259173"/>
    <x v="2"/>
  </r>
  <r>
    <n v="60"/>
    <x v="226"/>
    <n v="9.14"/>
    <n v="0.51"/>
    <n v="5.91"/>
    <n v="4180333"/>
    <x v="2"/>
  </r>
  <r>
    <n v="61"/>
    <x v="114"/>
    <n v="10.58"/>
    <n v="0.59"/>
    <n v="5.91"/>
    <n v="3883782"/>
    <x v="2"/>
  </r>
  <r>
    <n v="62"/>
    <x v="227"/>
    <n v="5.0599999999999996"/>
    <n v="0.28000000000000003"/>
    <n v="5.86"/>
    <n v="14369"/>
    <x v="2"/>
  </r>
  <r>
    <n v="63"/>
    <x v="228"/>
    <n v="51.99"/>
    <n v="2.84"/>
    <n v="5.78"/>
    <n v="3925591"/>
    <x v="2"/>
  </r>
  <r>
    <n v="64"/>
    <x v="129"/>
    <n v="11.87"/>
    <n v="0.64"/>
    <n v="5.7"/>
    <n v="16879120"/>
    <x v="2"/>
  </r>
  <r>
    <n v="65"/>
    <x v="229"/>
    <n v="4.3099999999999996"/>
    <n v="0.23"/>
    <n v="5.64"/>
    <n v="640479"/>
    <x v="2"/>
  </r>
  <r>
    <n v="66"/>
    <x v="230"/>
    <n v="8.69"/>
    <n v="0.46"/>
    <n v="5.59"/>
    <n v="55206"/>
    <x v="2"/>
  </r>
  <r>
    <n v="67"/>
    <x v="231"/>
    <n v="3.8"/>
    <n v="0.2"/>
    <n v="5.56"/>
    <n v="556724"/>
    <x v="2"/>
  </r>
  <r>
    <n v="68"/>
    <x v="130"/>
    <n v="3.44"/>
    <n v="0.18"/>
    <n v="5.52"/>
    <n v="12744472"/>
    <x v="2"/>
  </r>
  <r>
    <n v="69"/>
    <x v="232"/>
    <n v="7.65"/>
    <n v="0.4"/>
    <n v="5.52"/>
    <n v="1419806"/>
    <x v="2"/>
  </r>
  <r>
    <n v="70"/>
    <x v="154"/>
    <n v="15.16"/>
    <n v="0.79"/>
    <n v="5.49"/>
    <n v="33294"/>
    <x v="2"/>
  </r>
  <r>
    <n v="71"/>
    <x v="145"/>
    <n v="8.17"/>
    <n v="0.42"/>
    <n v="5.42"/>
    <n v="4169089"/>
    <x v="2"/>
  </r>
  <r>
    <n v="72"/>
    <x v="233"/>
    <n v="5.67"/>
    <n v="0.28999999999999998"/>
    <n v="5.39"/>
    <n v="285842"/>
    <x v="2"/>
  </r>
  <r>
    <n v="73"/>
    <x v="234"/>
    <n v="20.56"/>
    <n v="1.03"/>
    <n v="5.29"/>
    <n v="2290"/>
    <x v="2"/>
  </r>
  <r>
    <n v="74"/>
    <x v="153"/>
    <n v="29.18"/>
    <n v="1.45"/>
    <n v="5.23"/>
    <n v="11413"/>
    <x v="2"/>
  </r>
  <r>
    <n v="75"/>
    <x v="235"/>
    <n v="8.07"/>
    <n v="0.4"/>
    <n v="5.22"/>
    <n v="1018747"/>
    <x v="2"/>
  </r>
  <r>
    <n v="76"/>
    <x v="236"/>
    <n v="46.45"/>
    <n v="2.2999999999999998"/>
    <n v="5.21"/>
    <n v="117574"/>
    <x v="2"/>
  </r>
  <r>
    <n v="77"/>
    <x v="237"/>
    <n v="7.89"/>
    <n v="0.39"/>
    <n v="5.2"/>
    <n v="656012"/>
    <x v="2"/>
  </r>
  <r>
    <n v="78"/>
    <x v="175"/>
    <n v="4.26"/>
    <n v="0.21"/>
    <n v="5.19"/>
    <n v="2682694"/>
    <x v="2"/>
  </r>
  <r>
    <n v="79"/>
    <x v="41"/>
    <n v="5.34"/>
    <n v="0.26"/>
    <n v="5.12"/>
    <n v="15027"/>
    <x v="2"/>
  </r>
  <r>
    <n v="80"/>
    <x v="238"/>
    <n v="5.36"/>
    <n v="0.26"/>
    <n v="5.0999999999999996"/>
    <n v="35417701"/>
    <x v="2"/>
  </r>
  <r>
    <n v="81"/>
    <x v="24"/>
    <n v="7.51"/>
    <n v="0.36"/>
    <n v="5.03"/>
    <n v="544023"/>
    <x v="2"/>
  </r>
  <r>
    <n v="82"/>
    <x v="110"/>
    <n v="7"/>
    <n v="0.33"/>
    <n v="5.01"/>
    <n v="17374"/>
    <x v="2"/>
  </r>
  <r>
    <n v="83"/>
    <x v="239"/>
    <n v="31.03"/>
    <n v="1.46"/>
    <n v="4.9400000000000004"/>
    <n v="54064"/>
    <x v="2"/>
  </r>
  <r>
    <n v="84"/>
    <x v="173"/>
    <n v="7.66"/>
    <n v="0.36"/>
    <n v="4.93"/>
    <n v="155244"/>
    <x v="2"/>
  </r>
  <r>
    <n v="85"/>
    <x v="106"/>
    <n v="18.77"/>
    <n v="0.88"/>
    <n v="4.92"/>
    <n v="13121"/>
    <x v="2"/>
  </r>
  <r>
    <n v="86"/>
    <x v="116"/>
    <n v="9.6"/>
    <n v="0.45"/>
    <n v="4.92"/>
    <n v="86791"/>
    <x v="2"/>
  </r>
  <r>
    <n v="87"/>
    <x v="240"/>
    <n v="103.87"/>
    <n v="4.75"/>
    <n v="4.79"/>
    <n v="4420476"/>
    <x v="2"/>
  </r>
  <r>
    <n v="88"/>
    <x v="135"/>
    <n v="9.9499999999999993"/>
    <n v="0.45"/>
    <n v="4.75"/>
    <n v="44288"/>
    <x v="2"/>
  </r>
  <r>
    <n v="89"/>
    <x v="241"/>
    <n v="4.42"/>
    <n v="0.2"/>
    <n v="4.74"/>
    <n v="215357"/>
    <x v="2"/>
  </r>
  <r>
    <n v="90"/>
    <x v="242"/>
    <n v="13.28"/>
    <n v="0.6"/>
    <n v="4.7300000000000004"/>
    <n v="172319"/>
    <x v="2"/>
  </r>
  <r>
    <n v="91"/>
    <x v="243"/>
    <n v="9.32"/>
    <n v="0.42"/>
    <n v="4.72"/>
    <n v="1840991"/>
    <x v="2"/>
  </r>
  <r>
    <n v="92"/>
    <x v="244"/>
    <n v="73.87"/>
    <n v="3.28"/>
    <n v="4.6500000000000004"/>
    <n v="3814242"/>
    <x v="2"/>
  </r>
  <r>
    <n v="93"/>
    <x v="245"/>
    <n v="20.5"/>
    <n v="0.91"/>
    <n v="4.6399999999999997"/>
    <n v="28207"/>
    <x v="2"/>
  </r>
  <r>
    <n v="94"/>
    <x v="246"/>
    <n v="9.0500000000000007"/>
    <n v="0.4"/>
    <n v="4.62"/>
    <n v="27851"/>
    <x v="2"/>
  </r>
  <r>
    <n v="95"/>
    <x v="247"/>
    <n v="2.5099999999999998"/>
    <n v="0.11"/>
    <n v="4.58"/>
    <n v="4702698"/>
    <x v="2"/>
  </r>
  <r>
    <n v="96"/>
    <x v="152"/>
    <n v="21.48"/>
    <n v="0.94"/>
    <n v="4.58"/>
    <n v="3973"/>
    <x v="2"/>
  </r>
  <r>
    <n v="97"/>
    <x v="174"/>
    <n v="8.32"/>
    <n v="0.36"/>
    <n v="4.5199999999999996"/>
    <n v="728027"/>
    <x v="2"/>
  </r>
  <r>
    <n v="98"/>
    <x v="179"/>
    <n v="10.87"/>
    <n v="0.47"/>
    <n v="4.5199999999999996"/>
    <n v="6601042"/>
    <x v="2"/>
  </r>
  <r>
    <n v="99"/>
    <x v="50"/>
    <n v="3.02"/>
    <n v="0.13"/>
    <n v="4.5"/>
    <n v="180065"/>
    <x v="2"/>
  </r>
  <r>
    <n v="100"/>
    <x v="248"/>
    <n v="8.65"/>
    <n v="0.37"/>
    <n v="4.47"/>
    <n v="746358"/>
    <x v="2"/>
  </r>
  <r>
    <n v="1"/>
    <x v="249"/>
    <n v="12.96"/>
    <n v="3.63"/>
    <n v="38.909999999999997"/>
    <n v="3684213"/>
    <x v="3"/>
  </r>
  <r>
    <n v="2"/>
    <x v="250"/>
    <n v="6.5"/>
    <n v="1.7"/>
    <n v="35.42"/>
    <n v="694793"/>
    <x v="3"/>
  </r>
  <r>
    <n v="3"/>
    <x v="251"/>
    <n v="2.69"/>
    <n v="0.57999999999999996"/>
    <n v="27.49"/>
    <n v="2244772"/>
    <x v="3"/>
  </r>
  <r>
    <n v="4"/>
    <x v="204"/>
    <n v="3.6"/>
    <n v="0.7"/>
    <n v="24.14"/>
    <n v="6233051"/>
    <x v="3"/>
  </r>
  <r>
    <n v="5"/>
    <x v="252"/>
    <n v="2.56"/>
    <n v="0.43"/>
    <n v="20.37"/>
    <n v="264924"/>
    <x v="3"/>
  </r>
  <r>
    <n v="6"/>
    <x v="222"/>
    <n v="153.01"/>
    <n v="25.6"/>
    <n v="20.09"/>
    <n v="1441226"/>
    <x v="3"/>
  </r>
  <r>
    <n v="7"/>
    <x v="253"/>
    <n v="4.1900000000000004"/>
    <n v="0.64"/>
    <n v="18.03"/>
    <n v="1792225"/>
    <x v="3"/>
  </r>
  <r>
    <n v="8"/>
    <x v="254"/>
    <n v="83.34"/>
    <n v="11.57"/>
    <n v="16.12"/>
    <n v="10444570"/>
    <x v="3"/>
  </r>
  <r>
    <n v="9"/>
    <x v="255"/>
    <n v="13.5"/>
    <n v="1.7"/>
    <n v="14.41"/>
    <n v="6210747"/>
    <x v="3"/>
  </r>
  <r>
    <n v="10"/>
    <x v="256"/>
    <n v="46.19"/>
    <n v="5.61"/>
    <n v="13.82"/>
    <n v="32899568"/>
    <x v="3"/>
  </r>
  <r>
    <n v="11"/>
    <x v="257"/>
    <n v="13.64"/>
    <n v="1.64"/>
    <n v="13.67"/>
    <n v="2426056"/>
    <x v="3"/>
  </r>
  <r>
    <n v="12"/>
    <x v="258"/>
    <n v="3.4"/>
    <n v="0.4"/>
    <n v="13.33"/>
    <n v="143346"/>
    <x v="3"/>
  </r>
  <r>
    <n v="13"/>
    <x v="259"/>
    <n v="38.6"/>
    <n v="4.3499999999999996"/>
    <n v="12.7"/>
    <n v="4131802"/>
    <x v="3"/>
  </r>
  <r>
    <n v="14"/>
    <x v="221"/>
    <n v="43.66"/>
    <n v="4.87"/>
    <n v="12.55"/>
    <n v="336583"/>
    <x v="3"/>
  </r>
  <r>
    <n v="15"/>
    <x v="260"/>
    <n v="5.4"/>
    <n v="0.59"/>
    <n v="12.27"/>
    <n v="67858521"/>
    <x v="3"/>
  </r>
  <r>
    <n v="16"/>
    <x v="261"/>
    <n v="6.15"/>
    <n v="0.65"/>
    <n v="11.82"/>
    <n v="198639"/>
    <x v="3"/>
  </r>
  <r>
    <n v="17"/>
    <x v="136"/>
    <n v="6"/>
    <n v="0.63"/>
    <n v="11.73"/>
    <n v="155766"/>
    <x v="3"/>
  </r>
  <r>
    <n v="18"/>
    <x v="262"/>
    <n v="6.21"/>
    <n v="0.57999999999999996"/>
    <n v="10.34"/>
    <n v="112949"/>
    <x v="3"/>
  </r>
  <r>
    <n v="19"/>
    <x v="263"/>
    <n v="34.799999999999997"/>
    <n v="3.25"/>
    <n v="10.3"/>
    <n v="23455"/>
    <x v="3"/>
  </r>
  <r>
    <n v="20"/>
    <x v="264"/>
    <n v="63.35"/>
    <n v="5.57"/>
    <n v="9.64"/>
    <n v="931921"/>
    <x v="3"/>
  </r>
  <r>
    <n v="21"/>
    <x v="25"/>
    <n v="3.39"/>
    <n v="0.28000000000000003"/>
    <n v="9.09"/>
    <n v="2743"/>
    <x v="3"/>
  </r>
  <r>
    <n v="22"/>
    <x v="19"/>
    <n v="14.26"/>
    <n v="1.18"/>
    <n v="9.02"/>
    <n v="827744"/>
    <x v="3"/>
  </r>
  <r>
    <n v="23"/>
    <x v="16"/>
    <n v="9.6199999999999992"/>
    <n v="0.78"/>
    <n v="8.82"/>
    <n v="139028"/>
    <x v="3"/>
  </r>
  <r>
    <n v="24"/>
    <x v="265"/>
    <n v="8.83"/>
    <n v="0.71"/>
    <n v="8.74"/>
    <n v="931387"/>
    <x v="3"/>
  </r>
  <r>
    <n v="25"/>
    <x v="266"/>
    <n v="24.75"/>
    <n v="1.99"/>
    <n v="8.74"/>
    <n v="29181"/>
    <x v="3"/>
  </r>
  <r>
    <n v="26"/>
    <x v="267"/>
    <n v="22.95"/>
    <n v="1.82"/>
    <n v="8.61"/>
    <n v="1804568"/>
    <x v="3"/>
  </r>
  <r>
    <n v="27"/>
    <x v="268"/>
    <n v="13.95"/>
    <n v="1.1000000000000001"/>
    <n v="8.56"/>
    <n v="4128876"/>
    <x v="3"/>
  </r>
  <r>
    <n v="28"/>
    <x v="269"/>
    <n v="2.6"/>
    <n v="0.2"/>
    <n v="8.33"/>
    <n v="243611"/>
    <x v="3"/>
  </r>
  <r>
    <n v="29"/>
    <x v="270"/>
    <n v="73.8"/>
    <n v="5.65"/>
    <n v="8.2899999999999991"/>
    <n v="5835829"/>
    <x v="3"/>
  </r>
  <r>
    <n v="30"/>
    <x v="271"/>
    <n v="29.53"/>
    <n v="2.25"/>
    <n v="8.25"/>
    <n v="2819065"/>
    <x v="3"/>
  </r>
  <r>
    <n v="31"/>
    <x v="272"/>
    <n v="8.01"/>
    <n v="0.6"/>
    <n v="8.1"/>
    <n v="52126"/>
    <x v="3"/>
  </r>
  <r>
    <n v="32"/>
    <x v="273"/>
    <n v="7"/>
    <n v="0.52"/>
    <n v="8.02"/>
    <n v="123981"/>
    <x v="3"/>
  </r>
  <r>
    <n v="33"/>
    <x v="274"/>
    <n v="99.7"/>
    <n v="7.4"/>
    <n v="8.02"/>
    <n v="167438"/>
    <x v="3"/>
  </r>
  <r>
    <n v="34"/>
    <x v="275"/>
    <n v="2.4300000000000002"/>
    <n v="0.18"/>
    <n v="8"/>
    <n v="864793"/>
    <x v="3"/>
  </r>
  <r>
    <n v="35"/>
    <x v="276"/>
    <n v="26.35"/>
    <n v="1.95"/>
    <n v="7.99"/>
    <n v="325865"/>
    <x v="3"/>
  </r>
  <r>
    <n v="36"/>
    <x v="125"/>
    <n v="23.75"/>
    <n v="1.75"/>
    <n v="7.95"/>
    <n v="21660204"/>
    <x v="3"/>
  </r>
  <r>
    <n v="37"/>
    <x v="277"/>
    <n v="26.36"/>
    <n v="1.9"/>
    <n v="7.77"/>
    <n v="1397644"/>
    <x v="3"/>
  </r>
  <r>
    <n v="38"/>
    <x v="278"/>
    <n v="253.13"/>
    <n v="18.13"/>
    <n v="7.71"/>
    <n v="942628"/>
    <x v="3"/>
  </r>
  <r>
    <n v="39"/>
    <x v="279"/>
    <n v="3.5"/>
    <n v="0.25"/>
    <n v="7.69"/>
    <n v="690200"/>
    <x v="3"/>
  </r>
  <r>
    <n v="40"/>
    <x v="280"/>
    <n v="5.61"/>
    <n v="0.4"/>
    <n v="7.68"/>
    <n v="43871"/>
    <x v="3"/>
  </r>
  <r>
    <n v="41"/>
    <x v="281"/>
    <n v="30.73"/>
    <n v="2.19"/>
    <n v="7.67"/>
    <n v="1740145"/>
    <x v="3"/>
  </r>
  <r>
    <n v="42"/>
    <x v="282"/>
    <n v="5.14"/>
    <n v="0.36"/>
    <n v="7.53"/>
    <n v="16984557"/>
    <x v="3"/>
  </r>
  <r>
    <n v="43"/>
    <x v="283"/>
    <n v="5"/>
    <n v="0.35"/>
    <n v="7.53"/>
    <n v="455737"/>
    <x v="3"/>
  </r>
  <r>
    <n v="44"/>
    <x v="284"/>
    <n v="56.15"/>
    <n v="3.85"/>
    <n v="7.36"/>
    <n v="5823983"/>
    <x v="3"/>
  </r>
  <r>
    <n v="45"/>
    <x v="285"/>
    <n v="22.97"/>
    <n v="1.57"/>
    <n v="7.34"/>
    <n v="62065"/>
    <x v="3"/>
  </r>
  <r>
    <n v="46"/>
    <x v="286"/>
    <n v="128.19"/>
    <n v="8.69"/>
    <n v="7.27"/>
    <n v="2670045"/>
    <x v="3"/>
  </r>
  <r>
    <n v="47"/>
    <x v="287"/>
    <n v="39.54"/>
    <n v="2.63"/>
    <n v="7.13"/>
    <n v="888844"/>
    <x v="3"/>
  </r>
  <r>
    <n v="48"/>
    <x v="288"/>
    <n v="150.44999999999999"/>
    <n v="9.9"/>
    <n v="7.04"/>
    <n v="598620"/>
    <x v="3"/>
  </r>
  <r>
    <n v="49"/>
    <x v="289"/>
    <n v="38.950000000000003"/>
    <n v="2.5499999999999998"/>
    <n v="7.01"/>
    <n v="1431274"/>
    <x v="3"/>
  </r>
  <r>
    <n v="50"/>
    <x v="290"/>
    <n v="7.82"/>
    <n v="0.5"/>
    <n v="6.83"/>
    <n v="35499"/>
    <x v="3"/>
  </r>
  <r>
    <n v="51"/>
    <x v="291"/>
    <n v="2.75"/>
    <n v="0.18"/>
    <n v="6.81"/>
    <n v="76159"/>
    <x v="3"/>
  </r>
  <r>
    <n v="52"/>
    <x v="292"/>
    <n v="109.1"/>
    <n v="6.8"/>
    <n v="6.65"/>
    <n v="1131541"/>
    <x v="3"/>
  </r>
  <r>
    <n v="53"/>
    <x v="293"/>
    <n v="53"/>
    <n v="3.3"/>
    <n v="6.64"/>
    <n v="543145"/>
    <x v="3"/>
  </r>
  <r>
    <n v="54"/>
    <x v="294"/>
    <n v="10.64"/>
    <n v="0.66"/>
    <n v="6.61"/>
    <n v="46108"/>
    <x v="3"/>
  </r>
  <r>
    <n v="55"/>
    <x v="223"/>
    <n v="27.31"/>
    <n v="1.69"/>
    <n v="6.6"/>
    <n v="337643"/>
    <x v="3"/>
  </r>
  <r>
    <n v="56"/>
    <x v="148"/>
    <n v="12.61"/>
    <n v="0.78"/>
    <n v="6.59"/>
    <n v="160220"/>
    <x v="3"/>
  </r>
  <r>
    <n v="57"/>
    <x v="242"/>
    <n v="12.68"/>
    <n v="0.78"/>
    <n v="6.55"/>
    <n v="164813"/>
    <x v="3"/>
  </r>
  <r>
    <n v="58"/>
    <x v="295"/>
    <n v="3.11"/>
    <n v="0.19"/>
    <n v="6.51"/>
    <n v="370572"/>
    <x v="3"/>
  </r>
  <r>
    <n v="59"/>
    <x v="296"/>
    <n v="36.9"/>
    <n v="2.25"/>
    <n v="6.49"/>
    <n v="60385"/>
    <x v="3"/>
  </r>
  <r>
    <n v="60"/>
    <x v="297"/>
    <n v="9.9"/>
    <n v="0.6"/>
    <n v="6.45"/>
    <n v="820438"/>
    <x v="3"/>
  </r>
  <r>
    <n v="61"/>
    <x v="298"/>
    <n v="3.81"/>
    <n v="0.23"/>
    <n v="6.42"/>
    <n v="624812"/>
    <x v="3"/>
  </r>
  <r>
    <n v="62"/>
    <x v="215"/>
    <n v="7.98"/>
    <n v="0.48"/>
    <n v="6.4"/>
    <n v="174071"/>
    <x v="3"/>
  </r>
  <r>
    <n v="63"/>
    <x v="299"/>
    <n v="30.9"/>
    <n v="1.85"/>
    <n v="6.37"/>
    <n v="18737"/>
    <x v="3"/>
  </r>
  <r>
    <n v="64"/>
    <x v="300"/>
    <n v="120.49"/>
    <n v="7.15"/>
    <n v="6.31"/>
    <n v="599477"/>
    <x v="3"/>
  </r>
  <r>
    <n v="65"/>
    <x v="301"/>
    <n v="6.78"/>
    <n v="0.4"/>
    <n v="6.27"/>
    <n v="85246"/>
    <x v="3"/>
  </r>
  <r>
    <n v="66"/>
    <x v="302"/>
    <n v="25.5"/>
    <n v="1.5"/>
    <n v="6.25"/>
    <n v="907198"/>
    <x v="3"/>
  </r>
  <r>
    <n v="67"/>
    <x v="303"/>
    <n v="4.25"/>
    <n v="0.25"/>
    <n v="6.25"/>
    <n v="8284"/>
    <x v="3"/>
  </r>
  <r>
    <n v="68"/>
    <x v="304"/>
    <n v="31.04"/>
    <n v="1.82"/>
    <n v="6.23"/>
    <n v="25525"/>
    <x v="3"/>
  </r>
  <r>
    <n v="69"/>
    <x v="305"/>
    <n v="18.62"/>
    <n v="1.0900000000000001"/>
    <n v="6.22"/>
    <n v="2244882"/>
    <x v="3"/>
  </r>
  <r>
    <n v="70"/>
    <x v="306"/>
    <n v="88.74"/>
    <n v="5.13"/>
    <n v="6.14"/>
    <n v="3293235"/>
    <x v="3"/>
  </r>
  <r>
    <n v="71"/>
    <x v="45"/>
    <n v="103.15"/>
    <n v="5.94"/>
    <n v="6.11"/>
    <n v="5056137"/>
    <x v="3"/>
  </r>
  <r>
    <n v="72"/>
    <x v="307"/>
    <n v="16.5"/>
    <n v="0.95"/>
    <n v="6.11"/>
    <n v="2057207"/>
    <x v="3"/>
  </r>
  <r>
    <n v="73"/>
    <x v="308"/>
    <n v="8.15"/>
    <n v="0.45"/>
    <n v="5.84"/>
    <n v="1091375"/>
    <x v="3"/>
  </r>
  <r>
    <n v="74"/>
    <x v="309"/>
    <n v="32.42"/>
    <n v="1.78"/>
    <n v="5.81"/>
    <n v="2147857"/>
    <x v="3"/>
  </r>
  <r>
    <n v="75"/>
    <x v="310"/>
    <n v="136.49"/>
    <n v="7.49"/>
    <n v="5.81"/>
    <n v="456287"/>
    <x v="3"/>
  </r>
  <r>
    <n v="76"/>
    <x v="311"/>
    <n v="29.91"/>
    <n v="1.64"/>
    <n v="5.8"/>
    <n v="66507"/>
    <x v="3"/>
  </r>
  <r>
    <n v="77"/>
    <x v="312"/>
    <n v="50.2"/>
    <n v="2.75"/>
    <n v="5.8"/>
    <n v="1296419"/>
    <x v="3"/>
  </r>
  <r>
    <n v="78"/>
    <x v="313"/>
    <n v="37.6"/>
    <n v="2.0499999999999998"/>
    <n v="5.77"/>
    <n v="701802"/>
    <x v="3"/>
  </r>
  <r>
    <n v="79"/>
    <x v="314"/>
    <n v="48.95"/>
    <n v="2.66"/>
    <n v="5.75"/>
    <n v="99178"/>
    <x v="3"/>
  </r>
  <r>
    <n v="80"/>
    <x v="315"/>
    <n v="2.8"/>
    <n v="0.15"/>
    <n v="5.66"/>
    <n v="15798"/>
    <x v="3"/>
  </r>
  <r>
    <n v="81"/>
    <x v="316"/>
    <n v="13.08"/>
    <n v="0.69"/>
    <n v="5.61"/>
    <n v="31045"/>
    <x v="3"/>
  </r>
  <r>
    <n v="82"/>
    <x v="317"/>
    <n v="6.6"/>
    <n v="0.35"/>
    <n v="5.6"/>
    <n v="293383"/>
    <x v="3"/>
  </r>
  <r>
    <n v="83"/>
    <x v="318"/>
    <n v="24.29"/>
    <n v="1.27"/>
    <n v="5.54"/>
    <n v="2783910"/>
    <x v="3"/>
  </r>
  <r>
    <n v="84"/>
    <x v="107"/>
    <n v="2.2999999999999998"/>
    <n v="0.12"/>
    <n v="5.5"/>
    <n v="36197"/>
    <x v="3"/>
  </r>
  <r>
    <n v="85"/>
    <x v="319"/>
    <n v="7.7"/>
    <n v="0.4"/>
    <n v="5.48"/>
    <n v="1722440"/>
    <x v="3"/>
  </r>
  <r>
    <n v="86"/>
    <x v="320"/>
    <n v="13.5"/>
    <n v="0.7"/>
    <n v="5.47"/>
    <n v="2173425"/>
    <x v="3"/>
  </r>
  <r>
    <n v="87"/>
    <x v="321"/>
    <n v="21.41"/>
    <n v="1.1100000000000001"/>
    <n v="5.47"/>
    <n v="33798"/>
    <x v="3"/>
  </r>
  <r>
    <n v="88"/>
    <x v="322"/>
    <n v="15.5"/>
    <n v="0.8"/>
    <n v="5.44"/>
    <n v="4036610"/>
    <x v="3"/>
  </r>
  <r>
    <n v="89"/>
    <x v="323"/>
    <n v="8.36"/>
    <n v="0.43"/>
    <n v="5.43"/>
    <n v="7993"/>
    <x v="3"/>
  </r>
  <r>
    <n v="90"/>
    <x v="324"/>
    <n v="26.81"/>
    <n v="1.37"/>
    <n v="5.4"/>
    <n v="10497"/>
    <x v="3"/>
  </r>
  <r>
    <n v="91"/>
    <x v="325"/>
    <n v="10.94"/>
    <n v="0.56000000000000005"/>
    <n v="5.39"/>
    <n v="1266390"/>
    <x v="3"/>
  </r>
  <r>
    <n v="92"/>
    <x v="326"/>
    <n v="17.78"/>
    <n v="0.91"/>
    <n v="5.39"/>
    <n v="31500"/>
    <x v="3"/>
  </r>
  <r>
    <n v="93"/>
    <x v="327"/>
    <n v="10.8"/>
    <n v="0.55000000000000004"/>
    <n v="5.37"/>
    <n v="31486"/>
    <x v="3"/>
  </r>
  <r>
    <n v="94"/>
    <x v="158"/>
    <n v="38.340000000000003"/>
    <n v="1.95"/>
    <n v="5.36"/>
    <n v="221002"/>
    <x v="3"/>
  </r>
  <r>
    <n v="95"/>
    <x v="328"/>
    <n v="14.1"/>
    <n v="0.7"/>
    <n v="5.22"/>
    <n v="540576"/>
    <x v="3"/>
  </r>
  <r>
    <n v="96"/>
    <x v="329"/>
    <n v="148.9"/>
    <n v="7.39"/>
    <n v="5.22"/>
    <n v="21041"/>
    <x v="3"/>
  </r>
  <r>
    <n v="97"/>
    <x v="330"/>
    <n v="122.8"/>
    <n v="6.09"/>
    <n v="5.22"/>
    <n v="626330"/>
    <x v="3"/>
  </r>
  <r>
    <n v="98"/>
    <x v="331"/>
    <n v="3.05"/>
    <n v="0.15"/>
    <n v="5.17"/>
    <n v="822852"/>
    <x v="3"/>
  </r>
  <r>
    <n v="99"/>
    <x v="332"/>
    <n v="3.26"/>
    <n v="0.16"/>
    <n v="5.16"/>
    <n v="131082"/>
    <x v="3"/>
  </r>
  <r>
    <n v="100"/>
    <x v="333"/>
    <n v="27.14"/>
    <n v="1.33"/>
    <n v="5.15"/>
    <n v="47184620"/>
    <x v="3"/>
  </r>
  <r>
    <n v="1"/>
    <x v="334"/>
    <n v="10.06"/>
    <n v="4.16"/>
    <n v="70.510000000000005"/>
    <n v="21759353"/>
    <x v="4"/>
  </r>
  <r>
    <n v="2"/>
    <x v="335"/>
    <n v="2.89"/>
    <n v="0.68"/>
    <n v="30.77"/>
    <n v="3763829"/>
    <x v="4"/>
  </r>
  <r>
    <n v="3"/>
    <x v="270"/>
    <n v="68.150000000000006"/>
    <n v="14.83"/>
    <n v="27.81"/>
    <n v="13370288"/>
    <x v="4"/>
  </r>
  <r>
    <n v="4"/>
    <x v="24"/>
    <n v="6.87"/>
    <n v="1.2"/>
    <n v="21.16"/>
    <n v="543148"/>
    <x v="4"/>
  </r>
  <r>
    <n v="5"/>
    <x v="336"/>
    <n v="3.4"/>
    <n v="0.56999999999999995"/>
    <n v="20.14"/>
    <n v="5026434"/>
    <x v="4"/>
  </r>
  <r>
    <n v="6"/>
    <x v="189"/>
    <n v="25.39"/>
    <n v="4.12"/>
    <n v="19.37"/>
    <n v="557600"/>
    <x v="4"/>
  </r>
  <r>
    <n v="7"/>
    <x v="337"/>
    <n v="5.55"/>
    <n v="0.9"/>
    <n v="19.350000000000001"/>
    <n v="382831"/>
    <x v="4"/>
  </r>
  <r>
    <n v="8"/>
    <x v="125"/>
    <n v="22"/>
    <n v="3.55"/>
    <n v="19.239999999999998"/>
    <n v="27552928"/>
    <x v="4"/>
  </r>
  <r>
    <n v="9"/>
    <x v="338"/>
    <n v="21.45"/>
    <n v="3.35"/>
    <n v="18.510000000000002"/>
    <n v="5456109"/>
    <x v="4"/>
  </r>
  <r>
    <n v="10"/>
    <x v="339"/>
    <n v="5.05"/>
    <n v="0.73"/>
    <n v="16.920000000000002"/>
    <n v="158012"/>
    <x v="4"/>
  </r>
  <r>
    <n v="11"/>
    <x v="340"/>
    <n v="11"/>
    <n v="1.45"/>
    <n v="15.18"/>
    <n v="544481"/>
    <x v="4"/>
  </r>
  <r>
    <n v="12"/>
    <x v="341"/>
    <n v="5.35"/>
    <n v="0.67"/>
    <n v="14.31"/>
    <n v="1929716"/>
    <x v="4"/>
  </r>
  <r>
    <n v="13"/>
    <x v="223"/>
    <n v="25.62"/>
    <n v="3.12"/>
    <n v="13.87"/>
    <n v="669084"/>
    <x v="4"/>
  </r>
  <r>
    <n v="14"/>
    <x v="271"/>
    <n v="27.28"/>
    <n v="3.28"/>
    <n v="13.67"/>
    <n v="3730624"/>
    <x v="4"/>
  </r>
  <r>
    <n v="15"/>
    <x v="342"/>
    <n v="117"/>
    <n v="13.85"/>
    <n v="13.43"/>
    <n v="239816"/>
    <x v="4"/>
  </r>
  <r>
    <n v="16"/>
    <x v="158"/>
    <n v="36.39"/>
    <n v="4.1500000000000004"/>
    <n v="12.87"/>
    <n v="275702"/>
    <x v="4"/>
  </r>
  <r>
    <n v="17"/>
    <x v="261"/>
    <n v="5.5"/>
    <n v="0.6"/>
    <n v="12.24"/>
    <n v="250604"/>
    <x v="4"/>
  </r>
  <r>
    <n v="18"/>
    <x v="343"/>
    <n v="89.54"/>
    <n v="9.5500000000000007"/>
    <n v="11.94"/>
    <n v="570640"/>
    <x v="4"/>
  </r>
  <r>
    <n v="19"/>
    <x v="344"/>
    <n v="14.11"/>
    <n v="1.49"/>
    <n v="11.81"/>
    <n v="9510510"/>
    <x v="4"/>
  </r>
  <r>
    <n v="20"/>
    <x v="345"/>
    <n v="11.4"/>
    <n v="1.2"/>
    <n v="11.76"/>
    <n v="801561"/>
    <x v="4"/>
  </r>
  <r>
    <n v="21"/>
    <x v="346"/>
    <n v="12.3"/>
    <n v="1.25"/>
    <n v="11.31"/>
    <n v="764165"/>
    <x v="4"/>
  </r>
  <r>
    <n v="22"/>
    <x v="347"/>
    <n v="9.2200000000000006"/>
    <n v="0.93"/>
    <n v="11.22"/>
    <n v="67251"/>
    <x v="4"/>
  </r>
  <r>
    <n v="23"/>
    <x v="348"/>
    <n v="3.57"/>
    <n v="0.36"/>
    <n v="11.21"/>
    <n v="52652"/>
    <x v="4"/>
  </r>
  <r>
    <n v="24"/>
    <x v="349"/>
    <n v="76.569999999999993"/>
    <n v="7.69"/>
    <n v="11.16"/>
    <n v="1003266"/>
    <x v="4"/>
  </r>
  <r>
    <n v="25"/>
    <x v="51"/>
    <n v="3.21"/>
    <n v="0.31"/>
    <n v="10.69"/>
    <n v="3598738"/>
    <x v="4"/>
  </r>
  <r>
    <n v="26"/>
    <x v="350"/>
    <n v="33.92"/>
    <n v="3.24"/>
    <n v="10.56"/>
    <n v="1502783"/>
    <x v="4"/>
  </r>
  <r>
    <n v="27"/>
    <x v="351"/>
    <n v="58.99"/>
    <n v="5.57"/>
    <n v="10.43"/>
    <n v="508640"/>
    <x v="4"/>
  </r>
  <r>
    <n v="28"/>
    <x v="243"/>
    <n v="9.65"/>
    <n v="0.91"/>
    <n v="10.41"/>
    <n v="3773817"/>
    <x v="4"/>
  </r>
  <r>
    <n v="29"/>
    <x v="352"/>
    <n v="9.18"/>
    <n v="0.86"/>
    <n v="10.34"/>
    <n v="8656410"/>
    <x v="4"/>
  </r>
  <r>
    <n v="30"/>
    <x v="353"/>
    <n v="19.04"/>
    <n v="1.76"/>
    <n v="10.19"/>
    <n v="909720"/>
    <x v="4"/>
  </r>
  <r>
    <n v="31"/>
    <x v="206"/>
    <n v="9.8000000000000007"/>
    <n v="0.9"/>
    <n v="10.11"/>
    <n v="86269"/>
    <x v="4"/>
  </r>
  <r>
    <n v="32"/>
    <x v="354"/>
    <n v="3.1"/>
    <n v="0.28000000000000003"/>
    <n v="9.93"/>
    <n v="258591"/>
    <x v="4"/>
  </r>
  <r>
    <n v="33"/>
    <x v="355"/>
    <n v="49.79"/>
    <n v="4.45"/>
    <n v="9.81"/>
    <n v="9542102"/>
    <x v="4"/>
  </r>
  <r>
    <n v="34"/>
    <x v="356"/>
    <n v="58.22"/>
    <n v="5.19"/>
    <n v="9.7899999999999991"/>
    <n v="2420652"/>
    <x v="4"/>
  </r>
  <r>
    <n v="35"/>
    <x v="159"/>
    <n v="7.9"/>
    <n v="0.7"/>
    <n v="9.7200000000000006"/>
    <n v="146606"/>
    <x v="4"/>
  </r>
  <r>
    <n v="36"/>
    <x v="357"/>
    <n v="135.75"/>
    <n v="12"/>
    <n v="9.6999999999999993"/>
    <n v="457559"/>
    <x v="4"/>
  </r>
  <r>
    <n v="37"/>
    <x v="358"/>
    <n v="25.83"/>
    <n v="2.2400000000000002"/>
    <n v="9.5"/>
    <n v="3638470"/>
    <x v="4"/>
  </r>
  <r>
    <n v="38"/>
    <x v="276"/>
    <n v="24.4"/>
    <n v="2.0499999999999998"/>
    <n v="9.17"/>
    <n v="174689"/>
    <x v="4"/>
  </r>
  <r>
    <n v="39"/>
    <x v="359"/>
    <n v="4.3499999999999996"/>
    <n v="0.35"/>
    <n v="8.75"/>
    <n v="30207"/>
    <x v="4"/>
  </r>
  <r>
    <n v="40"/>
    <x v="360"/>
    <n v="3.06"/>
    <n v="0.24"/>
    <n v="8.51"/>
    <n v="506284"/>
    <x v="4"/>
  </r>
  <r>
    <n v="41"/>
    <x v="361"/>
    <n v="26.96"/>
    <n v="2.11"/>
    <n v="8.49"/>
    <n v="376848"/>
    <x v="4"/>
  </r>
  <r>
    <n v="42"/>
    <x v="362"/>
    <n v="27.66"/>
    <n v="2.14"/>
    <n v="8.4"/>
    <n v="2066"/>
    <x v="4"/>
  </r>
  <r>
    <n v="43"/>
    <x v="132"/>
    <n v="2.2000000000000002"/>
    <n v="0.17"/>
    <n v="8.3699999999999992"/>
    <n v="635919"/>
    <x v="4"/>
  </r>
  <r>
    <n v="44"/>
    <x v="363"/>
    <n v="5.23"/>
    <n v="0.4"/>
    <n v="8.3699999999999992"/>
    <n v="57216"/>
    <x v="4"/>
  </r>
  <r>
    <n v="45"/>
    <x v="99"/>
    <n v="12.59"/>
    <n v="0.97"/>
    <n v="8.35"/>
    <n v="2983"/>
    <x v="4"/>
  </r>
  <r>
    <n v="46"/>
    <x v="364"/>
    <n v="35.97"/>
    <n v="2.61"/>
    <n v="7.82"/>
    <n v="3998510"/>
    <x v="4"/>
  </r>
  <r>
    <n v="47"/>
    <x v="13"/>
    <n v="3.45"/>
    <n v="0.25"/>
    <n v="7.81"/>
    <n v="6188"/>
    <x v="4"/>
  </r>
  <r>
    <n v="48"/>
    <x v="317"/>
    <n v="6.25"/>
    <n v="0.45"/>
    <n v="7.76"/>
    <n v="355928"/>
    <x v="4"/>
  </r>
  <r>
    <n v="49"/>
    <x v="365"/>
    <n v="8.68"/>
    <n v="0.6"/>
    <n v="7.5"/>
    <n v="73387"/>
    <x v="4"/>
  </r>
  <r>
    <n v="50"/>
    <x v="366"/>
    <n v="49.94"/>
    <n v="3.43"/>
    <n v="7.37"/>
    <n v="1350287"/>
    <x v="4"/>
  </r>
  <r>
    <n v="51"/>
    <x v="367"/>
    <n v="3.7"/>
    <n v="0.25"/>
    <n v="7.25"/>
    <n v="283322"/>
    <x v="4"/>
  </r>
  <r>
    <n v="52"/>
    <x v="368"/>
    <n v="4.74"/>
    <n v="0.32"/>
    <n v="7.24"/>
    <n v="1346461"/>
    <x v="4"/>
  </r>
  <r>
    <n v="53"/>
    <x v="262"/>
    <n v="5.63"/>
    <n v="0.38"/>
    <n v="7.24"/>
    <n v="78523"/>
    <x v="4"/>
  </r>
  <r>
    <n v="54"/>
    <x v="369"/>
    <n v="3.44"/>
    <n v="0.23"/>
    <n v="7.17"/>
    <n v="153624"/>
    <x v="4"/>
  </r>
  <r>
    <n v="55"/>
    <x v="370"/>
    <n v="34.549999999999997"/>
    <n v="2.2999999999999998"/>
    <n v="7.13"/>
    <n v="1376447"/>
    <x v="4"/>
  </r>
  <r>
    <n v="56"/>
    <x v="371"/>
    <n v="126.67"/>
    <n v="8.36"/>
    <n v="7.07"/>
    <n v="3679531"/>
    <x v="4"/>
  </r>
  <r>
    <n v="57"/>
    <x v="372"/>
    <n v="2.2999999999999998"/>
    <n v="0.15"/>
    <n v="6.98"/>
    <n v="41304"/>
    <x v="4"/>
  </r>
  <r>
    <n v="58"/>
    <x v="373"/>
    <n v="126.96"/>
    <n v="8.26"/>
    <n v="6.96"/>
    <n v="14219834"/>
    <x v="4"/>
  </r>
  <r>
    <n v="59"/>
    <x v="374"/>
    <n v="3.23"/>
    <n v="0.21"/>
    <n v="6.95"/>
    <n v="3927509"/>
    <x v="4"/>
  </r>
  <r>
    <n v="60"/>
    <x v="375"/>
    <n v="19.09"/>
    <n v="1.23"/>
    <n v="6.89"/>
    <n v="271309"/>
    <x v="4"/>
  </r>
  <r>
    <n v="61"/>
    <x v="376"/>
    <n v="13.74"/>
    <n v="0.87"/>
    <n v="6.76"/>
    <n v="139758137"/>
    <x v="4"/>
  </r>
  <r>
    <n v="62"/>
    <x v="377"/>
    <n v="2.56"/>
    <n v="0.16"/>
    <n v="6.67"/>
    <n v="1950182"/>
    <x v="4"/>
  </r>
  <r>
    <n v="63"/>
    <x v="269"/>
    <n v="2.4"/>
    <n v="0.15"/>
    <n v="6.67"/>
    <n v="59987"/>
    <x v="4"/>
  </r>
  <r>
    <n v="64"/>
    <x v="378"/>
    <n v="9.6"/>
    <n v="0.6"/>
    <n v="6.67"/>
    <n v="56359"/>
    <x v="4"/>
  </r>
  <r>
    <n v="65"/>
    <x v="281"/>
    <n v="28.54"/>
    <n v="1.78"/>
    <n v="6.65"/>
    <n v="1214577"/>
    <x v="4"/>
  </r>
  <r>
    <n v="66"/>
    <x v="32"/>
    <n v="12.69"/>
    <n v="0.79"/>
    <n v="6.64"/>
    <n v="20386"/>
    <x v="4"/>
  </r>
  <r>
    <n v="67"/>
    <x v="379"/>
    <n v="27.12"/>
    <n v="1.68"/>
    <n v="6.6"/>
    <n v="186693"/>
    <x v="4"/>
  </r>
  <r>
    <n v="68"/>
    <x v="380"/>
    <n v="2.2599999999999998"/>
    <n v="0.14000000000000001"/>
    <n v="6.6"/>
    <n v="2603023"/>
    <x v="4"/>
  </r>
  <r>
    <n v="69"/>
    <x v="381"/>
    <n v="47.49"/>
    <n v="2.94"/>
    <n v="6.6"/>
    <n v="161501"/>
    <x v="4"/>
  </r>
  <r>
    <n v="70"/>
    <x v="295"/>
    <n v="2.92"/>
    <n v="0.18"/>
    <n v="6.57"/>
    <n v="244946"/>
    <x v="4"/>
  </r>
  <r>
    <n v="71"/>
    <x v="382"/>
    <n v="21.3"/>
    <n v="1.3"/>
    <n v="6.5"/>
    <n v="126192"/>
    <x v="4"/>
  </r>
  <r>
    <n v="72"/>
    <x v="383"/>
    <n v="5.01"/>
    <n v="0.3"/>
    <n v="6.37"/>
    <n v="120019"/>
    <x v="4"/>
  </r>
  <r>
    <n v="73"/>
    <x v="384"/>
    <n v="16.57"/>
    <n v="0.98"/>
    <n v="6.29"/>
    <n v="1824300"/>
    <x v="4"/>
  </r>
  <r>
    <n v="74"/>
    <x v="16"/>
    <n v="8.84"/>
    <n v="0.52"/>
    <n v="6.25"/>
    <n v="101026"/>
    <x v="4"/>
  </r>
  <r>
    <n v="75"/>
    <x v="385"/>
    <n v="3"/>
    <n v="0.18"/>
    <n v="6.19"/>
    <n v="130463"/>
    <x v="4"/>
  </r>
  <r>
    <n v="76"/>
    <x v="386"/>
    <n v="63.5"/>
    <n v="3.67"/>
    <n v="6.13"/>
    <n v="6085"/>
    <x v="4"/>
  </r>
  <r>
    <n v="77"/>
    <x v="387"/>
    <n v="148.41999999999999"/>
    <n v="8.57"/>
    <n v="6.13"/>
    <n v="448721"/>
    <x v="4"/>
  </r>
  <r>
    <n v="78"/>
    <x v="18"/>
    <n v="36.799999999999997"/>
    <n v="2.0299999999999998"/>
    <n v="5.84"/>
    <n v="278145"/>
    <x v="4"/>
  </r>
  <r>
    <n v="79"/>
    <x v="116"/>
    <n v="9.11"/>
    <n v="0.49"/>
    <n v="5.68"/>
    <n v="48301"/>
    <x v="4"/>
  </r>
  <r>
    <n v="80"/>
    <x v="388"/>
    <n v="2.98"/>
    <n v="0.16"/>
    <n v="5.67"/>
    <n v="857057"/>
    <x v="4"/>
  </r>
  <r>
    <n v="81"/>
    <x v="389"/>
    <n v="5.79"/>
    <n v="0.31"/>
    <n v="5.66"/>
    <n v="263813"/>
    <x v="4"/>
  </r>
  <r>
    <n v="82"/>
    <x v="390"/>
    <n v="6.76"/>
    <n v="0.36"/>
    <n v="5.62"/>
    <n v="255551"/>
    <x v="4"/>
  </r>
  <r>
    <n v="83"/>
    <x v="391"/>
    <n v="19.53"/>
    <n v="1.03"/>
    <n v="5.58"/>
    <n v="3747"/>
    <x v="4"/>
  </r>
  <r>
    <n v="84"/>
    <x v="392"/>
    <n v="13.98"/>
    <n v="0.73"/>
    <n v="5.51"/>
    <n v="14487"/>
    <x v="4"/>
  </r>
  <r>
    <n v="85"/>
    <x v="393"/>
    <n v="2.3199999999999998"/>
    <n v="0.12"/>
    <n v="5.45"/>
    <n v="64593"/>
    <x v="4"/>
  </r>
  <r>
    <n v="86"/>
    <x v="130"/>
    <n v="3.29"/>
    <n v="0.17"/>
    <n v="5.45"/>
    <n v="10129517"/>
    <x v="4"/>
  </r>
  <r>
    <n v="87"/>
    <x v="394"/>
    <n v="2.69"/>
    <n v="0.14000000000000001"/>
    <n v="5.37"/>
    <n v="14483"/>
    <x v="4"/>
  </r>
  <r>
    <n v="88"/>
    <x v="395"/>
    <n v="23.95"/>
    <n v="1.22"/>
    <n v="5.37"/>
    <n v="31651"/>
    <x v="4"/>
  </r>
  <r>
    <n v="89"/>
    <x v="396"/>
    <n v="12.61"/>
    <n v="0.64"/>
    <n v="5.35"/>
    <n v="685822"/>
    <x v="4"/>
  </r>
  <r>
    <n v="90"/>
    <x v="397"/>
    <n v="16.75"/>
    <n v="0.85"/>
    <n v="5.35"/>
    <n v="537705"/>
    <x v="4"/>
  </r>
  <r>
    <n v="91"/>
    <x v="398"/>
    <n v="3.38"/>
    <n v="0.17"/>
    <n v="5.3"/>
    <n v="678903"/>
    <x v="4"/>
  </r>
  <r>
    <n v="92"/>
    <x v="73"/>
    <n v="5.21"/>
    <n v="0.26"/>
    <n v="5.25"/>
    <n v="396873"/>
    <x v="4"/>
  </r>
  <r>
    <n v="93"/>
    <x v="399"/>
    <n v="19.88"/>
    <n v="0.99"/>
    <n v="5.24"/>
    <n v="198577"/>
    <x v="4"/>
  </r>
  <r>
    <n v="94"/>
    <x v="36"/>
    <n v="3.86"/>
    <n v="0.19"/>
    <n v="5.18"/>
    <n v="9002"/>
    <x v="4"/>
  </r>
  <r>
    <n v="95"/>
    <x v="400"/>
    <n v="6.74"/>
    <n v="0.33"/>
    <n v="5.15"/>
    <n v="41111"/>
    <x v="4"/>
  </r>
  <r>
    <n v="96"/>
    <x v="401"/>
    <n v="3.9"/>
    <n v="0.19"/>
    <n v="5.12"/>
    <n v="21078"/>
    <x v="4"/>
  </r>
  <r>
    <n v="97"/>
    <x v="402"/>
    <n v="69.8"/>
    <n v="3.4"/>
    <n v="5.12"/>
    <n v="366315"/>
    <x v="4"/>
  </r>
  <r>
    <n v="98"/>
    <x v="136"/>
    <n v="5.37"/>
    <n v="0.26"/>
    <n v="5.09"/>
    <n v="66858"/>
    <x v="4"/>
  </r>
  <r>
    <n v="99"/>
    <x v="403"/>
    <n v="111.95"/>
    <n v="5.39"/>
    <n v="5.0599999999999996"/>
    <n v="2416739"/>
    <x v="4"/>
  </r>
  <r>
    <n v="100"/>
    <x v="404"/>
    <n v="2.5099999999999998"/>
    <n v="0.12"/>
    <n v="5.0199999999999996"/>
    <n v="146632"/>
    <x v="4"/>
  </r>
  <r>
    <n v="1"/>
    <x v="405"/>
    <n v="5.69"/>
    <n v="1.05"/>
    <n v="22.63"/>
    <n v="572264"/>
    <x v="5"/>
  </r>
  <r>
    <n v="2"/>
    <x v="347"/>
    <n v="8.2899999999999991"/>
    <n v="1.31"/>
    <n v="18.77"/>
    <n v="103150"/>
    <x v="5"/>
  </r>
  <r>
    <n v="3"/>
    <x v="406"/>
    <n v="3.5"/>
    <n v="0.55000000000000004"/>
    <n v="18.64"/>
    <n v="380048"/>
    <x v="5"/>
  </r>
  <r>
    <n v="4"/>
    <x v="261"/>
    <n v="4.9000000000000004"/>
    <n v="0.65"/>
    <n v="15.29"/>
    <n v="51827"/>
    <x v="5"/>
  </r>
  <r>
    <n v="5"/>
    <x v="407"/>
    <n v="3.48"/>
    <n v="0.42"/>
    <n v="13.73"/>
    <n v="328839"/>
    <x v="5"/>
  </r>
  <r>
    <n v="6"/>
    <x v="19"/>
    <n v="13"/>
    <n v="1.41"/>
    <n v="12.17"/>
    <n v="1395326"/>
    <x v="5"/>
  </r>
  <r>
    <n v="7"/>
    <x v="408"/>
    <n v="15.8"/>
    <n v="1.7"/>
    <n v="12.06"/>
    <n v="50745"/>
    <x v="5"/>
  </r>
  <r>
    <n v="8"/>
    <x v="409"/>
    <n v="9.92"/>
    <n v="1.03"/>
    <n v="11.59"/>
    <n v="848990"/>
    <x v="5"/>
  </r>
  <r>
    <n v="9"/>
    <x v="387"/>
    <n v="139.85"/>
    <n v="13.61"/>
    <n v="10.78"/>
    <n v="423014"/>
    <x v="5"/>
  </r>
  <r>
    <n v="10"/>
    <x v="140"/>
    <n v="11.82"/>
    <n v="1.1299999999999999"/>
    <n v="10.57"/>
    <n v="2870094"/>
    <x v="5"/>
  </r>
  <r>
    <n v="11"/>
    <x v="410"/>
    <n v="18.27"/>
    <n v="1.73"/>
    <n v="10.46"/>
    <n v="136526"/>
    <x v="5"/>
  </r>
  <r>
    <n v="12"/>
    <x v="411"/>
    <n v="12.17"/>
    <n v="1.1100000000000001"/>
    <n v="10.039999999999999"/>
    <n v="4734987"/>
    <x v="5"/>
  </r>
  <r>
    <n v="13"/>
    <x v="412"/>
    <n v="35.950000000000003"/>
    <n v="3.25"/>
    <n v="9.94"/>
    <n v="13840008"/>
    <x v="5"/>
  </r>
  <r>
    <n v="14"/>
    <x v="138"/>
    <n v="22.47"/>
    <n v="2.0099999999999998"/>
    <n v="9.82"/>
    <n v="81892"/>
    <x v="5"/>
  </r>
  <r>
    <n v="15"/>
    <x v="413"/>
    <n v="19.73"/>
    <n v="1.76"/>
    <n v="9.7899999999999991"/>
    <n v="4251685"/>
    <x v="5"/>
  </r>
  <r>
    <n v="16"/>
    <x v="414"/>
    <n v="15.08"/>
    <n v="1.32"/>
    <n v="9.59"/>
    <n v="12488993"/>
    <x v="5"/>
  </r>
  <r>
    <n v="17"/>
    <x v="204"/>
    <n v="3"/>
    <n v="0.25"/>
    <n v="9.09"/>
    <n v="724117"/>
    <x v="5"/>
  </r>
  <r>
    <n v="18"/>
    <x v="415"/>
    <n v="23.85"/>
    <n v="1.9"/>
    <n v="8.66"/>
    <n v="1150624"/>
    <x v="5"/>
  </r>
  <r>
    <n v="19"/>
    <x v="336"/>
    <n v="2.83"/>
    <n v="0.22"/>
    <n v="8.43"/>
    <n v="469621"/>
    <x v="5"/>
  </r>
  <r>
    <n v="20"/>
    <x v="416"/>
    <n v="28.3"/>
    <n v="2.2000000000000002"/>
    <n v="8.43"/>
    <n v="2186496"/>
    <x v="5"/>
  </r>
  <r>
    <n v="21"/>
    <x v="73"/>
    <n v="4.95"/>
    <n v="0.37"/>
    <n v="8.08"/>
    <n v="151010"/>
    <x v="5"/>
  </r>
  <r>
    <n v="22"/>
    <x v="417"/>
    <n v="149.47999999999999"/>
    <n v="11.16"/>
    <n v="8.07"/>
    <n v="2647679"/>
    <x v="5"/>
  </r>
  <r>
    <n v="23"/>
    <x v="72"/>
    <n v="40.25"/>
    <n v="3"/>
    <n v="8.0500000000000007"/>
    <n v="1110953"/>
    <x v="5"/>
  </r>
  <r>
    <n v="24"/>
    <x v="247"/>
    <n v="2.5299999999999998"/>
    <n v="0.18"/>
    <n v="7.66"/>
    <n v="13707519"/>
    <x v="5"/>
  </r>
  <r>
    <n v="25"/>
    <x v="325"/>
    <n v="10.74"/>
    <n v="0.74"/>
    <n v="7.4"/>
    <n v="3639301"/>
    <x v="5"/>
  </r>
  <r>
    <n v="26"/>
    <x v="418"/>
    <n v="2.92"/>
    <n v="0.2"/>
    <n v="7.35"/>
    <n v="750117"/>
    <x v="5"/>
  </r>
  <r>
    <n v="27"/>
    <x v="419"/>
    <n v="8.7799999999999994"/>
    <n v="0.57999999999999996"/>
    <n v="7.07"/>
    <n v="584960"/>
    <x v="5"/>
  </r>
  <r>
    <n v="28"/>
    <x v="420"/>
    <n v="46.52"/>
    <n v="3.07"/>
    <n v="7.07"/>
    <n v="7647573"/>
    <x v="5"/>
  </r>
  <r>
    <n v="29"/>
    <x v="421"/>
    <n v="2.82"/>
    <n v="0.18"/>
    <n v="6.82"/>
    <n v="173272"/>
    <x v="5"/>
  </r>
  <r>
    <n v="30"/>
    <x v="422"/>
    <n v="4.33"/>
    <n v="0.28000000000000003"/>
    <n v="6.79"/>
    <n v="2459973"/>
    <x v="5"/>
  </r>
  <r>
    <n v="31"/>
    <x v="52"/>
    <n v="4.75"/>
    <n v="0.3"/>
    <n v="6.74"/>
    <n v="315678"/>
    <x v="5"/>
  </r>
  <r>
    <n v="32"/>
    <x v="423"/>
    <n v="3.87"/>
    <n v="0.24"/>
    <n v="6.61"/>
    <n v="96192"/>
    <x v="5"/>
  </r>
  <r>
    <n v="33"/>
    <x v="424"/>
    <n v="16.95"/>
    <n v="1.05"/>
    <n v="6.6"/>
    <n v="495980"/>
    <x v="5"/>
  </r>
  <r>
    <n v="34"/>
    <x v="425"/>
    <n v="12.2"/>
    <n v="0.75"/>
    <n v="6.55"/>
    <n v="3603"/>
    <x v="5"/>
  </r>
  <r>
    <n v="35"/>
    <x v="426"/>
    <n v="3.7"/>
    <n v="0.23"/>
    <n v="6.47"/>
    <n v="15632"/>
    <x v="5"/>
  </r>
  <r>
    <n v="36"/>
    <x v="427"/>
    <n v="12"/>
    <n v="0.71"/>
    <n v="6.29"/>
    <n v="4692933"/>
    <x v="5"/>
  </r>
  <r>
    <n v="37"/>
    <x v="394"/>
    <n v="2.5499999999999998"/>
    <n v="0.15"/>
    <n v="6.25"/>
    <n v="36000"/>
    <x v="5"/>
  </r>
  <r>
    <n v="38"/>
    <x v="428"/>
    <n v="3.4"/>
    <n v="0.2"/>
    <n v="6.25"/>
    <n v="18891"/>
    <x v="5"/>
  </r>
  <r>
    <n v="39"/>
    <x v="329"/>
    <n v="137.1"/>
    <n v="8.0399999999999991"/>
    <n v="6.23"/>
    <n v="15685"/>
    <x v="5"/>
  </r>
  <r>
    <n v="40"/>
    <x v="429"/>
    <n v="156.31"/>
    <n v="9.1199999999999992"/>
    <n v="6.2"/>
    <n v="1614808"/>
    <x v="5"/>
  </r>
  <r>
    <n v="41"/>
    <x v="430"/>
    <n v="2.4"/>
    <n v="0.14000000000000001"/>
    <n v="6.19"/>
    <n v="2466503"/>
    <x v="5"/>
  </r>
  <r>
    <n v="42"/>
    <x v="101"/>
    <n v="12.03"/>
    <n v="0.7"/>
    <n v="6.18"/>
    <n v="87228111"/>
    <x v="5"/>
  </r>
  <r>
    <n v="43"/>
    <x v="431"/>
    <n v="5.87"/>
    <n v="0.34"/>
    <n v="6.15"/>
    <n v="5712"/>
    <x v="5"/>
  </r>
  <r>
    <n v="44"/>
    <x v="100"/>
    <n v="6.58"/>
    <n v="0.38"/>
    <n v="6.13"/>
    <n v="50584774"/>
    <x v="5"/>
  </r>
  <r>
    <n v="45"/>
    <x v="130"/>
    <n v="3.12"/>
    <n v="0.18"/>
    <n v="6.12"/>
    <n v="15719436"/>
    <x v="5"/>
  </r>
  <r>
    <n v="46"/>
    <x v="432"/>
    <n v="3.3"/>
    <n v="0.19"/>
    <n v="6.11"/>
    <n v="67562"/>
    <x v="5"/>
  </r>
  <r>
    <n v="47"/>
    <x v="253"/>
    <n v="3.84"/>
    <n v="0.22"/>
    <n v="6.08"/>
    <n v="332518"/>
    <x v="5"/>
  </r>
  <r>
    <n v="48"/>
    <x v="433"/>
    <n v="5.64"/>
    <n v="0.32"/>
    <n v="6.02"/>
    <n v="42021"/>
    <x v="5"/>
  </r>
  <r>
    <n v="49"/>
    <x v="117"/>
    <n v="7.99"/>
    <n v="0.45"/>
    <n v="5.97"/>
    <n v="1580061"/>
    <x v="5"/>
  </r>
  <r>
    <n v="50"/>
    <x v="434"/>
    <n v="18"/>
    <n v="1"/>
    <n v="5.88"/>
    <n v="1266713"/>
    <x v="5"/>
  </r>
  <r>
    <n v="51"/>
    <x v="111"/>
    <n v="12.82"/>
    <n v="0.71"/>
    <n v="5.86"/>
    <n v="1928509"/>
    <x v="5"/>
  </r>
  <r>
    <n v="52"/>
    <x v="383"/>
    <n v="4.71"/>
    <n v="0.26"/>
    <n v="5.84"/>
    <n v="73357"/>
    <x v="5"/>
  </r>
  <r>
    <n v="53"/>
    <x v="435"/>
    <n v="85.15"/>
    <n v="4.6500000000000004"/>
    <n v="5.78"/>
    <n v="520625"/>
    <x v="5"/>
  </r>
  <r>
    <n v="54"/>
    <x v="436"/>
    <n v="5.89"/>
    <n v="0.32"/>
    <n v="5.75"/>
    <n v="537551"/>
    <x v="5"/>
  </r>
  <r>
    <n v="55"/>
    <x v="437"/>
    <n v="17.7"/>
    <n v="0.95"/>
    <n v="5.67"/>
    <n v="161811"/>
    <x v="5"/>
  </r>
  <r>
    <n v="56"/>
    <x v="438"/>
    <n v="63.24"/>
    <n v="3.37"/>
    <n v="5.63"/>
    <n v="2925278"/>
    <x v="5"/>
  </r>
  <r>
    <n v="57"/>
    <x v="185"/>
    <n v="6.51"/>
    <n v="0.34"/>
    <n v="5.51"/>
    <n v="1335154"/>
    <x v="5"/>
  </r>
  <r>
    <n v="58"/>
    <x v="439"/>
    <n v="4.6500000000000004"/>
    <n v="0.24"/>
    <n v="5.44"/>
    <n v="1735338"/>
    <x v="5"/>
  </r>
  <r>
    <n v="59"/>
    <x v="440"/>
    <n v="50.8"/>
    <n v="2.61"/>
    <n v="5.42"/>
    <n v="3154578"/>
    <x v="5"/>
  </r>
  <r>
    <n v="60"/>
    <x v="441"/>
    <n v="5.85"/>
    <n v="0.3"/>
    <n v="5.41"/>
    <n v="2200523"/>
    <x v="5"/>
  </r>
  <r>
    <n v="61"/>
    <x v="442"/>
    <n v="3.9"/>
    <n v="0.2"/>
    <n v="5.39"/>
    <n v="80248"/>
    <x v="5"/>
  </r>
  <r>
    <n v="62"/>
    <x v="116"/>
    <n v="8.6199999999999992"/>
    <n v="0.44"/>
    <n v="5.38"/>
    <n v="43552"/>
    <x v="5"/>
  </r>
  <r>
    <n v="63"/>
    <x v="334"/>
    <n v="5.9"/>
    <n v="0.3"/>
    <n v="5.36"/>
    <n v="683096"/>
    <x v="5"/>
  </r>
  <r>
    <n v="64"/>
    <x v="59"/>
    <n v="2.95"/>
    <n v="0.15"/>
    <n v="5.36"/>
    <n v="159003"/>
    <x v="5"/>
  </r>
  <r>
    <n v="65"/>
    <x v="319"/>
    <n v="7.95"/>
    <n v="0.4"/>
    <n v="5.3"/>
    <n v="2855525"/>
    <x v="5"/>
  </r>
  <r>
    <n v="66"/>
    <x v="443"/>
    <n v="17.25"/>
    <n v="0.85"/>
    <n v="5.18"/>
    <n v="1686824"/>
    <x v="5"/>
  </r>
  <r>
    <n v="67"/>
    <x v="215"/>
    <n v="8.14"/>
    <n v="0.4"/>
    <n v="5.17"/>
    <n v="133264"/>
    <x v="5"/>
  </r>
  <r>
    <n v="68"/>
    <x v="165"/>
    <n v="25.94"/>
    <n v="1.26"/>
    <n v="5.13"/>
    <n v="25574"/>
    <x v="5"/>
  </r>
  <r>
    <n v="69"/>
    <x v="172"/>
    <n v="12.31"/>
    <n v="0.59"/>
    <n v="5.03"/>
    <n v="31865"/>
    <x v="5"/>
  </r>
  <r>
    <n v="70"/>
    <x v="175"/>
    <n v="4.05"/>
    <n v="0.19"/>
    <n v="4.92"/>
    <n v="2147131"/>
    <x v="5"/>
  </r>
  <r>
    <n v="71"/>
    <x v="444"/>
    <n v="6.4"/>
    <n v="0.3"/>
    <n v="4.92"/>
    <n v="768888"/>
    <x v="5"/>
  </r>
  <r>
    <n v="72"/>
    <x v="13"/>
    <n v="3.2"/>
    <n v="0.15"/>
    <n v="4.92"/>
    <n v="8289"/>
    <x v="5"/>
  </r>
  <r>
    <n v="73"/>
    <x v="179"/>
    <n v="11.26"/>
    <n v="0.52"/>
    <n v="4.84"/>
    <n v="5059876"/>
    <x v="5"/>
  </r>
  <r>
    <n v="74"/>
    <x v="445"/>
    <n v="171.39"/>
    <n v="7.91"/>
    <n v="4.84"/>
    <n v="16096025"/>
    <x v="5"/>
  </r>
  <r>
    <n v="75"/>
    <x v="446"/>
    <n v="16.309999999999999"/>
    <n v="0.74"/>
    <n v="4.75"/>
    <n v="3738194"/>
    <x v="5"/>
  </r>
  <r>
    <n v="76"/>
    <x v="211"/>
    <n v="18.75"/>
    <n v="0.85"/>
    <n v="4.75"/>
    <n v="597593"/>
    <x v="5"/>
  </r>
  <r>
    <n v="77"/>
    <x v="174"/>
    <n v="8.6199999999999992"/>
    <n v="0.39"/>
    <n v="4.74"/>
    <n v="965079"/>
    <x v="5"/>
  </r>
  <r>
    <n v="78"/>
    <x v="169"/>
    <n v="9.0399999999999991"/>
    <n v="0.4"/>
    <n v="4.63"/>
    <n v="24764"/>
    <x v="5"/>
  </r>
  <r>
    <n v="79"/>
    <x v="299"/>
    <n v="28.75"/>
    <n v="1.25"/>
    <n v="4.55"/>
    <n v="7102"/>
    <x v="5"/>
  </r>
  <r>
    <n v="80"/>
    <x v="447"/>
    <n v="24.23"/>
    <n v="1.05"/>
    <n v="4.53"/>
    <n v="494860"/>
    <x v="5"/>
  </r>
  <r>
    <n v="81"/>
    <x v="107"/>
    <n v="2.3199999999999998"/>
    <n v="0.1"/>
    <n v="4.5"/>
    <n v="209334"/>
    <x v="5"/>
  </r>
  <r>
    <n v="82"/>
    <x v="448"/>
    <n v="13.09"/>
    <n v="0.55000000000000004"/>
    <n v="4.3899999999999997"/>
    <n v="45591"/>
    <x v="5"/>
  </r>
  <r>
    <n v="83"/>
    <x v="449"/>
    <n v="4.6399999999999997"/>
    <n v="0.19"/>
    <n v="4.37"/>
    <n v="18737"/>
    <x v="5"/>
  </r>
  <r>
    <n v="84"/>
    <x v="377"/>
    <n v="2.4"/>
    <n v="0.1"/>
    <n v="4.3499999999999996"/>
    <n v="2570785"/>
    <x v="5"/>
  </r>
  <r>
    <n v="85"/>
    <x v="151"/>
    <n v="34.619999999999997"/>
    <n v="1.44"/>
    <n v="4.34"/>
    <n v="148427"/>
    <x v="5"/>
  </r>
  <r>
    <n v="86"/>
    <x v="450"/>
    <n v="39.1"/>
    <n v="1.6"/>
    <n v="4.2699999999999996"/>
    <n v="1765986"/>
    <x v="5"/>
  </r>
  <r>
    <n v="87"/>
    <x v="451"/>
    <n v="4.9000000000000004"/>
    <n v="0.2"/>
    <n v="4.26"/>
    <n v="47767"/>
    <x v="5"/>
  </r>
  <r>
    <n v="88"/>
    <x v="452"/>
    <n v="29.69"/>
    <n v="1.21"/>
    <n v="4.25"/>
    <n v="369113"/>
    <x v="5"/>
  </r>
  <r>
    <n v="89"/>
    <x v="205"/>
    <n v="54.09"/>
    <n v="2.1800000000000002"/>
    <n v="4.2"/>
    <n v="1636403"/>
    <x v="5"/>
  </r>
  <r>
    <n v="90"/>
    <x v="453"/>
    <n v="4.22"/>
    <n v="0.17"/>
    <n v="4.2"/>
    <n v="17385"/>
    <x v="5"/>
  </r>
  <r>
    <n v="91"/>
    <x v="454"/>
    <n v="44.57"/>
    <n v="1.79"/>
    <n v="4.18"/>
    <n v="2420"/>
    <x v="5"/>
  </r>
  <r>
    <n v="92"/>
    <x v="455"/>
    <n v="2.74"/>
    <n v="0.11"/>
    <n v="4.18"/>
    <n v="42913"/>
    <x v="5"/>
  </r>
  <r>
    <n v="93"/>
    <x v="456"/>
    <n v="40"/>
    <n v="1.6"/>
    <n v="4.17"/>
    <n v="120929"/>
    <x v="5"/>
  </r>
  <r>
    <n v="94"/>
    <x v="139"/>
    <n v="7.26"/>
    <n v="0.28999999999999998"/>
    <n v="4.16"/>
    <n v="1881236"/>
    <x v="5"/>
  </r>
  <r>
    <n v="95"/>
    <x v="457"/>
    <n v="2.5099999999999998"/>
    <n v="0.1"/>
    <n v="4.1500000000000004"/>
    <n v="5126456"/>
    <x v="5"/>
  </r>
  <r>
    <n v="96"/>
    <x v="458"/>
    <n v="9.82"/>
    <n v="0.39"/>
    <n v="4.1399999999999997"/>
    <n v="114757"/>
    <x v="5"/>
  </r>
  <r>
    <n v="97"/>
    <x v="459"/>
    <n v="3.02"/>
    <n v="0.12"/>
    <n v="4.13"/>
    <n v="75234"/>
    <x v="5"/>
  </r>
  <r>
    <n v="98"/>
    <x v="18"/>
    <n v="34.770000000000003"/>
    <n v="1.38"/>
    <n v="4.13"/>
    <n v="239148"/>
    <x v="5"/>
  </r>
  <r>
    <n v="99"/>
    <x v="460"/>
    <n v="26.26"/>
    <n v="1.04"/>
    <n v="4.12"/>
    <n v="211383"/>
    <x v="5"/>
  </r>
  <r>
    <n v="100"/>
    <x v="345"/>
    <n v="10.199999999999999"/>
    <n v="0.4"/>
    <n v="4.08"/>
    <n v="507592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61">
  <r>
    <s v="22nd Century Group (XXII) "/>
    <x v="0"/>
  </r>
  <r>
    <s v="Abiomed (ABMD) "/>
    <x v="0"/>
  </r>
  <r>
    <s v="Acacia Communications (ACIA) "/>
    <x v="0"/>
  </r>
  <r>
    <s v="Accuray (ARAY) "/>
    <x v="0"/>
  </r>
  <r>
    <s v="Achaogen (AKAO) "/>
    <x v="0"/>
  </r>
  <r>
    <s v="ACM Research Cl A (ACMR) "/>
    <x v="1"/>
  </r>
  <r>
    <s v="Adamis Pharmaceuticals (ADMP) "/>
    <x v="0"/>
  </r>
  <r>
    <s v="Adesto Technologies (IOTS) "/>
    <x v="0"/>
  </r>
  <r>
    <s v="ADMA Biologics (ADMA) "/>
    <x v="0"/>
  </r>
  <r>
    <s v="Advanced Micro Devices (AMD) "/>
    <x v="0"/>
  </r>
  <r>
    <s v="Adverum Biotechnologies (ADVM) "/>
    <x v="2"/>
  </r>
  <r>
    <s v="Aegean Marine Petroleum Network (ANW) "/>
    <x v="0"/>
  </r>
  <r>
    <s v="Aeglea BioTherapeutics (AGLE) "/>
    <x v="0"/>
  </r>
  <r>
    <s v="Alaska Communications Systems Group (ALSK) "/>
    <x v="0"/>
  </r>
  <r>
    <s v="Alkermes (ALKS) "/>
    <x v="0"/>
  </r>
  <r>
    <s v="Allena Pharmaceuticals (ALNA) "/>
    <x v="0"/>
  </r>
  <r>
    <s v="Altair Engineering Cl A (ALTR) "/>
    <x v="0"/>
  </r>
  <r>
    <s v="Ambarella (AMBA) "/>
    <x v="0"/>
  </r>
  <r>
    <s v="AMC Entertainment Holding (AMC) "/>
    <x v="0"/>
  </r>
  <r>
    <s v="American Financial Group (AFG) "/>
    <x v="0"/>
  </r>
  <r>
    <s v="Ampio Pharmaceuticals (AMPE) "/>
    <x v="0"/>
  </r>
  <r>
    <s v="Anavex Life Sciences (AVXL) "/>
    <x v="0"/>
  </r>
  <r>
    <s v="Anixter International (AXE) "/>
    <x v="0"/>
  </r>
  <r>
    <s v="Apellis Pharmaceuticals (APLS) "/>
    <x v="0"/>
  </r>
  <r>
    <s v="Apollo Medical Holdings (AMEH) "/>
    <x v="0"/>
  </r>
  <r>
    <s v="Aquantia (AQ) "/>
    <x v="1"/>
  </r>
  <r>
    <s v="ArcBest (ARCB) "/>
    <x v="0"/>
  </r>
  <r>
    <s v="Archrock (AROC) "/>
    <x v="0"/>
  </r>
  <r>
    <s v="Arcturus Therapeutics (ARCT) "/>
    <x v="0"/>
  </r>
  <r>
    <s v="ARMO Biosciences (ARMO) "/>
    <x v="2"/>
  </r>
  <r>
    <s v="Array BioPharma (ARRY) "/>
    <x v="0"/>
  </r>
  <r>
    <s v="Arsanis (ASNS) "/>
    <x v="0"/>
  </r>
  <r>
    <s v="Ashland Global Holdings (ASH) "/>
    <x v="0"/>
  </r>
  <r>
    <s v="Asia Pacific Wire&amp;Cable (APWC) "/>
    <x v="0"/>
  </r>
  <r>
    <s v="Associated Capital Group Cl A (AC) "/>
    <x v="0"/>
  </r>
  <r>
    <s v="Asta Funding (ASFI) "/>
    <x v="0"/>
  </r>
  <r>
    <s v="ATA ADR (ATAI) "/>
    <x v="0"/>
  </r>
  <r>
    <s v="Atara Biotherapeutics (ATRA) "/>
    <x v="2"/>
  </r>
  <r>
    <s v="athenahealth (ATHN) "/>
    <x v="0"/>
  </r>
  <r>
    <s v="Atlantic Capital Bancshares (ACBI) "/>
    <x v="0"/>
  </r>
  <r>
    <s v="Atomera (ATOM) "/>
    <x v="1"/>
  </r>
  <r>
    <s v="Autoliv (ALV) "/>
    <x v="0"/>
  </r>
  <r>
    <s v="AVEO Pharmaceuticals (AVEO) "/>
    <x v="0"/>
  </r>
  <r>
    <s v="Avon Products (AVP) "/>
    <x v="0"/>
  </r>
  <r>
    <s v="Aware (AWRE) "/>
    <x v="0"/>
  </r>
  <r>
    <s v="Aytu BioScience (AYTU) "/>
    <x v="0"/>
  </r>
  <r>
    <s v="AzurRx BioPharma (AZRX) "/>
    <x v="0"/>
  </r>
  <r>
    <s v="Babcock&amp;Wilcox Enterprises (BW) "/>
    <x v="2"/>
  </r>
  <r>
    <s v="Barclays Bank iPath S&amp;P 500 VIX Mid Term Futures ETN (VXZ) "/>
    <x v="0"/>
  </r>
  <r>
    <s v="Barclays Bank iPath S&amp;P 500 VIX Short Term Futures ETN (VXX) "/>
    <x v="2"/>
  </r>
  <r>
    <s v="BeiGene ADR (BGNE) "/>
    <x v="0"/>
  </r>
  <r>
    <s v="BioCryst Pharmaceuticals (BCRX) "/>
    <x v="0"/>
  </r>
  <r>
    <s v="Biostar Pharmaceuticals (BSPM) "/>
    <x v="1"/>
  </r>
  <r>
    <s v="BMO REX MicroSectors FANG+ Index -3X Inverse Leveraged ETN (FNGD) "/>
    <x v="2"/>
  </r>
  <r>
    <s v="BofI Holding (BOFI) "/>
    <x v="0"/>
  </r>
  <r>
    <s v="Boot Barn Holdings (BOOT) "/>
    <x v="0"/>
  </r>
  <r>
    <s v="Borqs Technologies (BRQS) "/>
    <x v="0"/>
  </r>
  <r>
    <s v="BrasilAgro-Companhia Brasileira de Propriedades Agricolas ADR (LND) "/>
    <x v="0"/>
  </r>
  <r>
    <s v="Bravo Brio Restaurant Group (BBRG) "/>
    <x v="0"/>
  </r>
  <r>
    <s v="Bridgford Foods (BRID) "/>
    <x v="0"/>
  </r>
  <r>
    <s v="Broadwind Energy (BWEN) "/>
    <x v="0"/>
  </r>
  <r>
    <s v="Brunswick (BC) "/>
    <x v="0"/>
  </r>
  <r>
    <s v="CACI International Cl A (CACI) "/>
    <x v="0"/>
  </r>
  <r>
    <s v="California Resources (CRC) "/>
    <x v="0"/>
  </r>
  <r>
    <s v="Calithera Biosciences (CALA) "/>
    <x v="0"/>
  </r>
  <r>
    <s v="Calix (CALX) "/>
    <x v="0"/>
  </r>
  <r>
    <s v="Callidus Software (CALD) "/>
    <x v="0"/>
  </r>
  <r>
    <s v="Cardtronics Cl A (CATM) "/>
    <x v="0"/>
  </r>
  <r>
    <s v="Casa Systems (CASA) "/>
    <x v="0"/>
  </r>
  <r>
    <s v="Cascadian Therapeutics (CASC) "/>
    <x v="2"/>
  </r>
  <r>
    <s v="CASI Pharmaceuticals (CASI) "/>
    <x v="0"/>
  </r>
  <r>
    <s v="Castlight Health Cl B (CSLT) "/>
    <x v="0"/>
  </r>
  <r>
    <s v="Catalyst Biosciences (CBIO) "/>
    <x v="1"/>
  </r>
  <r>
    <s v="Central Puerto ADR (CEPU) "/>
    <x v="0"/>
  </r>
  <r>
    <s v="Centrus Energy (LEU) "/>
    <x v="2"/>
  </r>
  <r>
    <s v="Cerecor (CERC) "/>
    <x v="0"/>
  </r>
  <r>
    <s v="CGG ADR (CGG) "/>
    <x v="1"/>
  </r>
  <r>
    <s v="Chanticleer Holdings (BURG) "/>
    <x v="0"/>
  </r>
  <r>
    <s v="Checkpoint Therapeutics (CKPT) "/>
    <x v="0"/>
  </r>
  <r>
    <s v="Cheetah Mobile ADR (CMCM) "/>
    <x v="0"/>
  </r>
  <r>
    <s v="China Auto Logistics (CALI) "/>
    <x v="0"/>
  </r>
  <r>
    <s v="China Cord Blood (CO) "/>
    <x v="0"/>
  </r>
  <r>
    <s v="China Distance Education Holdings ADR (DL) "/>
    <x v="0"/>
  </r>
  <r>
    <s v="China Internet Nationwide Financial Services (CIFS) "/>
    <x v="2"/>
  </r>
  <r>
    <s v="China Lending (CLDC) "/>
    <x v="0"/>
  </r>
  <r>
    <s v="China Southern Airlines ADR (ZNH) "/>
    <x v="0"/>
  </r>
  <r>
    <s v="Ciena (CIEN) "/>
    <x v="0"/>
  </r>
  <r>
    <s v="Cimpress (CMPR) "/>
    <x v="2"/>
  </r>
  <r>
    <s v="Citigroup Global Markets Holdings VelocityShares ETN Daily 4X Long USD vs. AUD Index (DAUD) "/>
    <x v="0"/>
  </r>
  <r>
    <s v="ClearOne (CLRO) "/>
    <x v="0"/>
  </r>
  <r>
    <s v="Cleveland BioLabs (CBLI) "/>
    <x v="0"/>
  </r>
  <r>
    <s v="CNH Industrial (CNHI) "/>
    <x v="0"/>
  </r>
  <r>
    <s v="Coda Octopus Group (CODA) "/>
    <x v="0"/>
  </r>
  <r>
    <s v="Co-Diagnostics (CODX) "/>
    <x v="0"/>
  </r>
  <r>
    <s v="Cohbar (CWBR) "/>
    <x v="0"/>
  </r>
  <r>
    <s v="Collegium Pharmaceutical (COLL) "/>
    <x v="0"/>
  </r>
  <r>
    <s v="Community Bankers Trust (ESXB) "/>
    <x v="0"/>
  </r>
  <r>
    <s v="Community West Bancshares (CWBC) "/>
    <x v="0"/>
  </r>
  <r>
    <s v="CONMED (CNMD) "/>
    <x v="0"/>
  </r>
  <r>
    <s v="Constellium Cl A (CSTM) "/>
    <x v="0"/>
  </r>
  <r>
    <s v="Corcept Therapeutics (CORT) "/>
    <x v="0"/>
  </r>
  <r>
    <s v="CounterPath (CPAH) "/>
    <x v="0"/>
  </r>
  <r>
    <s v="CRH Medical (CRHM) "/>
    <x v="0"/>
  </r>
  <r>
    <s v="CVR Refining (CVRR) "/>
    <x v="0"/>
  </r>
  <r>
    <s v="Cyanotech (CYAN) "/>
    <x v="0"/>
  </r>
  <r>
    <s v="CymaBay Therapeutics (CBAY) "/>
    <x v="0"/>
  </r>
  <r>
    <s v="Daqo New Energy ADR (DQ) "/>
    <x v="0"/>
  </r>
  <r>
    <s v="Dawson Geophysical (DWSN) "/>
    <x v="0"/>
  </r>
  <r>
    <s v="DB Agriculture Double Long ETN (DAG) "/>
    <x v="0"/>
  </r>
  <r>
    <s v="DB Commodity Double Long ETN (DYY) "/>
    <x v="2"/>
  </r>
  <r>
    <s v="Deckers Outdoor (DECK) "/>
    <x v="0"/>
  </r>
  <r>
    <s v="Diana Containerships (DCIX) "/>
    <x v="0"/>
  </r>
  <r>
    <s v="Digital Ally (DGLY) "/>
    <x v="0"/>
  </r>
  <r>
    <s v="Digital Realty Trust (DLR) "/>
    <x v="0"/>
  </r>
  <r>
    <s v="Direxion Daily Brazil Bull 3X Shares (BRZU) "/>
    <x v="0"/>
  </r>
  <r>
    <s v="Direxion Daily Developed Markets Bear 3x Shares (DPK) "/>
    <x v="2"/>
  </r>
  <r>
    <s v="Direxion Daily Emerging Markets Bear 3x Shares (EDZ) "/>
    <x v="1"/>
  </r>
  <r>
    <s v="Direxion Daily Emerging Markets Bull 3x Shares (EDC) "/>
    <x v="0"/>
  </r>
  <r>
    <s v="Direxion Daily Energy Bear 3x Shares (ERY) "/>
    <x v="1"/>
  </r>
  <r>
    <s v="Direxion Daily Financial Bear 3x Shares (FAZ) "/>
    <x v="2"/>
  </r>
  <r>
    <s v="Direxion Daily FTSE China Bear 3X Shares (YANG) "/>
    <x v="1"/>
  </r>
  <r>
    <s v="Direxion Daily Gold Miners Index Bear 3x Shares (DUST) "/>
    <x v="2"/>
  </r>
  <r>
    <s v="Direxion Daily Homebuilders&amp;Supplies Bull 3X Shares (NAIL) "/>
    <x v="0"/>
  </r>
  <r>
    <s v="Direxion Daily Junior Gold Miners Index Bear 3X Shares (JDST) "/>
    <x v="2"/>
  </r>
  <r>
    <s v="Direxion Daily Latin America Bull 3X Shares (LBJ) "/>
    <x v="0"/>
  </r>
  <r>
    <s v="Direxion Daily Mid Cap Bear 3x Shares (MIDZ) "/>
    <x v="2"/>
  </r>
  <r>
    <s v="Direxion Daily MSCI India Bull 3X Shares (INDL) "/>
    <x v="0"/>
  </r>
  <r>
    <s v="Direxion Daily MSCI Mexico Bull 3X Shares (MEXX) "/>
    <x v="0"/>
  </r>
  <r>
    <s v="Direxion Daily Natural Gas Related Bear 3x Shares (GASX) "/>
    <x v="1"/>
  </r>
  <r>
    <s v="Direxion Daily Real Estate Bear 3x Shares (DRV) "/>
    <x v="2"/>
  </r>
  <r>
    <s v="Direxion Daily Real Estate Bull 3x Shares (DRN) "/>
    <x v="0"/>
  </r>
  <r>
    <s v="Direxion Daily Regional Banks Bear 3X Shares (WDRW) "/>
    <x v="0"/>
  </r>
  <r>
    <s v="Direxion Daily Retail Bull 3x Shares (RETL) "/>
    <x v="0"/>
  </r>
  <r>
    <s v="Direxion Daily Russia Bear 3x Shares (RUSS) "/>
    <x v="2"/>
  </r>
  <r>
    <s v="Direxion Daily S&amp;P 500 Bear 3X Shares (SPXS) "/>
    <x v="2"/>
  </r>
  <r>
    <s v="Direxion Daily S&amp;P Biotech Bear 3X Shares (LABD) "/>
    <x v="3"/>
  </r>
  <r>
    <s v="Direxion Daily S&amp;P Biotech Bull 3X Shares (LABU) "/>
    <x v="0"/>
  </r>
  <r>
    <s v="Direxion Daily S&amp;P Oil&amp;Gas Exp.&amp;Prod. Bear 3X Shares (DRIP) "/>
    <x v="1"/>
  </r>
  <r>
    <s v="Direxion Daily Semiconductor Bear 3X Shares (SOXS) "/>
    <x v="1"/>
  </r>
  <r>
    <s v="Direxion Daily Semiconductor Bull 3X Shares (SOXL) "/>
    <x v="0"/>
  </r>
  <r>
    <s v="Direxion Daily Small Cap Bear 3x Shares (TZA) "/>
    <x v="2"/>
  </r>
  <r>
    <s v="Direxion Daily South Korea Bull 3X Shares (KORU) "/>
    <x v="0"/>
  </r>
  <r>
    <s v="Direxion Daily Technology Bear 3x Shares (TECS) "/>
    <x v="2"/>
  </r>
  <r>
    <s v="Direxion Daily Technology Bull 3x Shares (TECL) "/>
    <x v="0"/>
  </r>
  <r>
    <s v="DPW Holdings (DPW) "/>
    <x v="0"/>
  </r>
  <r>
    <s v="DropCar (DCAR) "/>
    <x v="0"/>
  </r>
  <r>
    <s v="Dycom Industries (DY) "/>
    <x v="0"/>
  </r>
  <r>
    <s v="Dynavax Technologies (DVAX) "/>
    <x v="0"/>
  </r>
  <r>
    <s v="Eastside Distilling (EAST) "/>
    <x v="0"/>
  </r>
  <r>
    <s v="eBay (EBAY) "/>
    <x v="0"/>
  </r>
  <r>
    <s v="EDAP TMS ADR (EDAP) "/>
    <x v="0"/>
  </r>
  <r>
    <s v="eGain (EGAN) "/>
    <x v="0"/>
  </r>
  <r>
    <s v="Eldorado Resorts (ERI) "/>
    <x v="0"/>
  </r>
  <r>
    <s v="Electronic Arts (EA) "/>
    <x v="0"/>
  </r>
  <r>
    <s v="Emmis Communications Cl A (EMMS) "/>
    <x v="0"/>
  </r>
  <r>
    <s v="Empire Resorts (NYNY) "/>
    <x v="2"/>
  </r>
  <r>
    <s v="ENDRA Life Sciences (NDRA) "/>
    <x v="0"/>
  </r>
  <r>
    <s v="Energizer Holdings (ENR) "/>
    <x v="0"/>
  </r>
  <r>
    <s v="Energous (WATT) "/>
    <x v="0"/>
  </r>
  <r>
    <s v="Energy Recovery (ERII) "/>
    <x v="0"/>
  </r>
  <r>
    <s v="Enova International (ENVA) "/>
    <x v="2"/>
  </r>
  <r>
    <s v="Enphase Energy (ENPH) "/>
    <x v="2"/>
  </r>
  <r>
    <s v="Erin Energy (ERN) "/>
    <x v="0"/>
  </r>
  <r>
    <s v="Esquire Financial Holdings (ESQ) "/>
    <x v="0"/>
  </r>
  <r>
    <s v="ETFMG Alternative Harvest ETF (MJX) "/>
    <x v="0"/>
  </r>
  <r>
    <s v="Ever-Glory International Group (EVK) "/>
    <x v="2"/>
  </r>
  <r>
    <s v="Extreme Networks (EXTR) "/>
    <x v="0"/>
  </r>
  <r>
    <s v="Ezcorp Cl A (EZPW) "/>
    <x v="0"/>
  </r>
  <r>
    <s v="Fabrinet (FN) "/>
    <x v="0"/>
  </r>
  <r>
    <s v="Ferrari (RACE) "/>
    <x v="0"/>
  </r>
  <r>
    <s v="Finisar (FNSR) "/>
    <x v="0"/>
  </r>
  <r>
    <s v="First Savings Financial Group (FSFG) "/>
    <x v="0"/>
  </r>
  <r>
    <s v="Flexion Therapeutics (FLXN) "/>
    <x v="0"/>
  </r>
  <r>
    <s v="Forescout Technologies (FSCT) "/>
    <x v="0"/>
  </r>
  <r>
    <s v="Forestar Group (FOR) "/>
    <x v="2"/>
  </r>
  <r>
    <s v="Forterra (FRTA) "/>
    <x v="0"/>
  </r>
  <r>
    <s v="Fossil Group (FOSL) "/>
    <x v="0"/>
  </r>
  <r>
    <s v="FTS International (FTSI) "/>
    <x v="0"/>
  </r>
  <r>
    <s v="Fuling Global (FORK) "/>
    <x v="2"/>
  </r>
  <r>
    <s v="Galectin Therapeutics (GALT) "/>
    <x v="0"/>
  </r>
  <r>
    <s v="Galmed Pharmaceuticals (GLMD) "/>
    <x v="0"/>
  </r>
  <r>
    <s v="GDS Holdings ADR (GDS) "/>
    <x v="2"/>
  </r>
  <r>
    <s v="Genius Brands International (GNUS) "/>
    <x v="0"/>
  </r>
  <r>
    <s v="Geron (GERN) "/>
    <x v="2"/>
  </r>
  <r>
    <s v="Global Eagle Entertainment (ENT) "/>
    <x v="0"/>
  </r>
  <r>
    <s v="Gorman-Rupp (GRC) "/>
    <x v="0"/>
  </r>
  <r>
    <s v="Graham (GHM) "/>
    <x v="0"/>
  </r>
  <r>
    <s v="Grana y Montero ADR (GRAM) "/>
    <x v="2"/>
  </r>
  <r>
    <s v="GRAVITY ADR (GRVY) "/>
    <x v="0"/>
  </r>
  <r>
    <s v="Green Bancorp (GNBC) "/>
    <x v="0"/>
  </r>
  <r>
    <s v="Grupo Financiero Galicia ADR (GGAL) "/>
    <x v="0"/>
  </r>
  <r>
    <s v="Haemonetics (HAE) "/>
    <x v="0"/>
  </r>
  <r>
    <s v="Hamilton Bancorp (HBK) "/>
    <x v="0"/>
  </r>
  <r>
    <s v="Harris Corp. (HRS) "/>
    <x v="0"/>
  </r>
  <r>
    <s v="Hawaiian Holdings (HA) "/>
    <x v="0"/>
  </r>
  <r>
    <s v="Haynes International (HAYN) "/>
    <x v="0"/>
  </r>
  <r>
    <s v="Heat Biologics (HTBX) "/>
    <x v="2"/>
  </r>
  <r>
    <s v="Helios&amp;Matheson Analytics (HMNY) "/>
    <x v="0"/>
  </r>
  <r>
    <s v="Hexindai ADR (HX) "/>
    <x v="0"/>
  </r>
  <r>
    <s v="Histogenics (HSGX) "/>
    <x v="0"/>
  </r>
  <r>
    <s v="Horizon Global (HZN) "/>
    <x v="0"/>
  </r>
  <r>
    <s v="I.D. Systems (IDSY) "/>
    <x v="0"/>
  </r>
  <r>
    <s v="Identiv (INVE) "/>
    <x v="0"/>
  </r>
  <r>
    <s v="Immersion (IMMR) "/>
    <x v="2"/>
  </r>
  <r>
    <s v="Immunogen (IMGN) "/>
    <x v="0"/>
  </r>
  <r>
    <s v="Immuron ADR (IMRN) "/>
    <x v="2"/>
  </r>
  <r>
    <s v="Infinera (INFN) "/>
    <x v="0"/>
  </r>
  <r>
    <s v="InflaRx (IFRX) "/>
    <x v="0"/>
  </r>
  <r>
    <s v="Inphi (IPHI) "/>
    <x v="0"/>
  </r>
  <r>
    <s v="Inspired Entertainment (INSE) "/>
    <x v="0"/>
  </r>
  <r>
    <s v="Intellicheck (IDN) "/>
    <x v="0"/>
  </r>
  <r>
    <s v="Intersections (INTX) "/>
    <x v="0"/>
  </r>
  <r>
    <s v="Intrexon (XON) "/>
    <x v="0"/>
  </r>
  <r>
    <s v="ION Geophysical (IO) "/>
    <x v="0"/>
  </r>
  <r>
    <s v="Iovance Biotherapeutics (IOVA) "/>
    <x v="0"/>
  </r>
  <r>
    <s v="iPath Global Carbon ETN (GRN) "/>
    <x v="2"/>
  </r>
  <r>
    <s v="iPath US Treasury Long Bond Bear ETN (DLBS) "/>
    <x v="0"/>
  </r>
  <r>
    <s v="Iteris (ITI) "/>
    <x v="0"/>
  </r>
  <r>
    <s v="Johnson Outdoors Cl A (JOUT) "/>
    <x v="0"/>
  </r>
  <r>
    <s v="Juniper Pharmaceuticals (JNP) "/>
    <x v="2"/>
  </r>
  <r>
    <s v="Karyopharm Therapeutics (KPTI) "/>
    <x v="0"/>
  </r>
  <r>
    <s v="Kazia Therapeutics ADR (KZIA) "/>
    <x v="0"/>
  </r>
  <r>
    <s v="KBS Fashion Group (KBSF) "/>
    <x v="2"/>
  </r>
  <r>
    <s v="KemPharm (KMPH) "/>
    <x v="2"/>
  </r>
  <r>
    <s v="Kingtone Wirelessinfo Solution Holding ADR (KONE) "/>
    <x v="0"/>
  </r>
  <r>
    <s v="Knight-Swift Transportation Holdings Cl A (KNX) "/>
    <x v="0"/>
  </r>
  <r>
    <s v="La Jolla Pharmaceutical (LJPC) "/>
    <x v="0"/>
  </r>
  <r>
    <s v="Leaf Group (LFGR) "/>
    <x v="0"/>
  </r>
  <r>
    <s v="Lianluo Smart (LLIT) "/>
    <x v="2"/>
  </r>
  <r>
    <s v="Liberty TripAdvisor Holdings Series A (LTRPA) "/>
    <x v="2"/>
  </r>
  <r>
    <s v="Liquidity Services (LQDT) "/>
    <x v="0"/>
  </r>
  <r>
    <s v="Lithium Americas (LAC) "/>
    <x v="0"/>
  </r>
  <r>
    <s v="Long Blockchain (LBCC) "/>
    <x v="0"/>
  </r>
  <r>
    <s v="LongFin Cl A (LFIN) "/>
    <x v="0"/>
  </r>
  <r>
    <s v="LRAD (LRAD) "/>
    <x v="0"/>
  </r>
  <r>
    <s v="Luby's (LUB) "/>
    <x v="0"/>
  </r>
  <r>
    <s v="Lumentum Holdings (LITE) "/>
    <x v="0"/>
  </r>
  <r>
    <s v="Madrigal Pharmaceuticals (MDGL) "/>
    <x v="2"/>
  </r>
  <r>
    <s v="Majesco (MJCO) "/>
    <x v="0"/>
  </r>
  <r>
    <s v="Marathon Patent Group (MARA) "/>
    <x v="2"/>
  </r>
  <r>
    <s v="Marlin Business Services (MRLN) "/>
    <x v="0"/>
  </r>
  <r>
    <s v="Mattel (MAT) "/>
    <x v="0"/>
  </r>
  <r>
    <s v="McClatchy Cl A (MNI) "/>
    <x v="0"/>
  </r>
  <r>
    <s v="McEwen Mining (MUX) "/>
    <x v="0"/>
  </r>
  <r>
    <s v="MediciNova (MNOV) "/>
    <x v="1"/>
  </r>
  <r>
    <s v="Menlo Therapeutics (MNLO) "/>
    <x v="1"/>
  </r>
  <r>
    <s v="Merchants Bancorp (MBIN) "/>
    <x v="0"/>
  </r>
  <r>
    <s v="Meritage Homes (MTH) "/>
    <x v="0"/>
  </r>
  <r>
    <s v="Meritor (MTOR) "/>
    <x v="2"/>
  </r>
  <r>
    <s v="Mesa Laboratories (MLAB) "/>
    <x v="2"/>
  </r>
  <r>
    <s v="Meta Financial Group (CASH) "/>
    <x v="0"/>
  </r>
  <r>
    <s v="Metropolitan Bank Holding (MCB) "/>
    <x v="0"/>
  </r>
  <r>
    <s v="MGP Ingredients (MGPI) "/>
    <x v="0"/>
  </r>
  <r>
    <s v="Micron Technology (MU) "/>
    <x v="0"/>
  </r>
  <r>
    <s v="Miragen Therapeutics (MGEN) "/>
    <x v="1"/>
  </r>
  <r>
    <s v="Mirati Therapeutics (MRTX) "/>
    <x v="0"/>
  </r>
  <r>
    <s v="MiX Telematics ADR (MIXT) "/>
    <x v="2"/>
  </r>
  <r>
    <s v="MKS Instruments (MKSI) "/>
    <x v="0"/>
  </r>
  <r>
    <s v="Mobile Mini (MINI) "/>
    <x v="0"/>
  </r>
  <r>
    <s v="MobileIron (MOBL) "/>
    <x v="0"/>
  </r>
  <r>
    <s v="Momenta Pharmaceuticals (MNTA) "/>
    <x v="0"/>
  </r>
  <r>
    <s v="Motorola Solutions (MSI) "/>
    <x v="0"/>
  </r>
  <r>
    <s v="MSG Networks Cl A (MSGN) "/>
    <x v="0"/>
  </r>
  <r>
    <s v="My Size (MYSZ) "/>
    <x v="0"/>
  </r>
  <r>
    <s v="Myomo (MYO) "/>
    <x v="0"/>
  </r>
  <r>
    <s v="Myovant Sciences (MYOV) "/>
    <x v="0"/>
  </r>
  <r>
    <s v="NantHealth (NH) "/>
    <x v="0"/>
  </r>
  <r>
    <s v="NantKwest (NK) "/>
    <x v="0"/>
  </r>
  <r>
    <s v="National Holdings (NHLD) "/>
    <x v="0"/>
  </r>
  <r>
    <s v="National Instruments (NATI) "/>
    <x v="0"/>
  </r>
  <r>
    <s v="Natural Grocers by Vitamin Cottage (NGVC) "/>
    <x v="0"/>
  </r>
  <r>
    <s v="Navigator Holdings (NVGS) "/>
    <x v="0"/>
  </r>
  <r>
    <s v="Nektar Therapeutics (NKTR) "/>
    <x v="0"/>
  </r>
  <r>
    <s v="Nemaura Medical (NMRD) "/>
    <x v="2"/>
  </r>
  <r>
    <s v="NeoPhotonics (NPTN) "/>
    <x v="0"/>
  </r>
  <r>
    <s v="Neptune Technologies&amp;Bioressources (NEPT) "/>
    <x v="0"/>
  </r>
  <r>
    <s v="Net Element (NETE) "/>
    <x v="0"/>
  </r>
  <r>
    <s v="NetScout Systems (NTCT) "/>
    <x v="0"/>
  </r>
  <r>
    <s v="Netshoes (Cayman) (NETS) "/>
    <x v="0"/>
  </r>
  <r>
    <s v="Neurotrope (NTRP) "/>
    <x v="0"/>
  </r>
  <r>
    <s v="New Age Beverages (NBEV) "/>
    <x v="0"/>
  </r>
  <r>
    <s v="Newater Technology (NEWA) "/>
    <x v="2"/>
  </r>
  <r>
    <s v="Newell Brands (NWL) "/>
    <x v="0"/>
  </r>
  <r>
    <s v="Nine Energy Service (NINE) "/>
    <x v="0"/>
  </r>
  <r>
    <s v="Nokia ADR (NOK) "/>
    <x v="0"/>
  </r>
  <r>
    <s v="NovaBay Pharmaceuticals (NBY) "/>
    <x v="0"/>
  </r>
  <r>
    <s v="Novelion Therapeutics (NVLN) "/>
    <x v="1"/>
  </r>
  <r>
    <s v="Novus Therapeutics (NVUS) "/>
    <x v="0"/>
  </r>
  <r>
    <s v="NTN Buzztime (NTN) "/>
    <x v="0"/>
  </r>
  <r>
    <s v="Nuvectra (NVTR) "/>
    <x v="0"/>
  </r>
  <r>
    <s v="Nuverra Environmental Solutions (NES) "/>
    <x v="0"/>
  </r>
  <r>
    <s v="ObsEva (OBSV) "/>
    <x v="2"/>
  </r>
  <r>
    <s v="Ocean Bio-Chem (OBCI) "/>
    <x v="0"/>
  </r>
  <r>
    <s v="Och-Ziff Capital Management (OZM) "/>
    <x v="2"/>
  </r>
  <r>
    <s v="Oclaro (OCLR) "/>
    <x v="0"/>
  </r>
  <r>
    <s v="Ocular Therapeutix (OCUL) "/>
    <x v="0"/>
  </r>
  <r>
    <s v="OFG Bancorp (OFG) "/>
    <x v="2"/>
  </r>
  <r>
    <s v="OMNOVA Solutions (OMN) "/>
    <x v="0"/>
  </r>
  <r>
    <s v="On Assignment (ASGN) "/>
    <x v="0"/>
  </r>
  <r>
    <s v="One Horizon Group (OHGI) "/>
    <x v="0"/>
  </r>
  <r>
    <s v="Ooma (OOMA) "/>
    <x v="0"/>
  </r>
  <r>
    <s v="Open Text (OTEX) "/>
    <x v="0"/>
  </r>
  <r>
    <s v="OptimumBank Holdings (OPHC) "/>
    <x v="0"/>
  </r>
  <r>
    <s v="Oragenics (OGEN) "/>
    <x v="1"/>
  </r>
  <r>
    <s v="Oritani Financial (ORIT) "/>
    <x v="0"/>
  </r>
  <r>
    <s v="Overstock.com (OSTK) "/>
    <x v="0"/>
  </r>
  <r>
    <s v="Oxbridge Re Holdings (OXBR) "/>
    <x v="2"/>
  </r>
  <r>
    <s v="Pacira Pharmaceuticals (PCRX) "/>
    <x v="0"/>
  </r>
  <r>
    <s v="Pandora Media (P) "/>
    <x v="0"/>
  </r>
  <r>
    <s v="Par Technology (PAR) "/>
    <x v="0"/>
  </r>
  <r>
    <s v="Patriot Transportation Holding (PATI) "/>
    <x v="0"/>
  </r>
  <r>
    <s v="PennyMac Mortgage Investment Trust (PMT) "/>
    <x v="0"/>
  </r>
  <r>
    <s v="Phibro Animal Health (PAHC) "/>
    <x v="0"/>
  </r>
  <r>
    <s v="Pieris Pharmaceuticals (PIRS) "/>
    <x v="0"/>
  </r>
  <r>
    <s v="Pioneer Energy Services (PES) "/>
    <x v="0"/>
  </r>
  <r>
    <s v="Piper Jaffray (PJC) "/>
    <x v="0"/>
  </r>
  <r>
    <s v="Pitney Bowes (PBI) "/>
    <x v="0"/>
  </r>
  <r>
    <s v="Plantronics (PLT) "/>
    <x v="0"/>
  </r>
  <r>
    <s v="Ply Gem Holdings (PGEM) "/>
    <x v="0"/>
  </r>
  <r>
    <s v="PolarityTE (COOL) "/>
    <x v="0"/>
  </r>
  <r>
    <s v="PowerShares DB G10 Currency Harvest Fund (DBV) "/>
    <x v="0"/>
  </r>
  <r>
    <s v="Professional Diversity Network (IPDN) "/>
    <x v="0"/>
  </r>
  <r>
    <s v="ProShares Short Dow30 (DOG) "/>
    <x v="0"/>
  </r>
  <r>
    <s v="ProShares Ultra MSCI Brazil (UBR) "/>
    <x v="0"/>
  </r>
  <r>
    <s v="ProShares Ultra Semiconductors (USD) "/>
    <x v="0"/>
  </r>
  <r>
    <s v="ProShares Ultra Telecommunications (LTL) "/>
    <x v="0"/>
  </r>
  <r>
    <s v="ProShares Ultra VIX Short-Term Futures ETF (UVXY) "/>
    <x v="1"/>
  </r>
  <r>
    <s v="ProShares UltraPro 3x Crude Oil ETF (OILU) "/>
    <x v="0"/>
  </r>
  <r>
    <s v="ProShares UltraPro 3x Short Crude Oil ETF (OILD) "/>
    <x v="1"/>
  </r>
  <r>
    <s v="ProShares UltraPro QQQ (TQQQ) "/>
    <x v="0"/>
  </r>
  <r>
    <s v="ProShares UltraPro Short Dow30 (SDOW) "/>
    <x v="2"/>
  </r>
  <r>
    <s v="ProShares UltraPro Short Financial Select Sector (FINZ) "/>
    <x v="2"/>
  </r>
  <r>
    <s v="ProShares UltraPro Short MidCap400 (SMDD) "/>
    <x v="2"/>
  </r>
  <r>
    <s v="ProShares UltraPro Short NASDAQ Biotechnology (ZBIO) "/>
    <x v="3"/>
  </r>
  <r>
    <s v="ProShares UltraPro Short QQQ (SQQQ) "/>
    <x v="2"/>
  </r>
  <r>
    <s v="ProShares UltraPro Short Russell2000 (SRTY) "/>
    <x v="2"/>
  </r>
  <r>
    <s v="ProShares UltraPro Short S&amp;P 500 (SPXU) "/>
    <x v="2"/>
  </r>
  <r>
    <s v="ProShares UltraShort Basic Materials (SMN) "/>
    <x v="2"/>
  </r>
  <r>
    <s v="ProShares UltraShort Bloomberg Natural Gas (KOLD) "/>
    <x v="1"/>
  </r>
  <r>
    <s v="ProShares UltraShort Consumer Goods (SZK) "/>
    <x v="0"/>
  </r>
  <r>
    <s v="ProShares UltraShort Dow30 (DXD) "/>
    <x v="2"/>
  </r>
  <r>
    <s v="ProShares UltraShort Financials (SKF) "/>
    <x v="0"/>
  </r>
  <r>
    <s v="ProShares UltraShort FTSE Europe (EPV) "/>
    <x v="2"/>
  </r>
  <r>
    <s v="ProShares UltraShort FTSE/Xinhua China 25 (FXP) "/>
    <x v="0"/>
  </r>
  <r>
    <s v="ProShares UltraShort Gold Miners (GDXS) "/>
    <x v="0"/>
  </r>
  <r>
    <s v="ProShares UltraShort Health Care (RXD) "/>
    <x v="2"/>
  </r>
  <r>
    <s v="ProShares UltraShort Industrials (SIJ) "/>
    <x v="0"/>
  </r>
  <r>
    <s v="ProShares UltraShort MidCap400 (MZZ) "/>
    <x v="0"/>
  </r>
  <r>
    <s v="ProShares UltraShort MSCI Brazil Capped (BZQ) "/>
    <x v="2"/>
  </r>
  <r>
    <s v="ProShares UltraShort MSCI EAFE (EFU) "/>
    <x v="2"/>
  </r>
  <r>
    <s v="ProShares UltraShort MSCI Emerging Markets (EEV) "/>
    <x v="2"/>
  </r>
  <r>
    <s v="ProShares UltraShort MSCI Japan (EWV) "/>
    <x v="0"/>
  </r>
  <r>
    <s v="ProShares UltraShort Nasdaq Biotechnology (BIS) "/>
    <x v="0"/>
  </r>
  <r>
    <s v="ProShares UltraShort Oil&amp;Gas (DUG) "/>
    <x v="1"/>
  </r>
  <r>
    <s v="ProShares UltraShort QQQ (QID) "/>
    <x v="0"/>
  </r>
  <r>
    <s v="ProShares UltraShort Real Estate (SRS) "/>
    <x v="0"/>
  </r>
  <r>
    <s v="ProShares UltraShort Russell2000 (TWM) "/>
    <x v="0"/>
  </r>
  <r>
    <s v="ProShares UltraShort S&amp;P500 (SDS) "/>
    <x v="0"/>
  </r>
  <r>
    <s v="ProShares UltraShort Semiconductors (SSG) "/>
    <x v="1"/>
  </r>
  <r>
    <s v="ProShares UltraShort Technology (REW) "/>
    <x v="2"/>
  </r>
  <r>
    <s v="ProShares VIX Mid-Term Futures ETF (VIXM) "/>
    <x v="0"/>
  </r>
  <r>
    <s v="ProShares VIX Short-Term Futures ETF (VIXY) "/>
    <x v="2"/>
  </r>
  <r>
    <s v="ProSharesUltraShortSilver (ZSL) "/>
    <x v="0"/>
  </r>
  <r>
    <s v="Proteostasis Therapeutics (PTI) "/>
    <x v="0"/>
  </r>
  <r>
    <s v="Purple Innovation (PRPL) "/>
    <x v="2"/>
  </r>
  <r>
    <s v="QCR Holdings (QCRH) "/>
    <x v="0"/>
  </r>
  <r>
    <s v="Qorvo (QRVO) "/>
    <x v="0"/>
  </r>
  <r>
    <s v="Qualstar (QBAK) "/>
    <x v="2"/>
  </r>
  <r>
    <s v="QuinStreet (QNST) "/>
    <x v="0"/>
  </r>
  <r>
    <s v="Quotient (QTNT) "/>
    <x v="0"/>
  </r>
  <r>
    <s v="Reading International Cl B (RDIB) "/>
    <x v="0"/>
  </r>
  <r>
    <s v="Redfin (RDFN) "/>
    <x v="0"/>
  </r>
  <r>
    <s v="Reliv International (RELV) "/>
    <x v="0"/>
  </r>
  <r>
    <s v="Remark Holdings (MARK) "/>
    <x v="2"/>
  </r>
  <r>
    <s v="Resolute Energy (REN) "/>
    <x v="0"/>
  </r>
  <r>
    <s v="ReTo Eco-Solutions (RETO) "/>
    <x v="0"/>
  </r>
  <r>
    <s v="Revolution Lighting Technologies (RVLT) "/>
    <x v="2"/>
  </r>
  <r>
    <s v="Ring Energy (REI) "/>
    <x v="0"/>
  </r>
  <r>
    <s v="Riot Blockchain (RIOT) "/>
    <x v="0"/>
  </r>
  <r>
    <s v="RISE Education Cayman ADR (REDU) "/>
    <x v="0"/>
  </r>
  <r>
    <s v="Rocket Pharmaceuticals (RCKT) "/>
    <x v="0"/>
  </r>
  <r>
    <s v="S&amp;P Global (SPGI) "/>
    <x v="0"/>
  </r>
  <r>
    <s v="Safe Bulkers (SB) "/>
    <x v="0"/>
  </r>
  <r>
    <s v="Salisbury Bancorp (SAL) "/>
    <x v="0"/>
  </r>
  <r>
    <s v="Seattle Genetics (SGEN) "/>
    <x v="0"/>
  </r>
  <r>
    <s v="Second Sight Medical Products (EYES) "/>
    <x v="0"/>
  </r>
  <r>
    <s v="Select Medical Holdings (SEM) "/>
    <x v="0"/>
  </r>
  <r>
    <s v="SemiLEDS (LEDS) "/>
    <x v="0"/>
  </r>
  <r>
    <s v="Seneca Foods Cl A (SENEA) "/>
    <x v="0"/>
  </r>
  <r>
    <s v="ShiftPixy (PIXY) "/>
    <x v="0"/>
  </r>
  <r>
    <s v="Shutterfly (SFLY) "/>
    <x v="2"/>
  </r>
  <r>
    <s v="Sientra (SIEN) "/>
    <x v="0"/>
  </r>
  <r>
    <s v="Skyworks Solutions (SWKS) "/>
    <x v="2"/>
  </r>
  <r>
    <s v="SMART Global Holdings (SGH) "/>
    <x v="0"/>
  </r>
  <r>
    <s v="Socket Mobile (SCKT) "/>
    <x v="0"/>
  </r>
  <r>
    <s v="Sogou ADR (SOGO) "/>
    <x v="0"/>
  </r>
  <r>
    <s v="Sol-Gel Technologies (SLGL) "/>
    <x v="0"/>
  </r>
  <r>
    <s v="Solid Biosciences (SLDB) "/>
    <x v="1"/>
  </r>
  <r>
    <s v="Sonic Foundry (SOFO) "/>
    <x v="0"/>
  </r>
  <r>
    <s v="Sony ADR (SNE) "/>
    <x v="0"/>
  </r>
  <r>
    <s v="Sorrento Therapeutics (SRNE) "/>
    <x v="0"/>
  </r>
  <r>
    <s v="Spartan Motors (SPAR) "/>
    <x v="0"/>
  </r>
  <r>
    <s v="Spring Bank Pharmaceuticals (SBPH) "/>
    <x v="0"/>
  </r>
  <r>
    <s v="Sprint (S) "/>
    <x v="0"/>
  </r>
  <r>
    <s v="SSLJ.com Cl A (SSLJ) "/>
    <x v="0"/>
  </r>
  <r>
    <s v="Sunesis Pharmaceuticals (SNSS) "/>
    <x v="0"/>
  </r>
  <r>
    <s v="Tableau Software (DATA) "/>
    <x v="0"/>
  </r>
  <r>
    <s v="Take-Two Interactive Software (TTWO) "/>
    <x v="0"/>
  </r>
  <r>
    <s v="Tapestry (TPR) "/>
    <x v="0"/>
  </r>
  <r>
    <s v="TapImmune (TPIV) "/>
    <x v="0"/>
  </r>
  <r>
    <s v="Technical Communications (TCCO) "/>
    <x v="0"/>
  </r>
  <r>
    <s v="Tetra Tech (TTEK) "/>
    <x v="0"/>
  </r>
  <r>
    <s v="TG Therapeutics (TGTX) "/>
    <x v="0"/>
  </r>
  <r>
    <s v="Thomson Reuters (TRI) "/>
    <x v="0"/>
  </r>
  <r>
    <s v="TIM Participacoes ADR (TSU) "/>
    <x v="0"/>
  </r>
  <r>
    <s v="Tintri (TNTR) "/>
    <x v="0"/>
  </r>
  <r>
    <s v="TRACON Pharmaceuticals (TCON) "/>
    <x v="2"/>
  </r>
  <r>
    <s v="Transcat (TRNS) "/>
    <x v="0"/>
  </r>
  <r>
    <s v="Transportadora de Gas del Sur ADR (TGS) "/>
    <x v="0"/>
  </r>
  <r>
    <s v="TripAdvisor (TRIP) "/>
    <x v="0"/>
  </r>
  <r>
    <s v="Triton International (TRTN) "/>
    <x v="0"/>
  </r>
  <r>
    <s v="Tuesday Morning (TUES) "/>
    <x v="0"/>
  </r>
  <r>
    <s v="Twin Disc (TWIN) "/>
    <x v="0"/>
  </r>
  <r>
    <s v="Twitter (TWTR) "/>
    <x v="0"/>
  </r>
  <r>
    <s v="Tyme Technologies (TYME) "/>
    <x v="0"/>
  </r>
  <r>
    <s v="UBS E-TRACS - ProShares Daily 3x Inverse Crude ETN (WTID) "/>
    <x v="2"/>
  </r>
  <r>
    <s v="UBS E-TRACS - ProShares Daily 3x Long Crude ETN (WTIU) "/>
    <x v="0"/>
  </r>
  <r>
    <s v="United Therapeutics (UTHR) "/>
    <x v="0"/>
  </r>
  <r>
    <s v="UroGen Pharma (URGN) "/>
    <x v="0"/>
  </r>
  <r>
    <s v="USA Truck (USAK) "/>
    <x v="0"/>
  </r>
  <r>
    <s v="Valhi (VHI) "/>
    <x v="0"/>
  </r>
  <r>
    <s v="VelocityShares 3x Inverse Crude Oil ETNs linked to the S&amp;P GSCI Crude Oil Index ER (DWT) "/>
    <x v="1"/>
  </r>
  <r>
    <s v="VelocityShares 3x Inverse Natural Gas ETN linked to the S&amp;P GSCI Natural Gas Index Excess Return (DGAZ) "/>
    <x v="1"/>
  </r>
  <r>
    <s v="VelocityShares 3x Long Crude Oil ETNs linked to the S&amp;P GSCI Crude Oil Index ER (UWT) "/>
    <x v="0"/>
  </r>
  <r>
    <s v="VelocityShares Daily 2x VIX Medium Term ETN (TVIZ) "/>
    <x v="2"/>
  </r>
  <r>
    <s v="VelocityShares Daily 2x VIX Short Term ETN (TVIX) "/>
    <x v="1"/>
  </r>
  <r>
    <s v="VelocityShares VIX Medium Term ETN (VIIZ) "/>
    <x v="0"/>
  </r>
  <r>
    <s v="VelocityShares VIX Short Term ETN (VIIX) "/>
    <x v="2"/>
  </r>
  <r>
    <s v="VelocityShares VIX Tail Risk ETN linked to the S&amp;P 500 VIX Futures Tail Risk Index Short Term due July 18 2046 (BSWN) "/>
    <x v="2"/>
  </r>
  <r>
    <s v="Vericel (VCEL) "/>
    <x v="0"/>
  </r>
  <r>
    <s v="Viavi Solutions (VIAV) "/>
    <x v="0"/>
  </r>
  <r>
    <s v="Videocon d2h ADR (VDTH) "/>
    <x v="0"/>
  </r>
  <r>
    <s v="Viking Therapeutics (VKTX) "/>
    <x v="0"/>
  </r>
  <r>
    <s v="Vince Holding (VNCE) "/>
    <x v="0"/>
  </r>
  <r>
    <s v="Vocera Communications (VCRA) "/>
    <x v="0"/>
  </r>
  <r>
    <s v="Wabash National (WNC) "/>
    <x v="0"/>
  </r>
  <r>
    <s v="WAVE Life Sciences (WVE) "/>
    <x v="0"/>
  </r>
  <r>
    <s v="Westmoreland Resource Partners (WMLP) "/>
    <x v="2"/>
  </r>
  <r>
    <s v="Wynn Resorts (WYNN) "/>
    <x v="0"/>
  </r>
  <r>
    <s v="XBiotech (XBIT) "/>
    <x v="0"/>
  </r>
  <r>
    <s v="Xcel Brands (XELB) "/>
    <x v="1"/>
  </r>
  <r>
    <s v="Yatra Online (YTRA) "/>
    <x v="0"/>
  </r>
  <r>
    <s v="Youngevity International (YGYI) "/>
    <x v="0"/>
  </r>
  <r>
    <s v="Yulong Eco-Materials (YECO) "/>
    <x v="0"/>
  </r>
  <r>
    <s v="Zafgen (ZFGN) "/>
    <x v="1"/>
  </r>
  <r>
    <s v="Zai Lab ADR (ZLAB) "/>
    <x v="0"/>
  </r>
  <r>
    <s v="Zealand Pharma ADR (ZEAL) "/>
    <x v="0"/>
  </r>
  <r>
    <s v="Zion Oil&amp;Gas (ZN) "/>
    <x v="0"/>
  </r>
  <r>
    <s v="ZIOPHARM Oncology (ZIOP) "/>
    <x v="0"/>
  </r>
  <r>
    <s v="Zogenix (ZGNX) "/>
    <x v="0"/>
  </r>
  <r>
    <s v="Zymeworks (ZYME) 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4:F9" firstHeaderRow="1" firstDataRow="1" firstDataCol="1"/>
  <pivotFields count="2">
    <pivotField showAll="0"/>
    <pivotField axis="axisRow" dataField="1" showAll="0">
      <items count="5">
        <item x="0"/>
        <item x="2"/>
        <item x="1"/>
        <item x="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Count of Symbol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465" firstHeaderRow="1" firstDataRow="1" firstDataCol="1"/>
  <pivotFields count="7">
    <pivotField showAll="0"/>
    <pivotField axis="axisRow" dataField="1" showAll="0">
      <items count="462">
        <item x="21"/>
        <item x="278"/>
        <item x="287"/>
        <item x="441"/>
        <item x="411"/>
        <item x="136"/>
        <item x="231"/>
        <item x="40"/>
        <item x="63"/>
        <item x="376"/>
        <item x="319"/>
        <item x="283"/>
        <item x="273"/>
        <item x="393"/>
        <item x="210"/>
        <item x="230"/>
        <item x="460"/>
        <item x="440"/>
        <item x="320"/>
        <item x="300"/>
        <item x="418"/>
        <item x="157"/>
        <item x="435"/>
        <item x="410"/>
        <item x="142"/>
        <item x="19"/>
        <item x="313"/>
        <item x="297"/>
        <item x="109"/>
        <item x="141"/>
        <item x="14"/>
        <item x="168"/>
        <item x="244"/>
        <item x="315"/>
        <item x="296"/>
        <item x="0"/>
        <item x="3"/>
        <item x="72"/>
        <item x="203"/>
        <item x="437"/>
        <item x="261"/>
        <item x="417"/>
        <item x="374"/>
        <item x="457"/>
        <item x="449"/>
        <item x="133"/>
        <item x="407"/>
        <item x="185"/>
        <item x="108"/>
        <item x="104"/>
        <item x="357"/>
        <item x="88"/>
        <item x="204"/>
        <item x="121"/>
        <item x="364"/>
        <item x="305"/>
        <item x="5"/>
        <item x="303"/>
        <item x="406"/>
        <item x="171"/>
        <item x="455"/>
        <item x="438"/>
        <item x="288"/>
        <item x="267"/>
        <item x="54"/>
        <item x="444"/>
        <item x="412"/>
        <item x="277"/>
        <item x="375"/>
        <item x="334"/>
        <item x="55"/>
        <item x="367"/>
        <item x="189"/>
        <item x="220"/>
        <item x="36"/>
        <item x="147"/>
        <item x="41"/>
        <item x="423"/>
        <item x="359"/>
        <item x="384"/>
        <item x="200"/>
        <item x="409"/>
        <item x="458"/>
        <item x="221"/>
        <item x="180"/>
        <item x="183"/>
        <item x="96"/>
        <item x="222"/>
        <item x="234"/>
        <item x="323"/>
        <item x="348"/>
        <item x="322"/>
        <item x="120"/>
        <item x="160"/>
        <item x="400"/>
        <item x="447"/>
        <item x="91"/>
        <item x="425"/>
        <item x="264"/>
        <item x="268"/>
        <item x="318"/>
        <item x="188"/>
        <item x="385"/>
        <item x="397"/>
        <item x="1"/>
        <item x="427"/>
        <item x="89"/>
        <item x="301"/>
        <item x="459"/>
        <item x="25"/>
        <item x="219"/>
        <item x="388"/>
        <item x="372"/>
        <item x="403"/>
        <item x="29"/>
        <item x="124"/>
        <item x="139"/>
        <item x="70"/>
        <item x="117"/>
        <item x="114"/>
        <item x="175"/>
        <item x="90"/>
        <item x="42"/>
        <item x="205"/>
        <item x="46"/>
        <item x="134"/>
        <item x="48"/>
        <item x="324"/>
        <item x="138"/>
        <item x="148"/>
        <item x="399"/>
        <item x="143"/>
        <item x="69"/>
        <item x="144"/>
        <item x="122"/>
        <item x="130"/>
        <item x="82"/>
        <item x="140"/>
        <item x="111"/>
        <item x="49"/>
        <item x="129"/>
        <item x="27"/>
        <item x="131"/>
        <item x="80"/>
        <item x="380"/>
        <item x="78"/>
        <item x="330"/>
        <item x="224"/>
        <item x="339"/>
        <item x="256"/>
        <item x="291"/>
        <item x="85"/>
        <item x="370"/>
        <item x="373"/>
        <item x="432"/>
        <item x="299"/>
        <item x="428"/>
        <item x="356"/>
        <item x="413"/>
        <item x="237"/>
        <item x="211"/>
        <item x="132"/>
        <item x="258"/>
        <item x="266"/>
        <item x="57"/>
        <item x="394"/>
        <item x="414"/>
        <item x="255"/>
        <item x="4"/>
        <item x="286"/>
        <item x="95"/>
        <item x="386"/>
        <item x="47"/>
        <item x="37"/>
        <item x="276"/>
        <item x="419"/>
        <item x="28"/>
        <item x="201"/>
        <item x="52"/>
        <item x="181"/>
        <item x="294"/>
        <item x="281"/>
        <item x="97"/>
        <item x="247"/>
        <item x="335"/>
        <item x="311"/>
        <item x="285"/>
        <item x="295"/>
        <item x="137"/>
        <item x="415"/>
        <item x="402"/>
        <item x="61"/>
        <item x="170"/>
        <item x="429"/>
        <item x="450"/>
        <item x="194"/>
        <item x="336"/>
        <item x="226"/>
        <item x="112"/>
        <item x="421"/>
        <item x="248"/>
        <item x="272"/>
        <item x="86"/>
        <item x="325"/>
        <item x="352"/>
        <item x="347"/>
        <item x="62"/>
        <item x="395"/>
        <item x="35"/>
        <item x="184"/>
        <item x="252"/>
        <item x="81"/>
        <item x="83"/>
        <item x="56"/>
        <item x="307"/>
        <item x="99"/>
        <item x="245"/>
        <item x="390"/>
        <item x="197"/>
        <item x="159"/>
        <item x="31"/>
        <item x="405"/>
        <item x="383"/>
        <item x="317"/>
        <item x="341"/>
        <item x="355"/>
        <item x="216"/>
        <item x="246"/>
        <item x="71"/>
        <item x="10"/>
        <item x="250"/>
        <item x="30"/>
        <item x="354"/>
        <item x="44"/>
        <item x="404"/>
        <item x="360"/>
        <item x="6"/>
        <item x="387"/>
        <item x="433"/>
        <item x="51"/>
        <item x="225"/>
        <item x="214"/>
        <item x="217"/>
        <item x="192"/>
        <item x="16"/>
        <item x="18"/>
        <item x="321"/>
        <item x="312"/>
        <item x="271"/>
        <item x="329"/>
        <item x="342"/>
        <item x="381"/>
        <item x="343"/>
        <item x="34"/>
        <item x="215"/>
        <item x="43"/>
        <item x="242"/>
        <item x="292"/>
        <item x="207"/>
        <item x="422"/>
        <item x="443"/>
        <item x="240"/>
        <item x="302"/>
        <item x="430"/>
        <item x="368"/>
        <item x="392"/>
        <item x="369"/>
        <item x="64"/>
        <item x="191"/>
        <item x="366"/>
        <item x="177"/>
        <item x="346"/>
        <item x="306"/>
        <item x="262"/>
        <item x="20"/>
        <item x="398"/>
        <item x="11"/>
        <item x="416"/>
        <item x="58"/>
        <item x="209"/>
        <item x="298"/>
        <item x="178"/>
        <item x="53"/>
        <item x="379"/>
        <item x="260"/>
        <item x="426"/>
        <item x="73"/>
        <item x="442"/>
        <item x="431"/>
        <item x="265"/>
        <item x="77"/>
        <item x="32"/>
        <item x="453"/>
        <item x="377"/>
        <item x="9"/>
        <item x="436"/>
        <item x="345"/>
        <item x="340"/>
        <item x="349"/>
        <item x="275"/>
        <item x="327"/>
        <item x="259"/>
        <item x="227"/>
        <item x="107"/>
        <item x="424"/>
        <item x="38"/>
        <item x="269"/>
        <item x="289"/>
        <item x="282"/>
        <item x="213"/>
        <item x="391"/>
        <item x="446"/>
        <item x="22"/>
        <item x="235"/>
        <item x="279"/>
        <item x="274"/>
        <item x="344"/>
        <item x="351"/>
        <item x="338"/>
        <item x="382"/>
        <item x="156"/>
        <item x="190"/>
        <item x="193"/>
        <item x="66"/>
        <item x="92"/>
        <item x="454"/>
        <item x="101"/>
        <item x="314"/>
        <item x="174"/>
        <item x="98"/>
        <item x="115"/>
        <item x="110"/>
        <item x="135"/>
        <item x="116"/>
        <item x="126"/>
        <item x="127"/>
        <item x="123"/>
        <item x="176"/>
        <item x="158"/>
        <item x="166"/>
        <item x="145"/>
        <item x="146"/>
        <item x="153"/>
        <item x="195"/>
        <item x="218"/>
        <item x="165"/>
        <item x="161"/>
        <item x="167"/>
        <item x="164"/>
        <item x="152"/>
        <item x="173"/>
        <item x="128"/>
        <item x="149"/>
        <item x="151"/>
        <item x="162"/>
        <item x="186"/>
        <item x="163"/>
        <item x="155"/>
        <item x="169"/>
        <item x="154"/>
        <item x="113"/>
        <item x="102"/>
        <item x="212"/>
        <item x="439"/>
        <item x="17"/>
        <item x="236"/>
        <item x="254"/>
        <item x="206"/>
        <item x="249"/>
        <item x="2"/>
        <item x="362"/>
        <item x="26"/>
        <item x="280"/>
        <item x="243"/>
        <item x="350"/>
        <item x="150"/>
        <item x="253"/>
        <item x="67"/>
        <item x="7"/>
        <item x="33"/>
        <item x="353"/>
        <item x="87"/>
        <item x="84"/>
        <item x="60"/>
        <item x="284"/>
        <item x="118"/>
        <item x="434"/>
        <item x="229"/>
        <item x="263"/>
        <item x="65"/>
        <item x="270"/>
        <item x="396"/>
        <item x="45"/>
        <item x="75"/>
        <item x="199"/>
        <item x="93"/>
        <item x="257"/>
        <item x="223"/>
        <item x="182"/>
        <item x="228"/>
        <item x="232"/>
        <item x="328"/>
        <item x="316"/>
        <item x="238"/>
        <item x="8"/>
        <item x="337"/>
        <item x="208"/>
        <item x="371"/>
        <item x="68"/>
        <item x="401"/>
        <item x="378"/>
        <item x="293"/>
        <item x="74"/>
        <item x="420"/>
        <item x="79"/>
        <item x="233"/>
        <item x="59"/>
        <item x="408"/>
        <item x="94"/>
        <item x="15"/>
        <item x="39"/>
        <item x="331"/>
        <item x="239"/>
        <item x="333"/>
        <item x="241"/>
        <item x="172"/>
        <item x="304"/>
        <item x="310"/>
        <item x="23"/>
        <item x="196"/>
        <item x="389"/>
        <item x="179"/>
        <item x="125"/>
        <item x="309"/>
        <item x="105"/>
        <item x="100"/>
        <item x="119"/>
        <item x="103"/>
        <item x="106"/>
        <item x="308"/>
        <item x="198"/>
        <item x="365"/>
        <item x="202"/>
        <item x="290"/>
        <item x="452"/>
        <item x="358"/>
        <item x="456"/>
        <item x="50"/>
        <item x="445"/>
        <item x="451"/>
        <item x="13"/>
        <item x="187"/>
        <item x="363"/>
        <item x="332"/>
        <item x="24"/>
        <item x="361"/>
        <item x="326"/>
        <item x="251"/>
        <item x="12"/>
        <item x="76"/>
        <item x="448"/>
        <item t="default"/>
      </items>
    </pivotField>
    <pivotField numFmtId="165" showAll="0"/>
    <pivotField numFmtId="165" showAll="0"/>
    <pivotField showAll="0"/>
    <pivotField numFmtId="3" showAll="0"/>
    <pivotField showAll="0">
      <items count="7">
        <item x="3"/>
        <item x="2"/>
        <item x="1"/>
        <item x="0"/>
        <item x="5"/>
        <item x="4"/>
        <item t="default"/>
      </items>
    </pivotField>
  </pivotFields>
  <rowFields count="1">
    <field x="1"/>
  </rowFields>
  <rowItems count="4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Count of Symbol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?mod=mdc_pastcalenda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101"/>
  <sheetViews>
    <sheetView tabSelected="1" topLeftCell="A79" zoomScaleNormal="100" workbookViewId="0">
      <selection activeCell="B89" sqref="B89"/>
    </sheetView>
  </sheetViews>
  <sheetFormatPr defaultRowHeight="14.6" x14ac:dyDescent="0.4"/>
  <cols>
    <col min="2" max="2" width="45.765625" customWidth="1"/>
    <col min="3" max="3" width="16.69140625" style="11" customWidth="1"/>
    <col min="4" max="4" width="15.84375" style="11" customWidth="1"/>
    <col min="5" max="5" width="15.61328125" customWidth="1"/>
    <col min="6" max="6" width="21.53515625" customWidth="1"/>
    <col min="7" max="7" width="15.07421875" style="6" customWidth="1"/>
    <col min="8" max="8" width="15.15234375" bestFit="1" customWidth="1"/>
  </cols>
  <sheetData>
    <row r="1" spans="1:9" x14ac:dyDescent="0.4">
      <c r="A1" s="7" t="s">
        <v>100</v>
      </c>
      <c r="B1" s="7" t="s">
        <v>101</v>
      </c>
      <c r="C1" s="9" t="s">
        <v>102</v>
      </c>
      <c r="D1" s="9" t="s">
        <v>103</v>
      </c>
      <c r="E1" s="7" t="s">
        <v>104</v>
      </c>
      <c r="F1" s="7" t="s">
        <v>105</v>
      </c>
      <c r="G1" s="8" t="s">
        <v>106</v>
      </c>
    </row>
    <row r="2" spans="1:9" x14ac:dyDescent="0.4">
      <c r="A2" s="1">
        <v>1</v>
      </c>
      <c r="B2" t="s">
        <v>0</v>
      </c>
      <c r="C2" s="10">
        <v>10.25</v>
      </c>
      <c r="D2" s="10">
        <v>3.1</v>
      </c>
      <c r="E2" s="4">
        <v>43.36</v>
      </c>
      <c r="F2" s="5">
        <v>197131</v>
      </c>
      <c r="G2" s="6" t="s">
        <v>107</v>
      </c>
    </row>
    <row r="3" spans="1:9" x14ac:dyDescent="0.4">
      <c r="A3" s="1">
        <v>2</v>
      </c>
      <c r="B3" t="s">
        <v>1</v>
      </c>
      <c r="C3" s="10">
        <v>5.25</v>
      </c>
      <c r="D3" s="10">
        <v>1.4</v>
      </c>
      <c r="E3" s="4">
        <v>36.36</v>
      </c>
      <c r="F3" s="5">
        <v>201412</v>
      </c>
      <c r="G3" s="6" t="s">
        <v>107</v>
      </c>
    </row>
    <row r="4" spans="1:9" x14ac:dyDescent="0.4">
      <c r="A4" s="1">
        <v>3</v>
      </c>
      <c r="B4" t="s">
        <v>2</v>
      </c>
      <c r="C4" s="10">
        <v>4.03</v>
      </c>
      <c r="D4" s="10">
        <v>1.04</v>
      </c>
      <c r="E4" s="4">
        <v>34.78</v>
      </c>
      <c r="F4" s="5">
        <v>4348632</v>
      </c>
      <c r="G4" s="6" t="s">
        <v>107</v>
      </c>
    </row>
    <row r="5" spans="1:9" x14ac:dyDescent="0.4">
      <c r="A5" s="1">
        <v>4</v>
      </c>
      <c r="B5" t="s">
        <v>3</v>
      </c>
      <c r="C5" s="10">
        <v>6.19</v>
      </c>
      <c r="D5" s="10">
        <v>1.53</v>
      </c>
      <c r="E5" s="4">
        <v>32.83</v>
      </c>
      <c r="F5" s="5">
        <v>138297</v>
      </c>
      <c r="G5" s="6" t="s">
        <v>107</v>
      </c>
    </row>
    <row r="6" spans="1:9" x14ac:dyDescent="0.4">
      <c r="A6" s="1">
        <v>5</v>
      </c>
      <c r="B6" t="s">
        <v>4</v>
      </c>
      <c r="C6" s="10">
        <v>30</v>
      </c>
      <c r="D6" s="10">
        <v>5.95</v>
      </c>
      <c r="E6" s="4">
        <v>24.74</v>
      </c>
      <c r="F6" s="5">
        <v>3345036</v>
      </c>
      <c r="G6" s="6" t="s">
        <v>107</v>
      </c>
    </row>
    <row r="7" spans="1:9" x14ac:dyDescent="0.4">
      <c r="A7" s="1">
        <v>6</v>
      </c>
      <c r="B7" t="s">
        <v>5</v>
      </c>
      <c r="C7" s="10">
        <v>9</v>
      </c>
      <c r="D7" s="10">
        <v>1.6</v>
      </c>
      <c r="E7" s="4">
        <v>21.62</v>
      </c>
      <c r="F7" s="5">
        <v>5980</v>
      </c>
      <c r="G7" s="6" t="s">
        <v>107</v>
      </c>
    </row>
    <row r="8" spans="1:9" x14ac:dyDescent="0.4">
      <c r="A8" s="1">
        <v>7</v>
      </c>
      <c r="B8" t="s">
        <v>6</v>
      </c>
      <c r="C8" s="10">
        <v>51.65</v>
      </c>
      <c r="D8" s="10">
        <v>9.0500000000000007</v>
      </c>
      <c r="E8" s="4">
        <v>21.24</v>
      </c>
      <c r="F8" s="5">
        <v>9745776</v>
      </c>
      <c r="G8" s="6" t="s">
        <v>107</v>
      </c>
    </row>
    <row r="9" spans="1:9" x14ac:dyDescent="0.4">
      <c r="A9" s="1">
        <v>8</v>
      </c>
      <c r="B9" t="s">
        <v>7</v>
      </c>
      <c r="C9" s="10">
        <v>12.95</v>
      </c>
      <c r="D9" s="10">
        <v>2.25</v>
      </c>
      <c r="E9" s="4">
        <v>21.03</v>
      </c>
      <c r="F9" s="5">
        <v>2722265</v>
      </c>
      <c r="G9" s="6" t="s">
        <v>107</v>
      </c>
    </row>
    <row r="10" spans="1:9" x14ac:dyDescent="0.4">
      <c r="A10" s="1">
        <v>9</v>
      </c>
      <c r="B10" t="s">
        <v>8</v>
      </c>
      <c r="C10" s="10">
        <v>4.34</v>
      </c>
      <c r="D10" s="10">
        <v>0.75</v>
      </c>
      <c r="E10" s="4">
        <v>20.89</v>
      </c>
      <c r="F10" s="5">
        <v>367931</v>
      </c>
      <c r="G10" s="6" t="s">
        <v>107</v>
      </c>
    </row>
    <row r="11" spans="1:9" x14ac:dyDescent="0.4">
      <c r="A11" s="1">
        <v>10</v>
      </c>
      <c r="B11" t="s">
        <v>9</v>
      </c>
      <c r="C11" s="10">
        <v>6.83</v>
      </c>
      <c r="D11" s="10">
        <v>1.18</v>
      </c>
      <c r="E11" s="4">
        <v>20.88</v>
      </c>
      <c r="F11" s="5">
        <v>19314646</v>
      </c>
      <c r="G11" s="6" t="s">
        <v>107</v>
      </c>
    </row>
    <row r="12" spans="1:9" x14ac:dyDescent="0.4">
      <c r="A12" s="1">
        <v>11</v>
      </c>
      <c r="B12" t="s">
        <v>10</v>
      </c>
      <c r="C12" s="10">
        <v>10.8</v>
      </c>
      <c r="D12" s="10">
        <v>1.8</v>
      </c>
      <c r="E12" s="4">
        <v>20</v>
      </c>
      <c r="F12" s="5"/>
      <c r="G12" s="6" t="s">
        <v>107</v>
      </c>
    </row>
    <row r="13" spans="1:9" x14ac:dyDescent="0.4">
      <c r="A13" s="1">
        <v>12</v>
      </c>
      <c r="B13" t="s">
        <v>11</v>
      </c>
      <c r="C13" s="10">
        <v>6.96</v>
      </c>
      <c r="D13" s="10">
        <v>1.02</v>
      </c>
      <c r="E13" s="4">
        <v>17.170000000000002</v>
      </c>
      <c r="F13" s="5">
        <v>982829</v>
      </c>
      <c r="G13" s="6" t="s">
        <v>107</v>
      </c>
    </row>
    <row r="14" spans="1:9" x14ac:dyDescent="0.4">
      <c r="A14" s="1">
        <v>13</v>
      </c>
      <c r="B14" t="s">
        <v>12</v>
      </c>
      <c r="C14" s="10">
        <v>4.01</v>
      </c>
      <c r="D14" s="10">
        <v>0.55000000000000004</v>
      </c>
      <c r="E14" s="4">
        <v>15.9</v>
      </c>
      <c r="F14" s="5">
        <v>2939738</v>
      </c>
      <c r="G14" s="6" t="s">
        <v>107</v>
      </c>
    </row>
    <row r="15" spans="1:9" x14ac:dyDescent="0.4">
      <c r="A15" s="1">
        <v>14</v>
      </c>
      <c r="B15" t="s">
        <v>13</v>
      </c>
      <c r="C15" s="10">
        <v>3.3</v>
      </c>
      <c r="D15" s="10">
        <v>0.45</v>
      </c>
      <c r="E15" s="4">
        <v>15.79</v>
      </c>
      <c r="F15" s="5">
        <v>23897</v>
      </c>
      <c r="G15" s="6" t="s">
        <v>107</v>
      </c>
    </row>
    <row r="16" spans="1:9" x14ac:dyDescent="0.4">
      <c r="A16" s="1">
        <v>15</v>
      </c>
      <c r="B16" t="s">
        <v>14</v>
      </c>
      <c r="C16" s="10">
        <v>16.28</v>
      </c>
      <c r="D16" s="10">
        <v>2.19</v>
      </c>
      <c r="E16" s="4">
        <v>15.54</v>
      </c>
      <c r="F16" s="5">
        <v>10057461</v>
      </c>
      <c r="G16" s="6" t="s">
        <v>107</v>
      </c>
      <c r="H16" t="s">
        <v>476</v>
      </c>
      <c r="I16" t="s">
        <v>474</v>
      </c>
    </row>
    <row r="17" spans="1:9" x14ac:dyDescent="0.4">
      <c r="A17" s="1">
        <v>16</v>
      </c>
      <c r="B17" t="s">
        <v>15</v>
      </c>
      <c r="C17" s="10">
        <v>40.840000000000003</v>
      </c>
      <c r="D17" s="10">
        <v>5.22</v>
      </c>
      <c r="E17" s="4">
        <v>14.65</v>
      </c>
      <c r="F17" s="5">
        <v>11458193</v>
      </c>
      <c r="G17" s="6" t="s">
        <v>107</v>
      </c>
      <c r="H17" t="s">
        <v>475</v>
      </c>
      <c r="I17" s="15" t="s">
        <v>478</v>
      </c>
    </row>
    <row r="18" spans="1:9" x14ac:dyDescent="0.4">
      <c r="A18" s="1">
        <v>17</v>
      </c>
      <c r="B18" t="s">
        <v>16</v>
      </c>
      <c r="C18" s="10">
        <v>10.75</v>
      </c>
      <c r="D18" s="10">
        <v>1.3</v>
      </c>
      <c r="E18" s="4">
        <v>13.76</v>
      </c>
      <c r="F18" s="5">
        <v>553281</v>
      </c>
      <c r="G18" s="6" t="s">
        <v>107</v>
      </c>
      <c r="H18" t="s">
        <v>477</v>
      </c>
      <c r="I18" t="s">
        <v>473</v>
      </c>
    </row>
    <row r="19" spans="1:9" x14ac:dyDescent="0.4">
      <c r="A19" s="1">
        <v>18</v>
      </c>
      <c r="B19" t="s">
        <v>17</v>
      </c>
      <c r="C19" s="10">
        <v>12</v>
      </c>
      <c r="D19" s="10">
        <v>1.44</v>
      </c>
      <c r="E19" s="4">
        <v>13.59</v>
      </c>
      <c r="F19" s="5">
        <v>26763</v>
      </c>
      <c r="G19" s="6" t="s">
        <v>107</v>
      </c>
    </row>
    <row r="20" spans="1:9" x14ac:dyDescent="0.4">
      <c r="A20" s="1">
        <v>19</v>
      </c>
      <c r="B20" t="s">
        <v>18</v>
      </c>
      <c r="C20" s="10">
        <v>34.74</v>
      </c>
      <c r="D20" s="10">
        <v>4.03</v>
      </c>
      <c r="E20" s="4">
        <v>13.12</v>
      </c>
      <c r="F20" s="5">
        <v>116691</v>
      </c>
      <c r="G20" s="6" t="s">
        <v>107</v>
      </c>
      <c r="I20">
        <f>appendNewDayData(I17,I16)</f>
        <v>0</v>
      </c>
    </row>
    <row r="21" spans="1:9" x14ac:dyDescent="0.4">
      <c r="A21" s="1">
        <v>20</v>
      </c>
      <c r="B21" t="s">
        <v>19</v>
      </c>
      <c r="C21" s="10">
        <v>15.11</v>
      </c>
      <c r="D21" s="10">
        <v>1.75</v>
      </c>
      <c r="E21" s="4">
        <v>13.1</v>
      </c>
      <c r="F21" s="5">
        <v>1300766</v>
      </c>
      <c r="G21" s="6" t="s">
        <v>107</v>
      </c>
    </row>
    <row r="22" spans="1:9" x14ac:dyDescent="0.4">
      <c r="A22" s="1">
        <v>21</v>
      </c>
      <c r="B22" t="s">
        <v>20</v>
      </c>
      <c r="C22" s="10">
        <v>5.83</v>
      </c>
      <c r="D22" s="10">
        <v>0.67</v>
      </c>
      <c r="E22" s="4">
        <v>12.98</v>
      </c>
      <c r="F22" s="5">
        <v>1934098</v>
      </c>
      <c r="G22" s="6" t="s">
        <v>107</v>
      </c>
    </row>
    <row r="23" spans="1:9" x14ac:dyDescent="0.4">
      <c r="A23" s="1">
        <v>22</v>
      </c>
      <c r="B23" t="s">
        <v>21</v>
      </c>
      <c r="C23" s="10">
        <v>2.89</v>
      </c>
      <c r="D23" s="10">
        <v>0.33</v>
      </c>
      <c r="E23" s="4">
        <v>12.89</v>
      </c>
      <c r="F23" s="5">
        <v>6110467</v>
      </c>
      <c r="G23" s="6" t="s">
        <v>107</v>
      </c>
    </row>
    <row r="24" spans="1:9" x14ac:dyDescent="0.4">
      <c r="A24" s="1">
        <v>23</v>
      </c>
      <c r="B24" t="s">
        <v>22</v>
      </c>
      <c r="C24" s="10">
        <v>36.35</v>
      </c>
      <c r="D24" s="10">
        <v>4.1500000000000004</v>
      </c>
      <c r="E24" s="4">
        <v>12.89</v>
      </c>
      <c r="F24" s="5">
        <v>156177</v>
      </c>
      <c r="G24" s="6" t="s">
        <v>107</v>
      </c>
    </row>
    <row r="25" spans="1:9" x14ac:dyDescent="0.4">
      <c r="A25" s="1">
        <v>24</v>
      </c>
      <c r="B25" t="s">
        <v>23</v>
      </c>
      <c r="C25" s="10">
        <v>51</v>
      </c>
      <c r="D25" s="10">
        <v>5.78</v>
      </c>
      <c r="E25" s="4">
        <v>12.78</v>
      </c>
      <c r="F25" s="5">
        <v>209395</v>
      </c>
      <c r="G25" s="6" t="s">
        <v>107</v>
      </c>
    </row>
    <row r="26" spans="1:9" x14ac:dyDescent="0.4">
      <c r="A26" s="1">
        <v>25</v>
      </c>
      <c r="B26" t="s">
        <v>24</v>
      </c>
      <c r="C26" s="10">
        <v>8.41</v>
      </c>
      <c r="D26" s="10">
        <v>0.95</v>
      </c>
      <c r="E26" s="4">
        <v>12.73</v>
      </c>
      <c r="F26" s="5">
        <v>449050</v>
      </c>
      <c r="G26" s="6" t="s">
        <v>107</v>
      </c>
    </row>
    <row r="27" spans="1:9" x14ac:dyDescent="0.4">
      <c r="A27" s="1">
        <v>26</v>
      </c>
      <c r="B27" t="s">
        <v>25</v>
      </c>
      <c r="C27" s="10">
        <v>3.5</v>
      </c>
      <c r="D27" s="10">
        <v>0.38</v>
      </c>
      <c r="E27" s="4">
        <v>12.18</v>
      </c>
      <c r="F27" s="5">
        <v>3640</v>
      </c>
      <c r="G27" s="6" t="s">
        <v>107</v>
      </c>
    </row>
    <row r="28" spans="1:9" x14ac:dyDescent="0.4">
      <c r="A28" s="1">
        <v>27</v>
      </c>
      <c r="B28" t="s">
        <v>26</v>
      </c>
      <c r="C28" s="10">
        <v>22.03</v>
      </c>
      <c r="D28" s="10">
        <v>2.37</v>
      </c>
      <c r="E28" s="4">
        <v>12.05</v>
      </c>
      <c r="F28" s="5">
        <v>2956879</v>
      </c>
      <c r="G28" s="6" t="s">
        <v>107</v>
      </c>
    </row>
    <row r="29" spans="1:9" x14ac:dyDescent="0.4">
      <c r="A29" s="1">
        <v>28</v>
      </c>
      <c r="B29" t="s">
        <v>27</v>
      </c>
      <c r="C29" s="10">
        <v>60.49</v>
      </c>
      <c r="D29" s="10">
        <v>6.43</v>
      </c>
      <c r="E29" s="4">
        <v>11.89</v>
      </c>
      <c r="F29" s="5">
        <v>38203</v>
      </c>
      <c r="G29" s="6" t="s">
        <v>107</v>
      </c>
    </row>
    <row r="30" spans="1:9" x14ac:dyDescent="0.4">
      <c r="A30" s="1">
        <v>29</v>
      </c>
      <c r="B30" t="s">
        <v>28</v>
      </c>
      <c r="C30" s="10">
        <v>8.2100000000000009</v>
      </c>
      <c r="D30" s="10">
        <v>0.87</v>
      </c>
      <c r="E30" s="4">
        <v>11.85</v>
      </c>
      <c r="F30" s="5">
        <v>2974383</v>
      </c>
      <c r="G30" s="6" t="s">
        <v>107</v>
      </c>
    </row>
    <row r="31" spans="1:9" x14ac:dyDescent="0.4">
      <c r="A31" s="1">
        <v>30</v>
      </c>
      <c r="B31" t="s">
        <v>29</v>
      </c>
      <c r="C31" s="10">
        <v>53.98</v>
      </c>
      <c r="D31" s="10">
        <v>5.59</v>
      </c>
      <c r="E31" s="4">
        <v>11.55</v>
      </c>
      <c r="F31" s="5">
        <v>572974</v>
      </c>
      <c r="G31" s="6" t="s">
        <v>107</v>
      </c>
    </row>
    <row r="32" spans="1:9" x14ac:dyDescent="0.4">
      <c r="A32" s="1">
        <v>31</v>
      </c>
      <c r="B32" t="s">
        <v>30</v>
      </c>
      <c r="C32" s="10">
        <v>6.96</v>
      </c>
      <c r="D32" s="10">
        <v>0.72</v>
      </c>
      <c r="E32" s="4">
        <v>11.54</v>
      </c>
      <c r="F32" s="5">
        <v>442431</v>
      </c>
      <c r="G32" s="6" t="s">
        <v>107</v>
      </c>
    </row>
    <row r="33" spans="1:7" x14ac:dyDescent="0.4">
      <c r="A33" s="1">
        <v>32</v>
      </c>
      <c r="B33" t="s">
        <v>31</v>
      </c>
      <c r="C33" s="10">
        <v>12.49</v>
      </c>
      <c r="D33" s="10">
        <v>1.29</v>
      </c>
      <c r="E33" s="4">
        <v>11.52</v>
      </c>
      <c r="F33" s="5">
        <v>508840</v>
      </c>
      <c r="G33" s="6" t="s">
        <v>107</v>
      </c>
    </row>
    <row r="34" spans="1:7" x14ac:dyDescent="0.4">
      <c r="A34" s="1">
        <v>33</v>
      </c>
      <c r="B34" t="s">
        <v>32</v>
      </c>
      <c r="C34" s="10">
        <v>12.21</v>
      </c>
      <c r="D34" s="10">
        <v>1.26</v>
      </c>
      <c r="E34" s="4">
        <v>11.51</v>
      </c>
      <c r="F34" s="5">
        <v>18627</v>
      </c>
      <c r="G34" s="6" t="s">
        <v>107</v>
      </c>
    </row>
    <row r="35" spans="1:7" x14ac:dyDescent="0.4">
      <c r="A35" s="1">
        <v>34</v>
      </c>
      <c r="B35" t="s">
        <v>33</v>
      </c>
      <c r="C35" s="10">
        <v>15.61</v>
      </c>
      <c r="D35" s="10">
        <v>1.61</v>
      </c>
      <c r="E35" s="4">
        <v>11.5</v>
      </c>
      <c r="F35" s="5">
        <v>545829</v>
      </c>
      <c r="G35" s="6" t="s">
        <v>107</v>
      </c>
    </row>
    <row r="36" spans="1:7" x14ac:dyDescent="0.4">
      <c r="A36" s="1">
        <v>35</v>
      </c>
      <c r="B36" t="s">
        <v>34</v>
      </c>
      <c r="C36" s="10">
        <v>43.88</v>
      </c>
      <c r="D36" s="10">
        <v>4.4800000000000004</v>
      </c>
      <c r="E36" s="4">
        <v>11.37</v>
      </c>
      <c r="F36" s="5">
        <v>66024556</v>
      </c>
      <c r="G36" s="6" t="s">
        <v>107</v>
      </c>
    </row>
    <row r="37" spans="1:7" x14ac:dyDescent="0.4">
      <c r="A37" s="1">
        <v>36</v>
      </c>
      <c r="B37" t="s">
        <v>35</v>
      </c>
      <c r="C37" s="10">
        <v>32.090000000000003</v>
      </c>
      <c r="D37" s="10">
        <v>3.27</v>
      </c>
      <c r="E37" s="4">
        <v>11.35</v>
      </c>
      <c r="F37" s="5">
        <v>2317148</v>
      </c>
      <c r="G37" s="6" t="s">
        <v>107</v>
      </c>
    </row>
    <row r="38" spans="1:7" x14ac:dyDescent="0.4">
      <c r="A38" s="1">
        <v>37</v>
      </c>
      <c r="B38" t="s">
        <v>36</v>
      </c>
      <c r="C38" s="10">
        <v>3.7</v>
      </c>
      <c r="D38" s="10">
        <v>0.37</v>
      </c>
      <c r="E38" s="4">
        <v>11.22</v>
      </c>
      <c r="F38" s="5">
        <v>28195</v>
      </c>
      <c r="G38" s="6" t="s">
        <v>107</v>
      </c>
    </row>
    <row r="39" spans="1:7" x14ac:dyDescent="0.4">
      <c r="A39" s="1">
        <v>38</v>
      </c>
      <c r="B39" t="s">
        <v>37</v>
      </c>
      <c r="C39" s="10">
        <v>32.78</v>
      </c>
      <c r="D39" s="10">
        <v>3.28</v>
      </c>
      <c r="E39" s="4">
        <v>11.12</v>
      </c>
      <c r="F39" s="5">
        <v>203788</v>
      </c>
      <c r="G39" s="6" t="s">
        <v>107</v>
      </c>
    </row>
    <row r="40" spans="1:7" x14ac:dyDescent="0.4">
      <c r="A40" s="1">
        <v>39</v>
      </c>
      <c r="B40" t="s">
        <v>38</v>
      </c>
      <c r="C40" s="10">
        <v>55</v>
      </c>
      <c r="D40" s="10">
        <v>5.5</v>
      </c>
      <c r="E40" s="4">
        <v>11.11</v>
      </c>
      <c r="F40" s="5">
        <v>4841277</v>
      </c>
      <c r="G40" s="6" t="s">
        <v>107</v>
      </c>
    </row>
    <row r="41" spans="1:7" x14ac:dyDescent="0.4">
      <c r="A41" s="1">
        <v>40</v>
      </c>
      <c r="B41" t="s">
        <v>39</v>
      </c>
      <c r="C41" s="10">
        <v>33.33</v>
      </c>
      <c r="D41" s="10">
        <v>3.3</v>
      </c>
      <c r="E41" s="4">
        <v>10.99</v>
      </c>
      <c r="F41" s="5">
        <v>1167037</v>
      </c>
      <c r="G41" s="6" t="s">
        <v>107</v>
      </c>
    </row>
    <row r="42" spans="1:7" x14ac:dyDescent="0.4">
      <c r="A42" s="1">
        <v>41</v>
      </c>
      <c r="B42" t="s">
        <v>40</v>
      </c>
      <c r="C42" s="10">
        <v>6.6</v>
      </c>
      <c r="D42" s="10">
        <v>0.65</v>
      </c>
      <c r="E42" s="4">
        <v>10.92</v>
      </c>
      <c r="F42" s="5">
        <v>133286</v>
      </c>
      <c r="G42" s="6" t="s">
        <v>107</v>
      </c>
    </row>
    <row r="43" spans="1:7" x14ac:dyDescent="0.4">
      <c r="A43" s="1">
        <v>42</v>
      </c>
      <c r="B43" t="s">
        <v>41</v>
      </c>
      <c r="C43" s="10">
        <v>6.34</v>
      </c>
      <c r="D43" s="10">
        <v>0.62</v>
      </c>
      <c r="E43" s="4">
        <v>10.87</v>
      </c>
      <c r="F43" s="5">
        <v>75053</v>
      </c>
      <c r="G43" s="6" t="s">
        <v>107</v>
      </c>
    </row>
    <row r="44" spans="1:7" x14ac:dyDescent="0.4">
      <c r="A44" s="1">
        <v>43</v>
      </c>
      <c r="B44" t="s">
        <v>42</v>
      </c>
      <c r="C44" s="10">
        <v>74.84</v>
      </c>
      <c r="D44" s="10">
        <v>7.27</v>
      </c>
      <c r="E44" s="4">
        <v>10.76</v>
      </c>
      <c r="F44" s="5">
        <v>196025</v>
      </c>
      <c r="G44" s="6" t="s">
        <v>107</v>
      </c>
    </row>
    <row r="45" spans="1:7" x14ac:dyDescent="0.4">
      <c r="A45" s="1">
        <v>44</v>
      </c>
      <c r="B45" t="s">
        <v>43</v>
      </c>
      <c r="C45" s="10">
        <v>29.9</v>
      </c>
      <c r="D45" s="10">
        <v>2.9</v>
      </c>
      <c r="E45" s="4">
        <v>10.74</v>
      </c>
      <c r="F45" s="5">
        <v>846996</v>
      </c>
      <c r="G45" s="6" t="s">
        <v>107</v>
      </c>
    </row>
    <row r="46" spans="1:7" x14ac:dyDescent="0.4">
      <c r="A46" s="1">
        <v>45</v>
      </c>
      <c r="B46" t="s">
        <v>44</v>
      </c>
      <c r="C46" s="10">
        <v>35.5</v>
      </c>
      <c r="D46" s="10">
        <v>3.44</v>
      </c>
      <c r="E46" s="4">
        <v>10.73</v>
      </c>
      <c r="F46" s="5">
        <v>210925</v>
      </c>
      <c r="G46" s="6" t="s">
        <v>107</v>
      </c>
    </row>
    <row r="47" spans="1:7" x14ac:dyDescent="0.4">
      <c r="A47" s="1">
        <v>46</v>
      </c>
      <c r="B47" t="s">
        <v>45</v>
      </c>
      <c r="C47" s="10">
        <v>104.56</v>
      </c>
      <c r="D47" s="10">
        <v>9.8800000000000008</v>
      </c>
      <c r="E47" s="4">
        <v>10.44</v>
      </c>
      <c r="F47" s="5">
        <v>8476242</v>
      </c>
      <c r="G47" s="6" t="s">
        <v>107</v>
      </c>
    </row>
    <row r="48" spans="1:7" x14ac:dyDescent="0.4">
      <c r="A48" s="1">
        <v>47</v>
      </c>
      <c r="B48" t="s">
        <v>46</v>
      </c>
      <c r="C48" s="10">
        <v>42.38</v>
      </c>
      <c r="D48" s="10">
        <v>3.99</v>
      </c>
      <c r="E48" s="4">
        <v>10.39</v>
      </c>
      <c r="F48" s="5">
        <v>90035</v>
      </c>
      <c r="G48" s="6" t="s">
        <v>107</v>
      </c>
    </row>
    <row r="49" spans="1:7" x14ac:dyDescent="0.4">
      <c r="A49" s="1">
        <v>48</v>
      </c>
      <c r="B49" t="s">
        <v>47</v>
      </c>
      <c r="C49" s="10">
        <v>23.8</v>
      </c>
      <c r="D49" s="10">
        <v>2.23</v>
      </c>
      <c r="E49" s="4">
        <v>10.34</v>
      </c>
      <c r="F49" s="5">
        <v>947053</v>
      </c>
      <c r="G49" s="6" t="s">
        <v>107</v>
      </c>
    </row>
    <row r="50" spans="1:7" x14ac:dyDescent="0.4">
      <c r="A50" s="1">
        <v>49</v>
      </c>
      <c r="B50" t="s">
        <v>48</v>
      </c>
      <c r="C50" s="10">
        <v>98.22</v>
      </c>
      <c r="D50" s="10">
        <v>9.1999999999999993</v>
      </c>
      <c r="E50" s="4">
        <v>10.33</v>
      </c>
      <c r="F50" s="5">
        <v>151391</v>
      </c>
      <c r="G50" s="6" t="s">
        <v>107</v>
      </c>
    </row>
    <row r="51" spans="1:7" x14ac:dyDescent="0.4">
      <c r="A51" s="1">
        <v>50</v>
      </c>
      <c r="B51" t="s">
        <v>49</v>
      </c>
      <c r="C51" s="10">
        <v>150</v>
      </c>
      <c r="D51" s="10">
        <v>13.98</v>
      </c>
      <c r="E51" s="4">
        <v>10.28</v>
      </c>
      <c r="F51" s="5">
        <v>1368906</v>
      </c>
      <c r="G51" s="6" t="s">
        <v>107</v>
      </c>
    </row>
    <row r="52" spans="1:7" x14ac:dyDescent="0.4">
      <c r="A52" s="1">
        <v>51</v>
      </c>
      <c r="B52" t="s">
        <v>50</v>
      </c>
      <c r="C52" s="10">
        <v>2.92</v>
      </c>
      <c r="D52" s="10">
        <v>0.27</v>
      </c>
      <c r="E52" s="4">
        <v>10.18</v>
      </c>
      <c r="F52" s="5">
        <v>17287</v>
      </c>
      <c r="G52" s="6" t="s">
        <v>107</v>
      </c>
    </row>
    <row r="53" spans="1:7" x14ac:dyDescent="0.4">
      <c r="A53" s="1">
        <v>52</v>
      </c>
      <c r="B53" t="s">
        <v>51</v>
      </c>
      <c r="C53" s="10">
        <v>2.61</v>
      </c>
      <c r="D53" s="10">
        <v>0.24</v>
      </c>
      <c r="E53" s="4">
        <v>10.130000000000001</v>
      </c>
      <c r="F53" s="5">
        <v>839482</v>
      </c>
      <c r="G53" s="6" t="s">
        <v>107</v>
      </c>
    </row>
    <row r="54" spans="1:7" x14ac:dyDescent="0.4">
      <c r="A54" s="1">
        <v>53</v>
      </c>
      <c r="B54" t="s">
        <v>52</v>
      </c>
      <c r="C54" s="10">
        <v>4.3499999999999996</v>
      </c>
      <c r="D54" s="10">
        <v>0.4</v>
      </c>
      <c r="E54" s="4">
        <v>10.130000000000001</v>
      </c>
      <c r="F54" s="5">
        <v>596428</v>
      </c>
      <c r="G54" s="6" t="s">
        <v>107</v>
      </c>
    </row>
    <row r="55" spans="1:7" x14ac:dyDescent="0.4">
      <c r="A55" s="1">
        <v>54</v>
      </c>
      <c r="B55" t="s">
        <v>53</v>
      </c>
      <c r="C55" s="10">
        <v>28.75</v>
      </c>
      <c r="D55" s="10">
        <v>2.63</v>
      </c>
      <c r="E55" s="4">
        <v>10.07</v>
      </c>
      <c r="F55" s="5">
        <v>19433739</v>
      </c>
      <c r="G55" s="6" t="s">
        <v>107</v>
      </c>
    </row>
    <row r="56" spans="1:7" x14ac:dyDescent="0.4">
      <c r="A56" s="1">
        <v>55</v>
      </c>
      <c r="B56" t="s">
        <v>54</v>
      </c>
      <c r="C56" s="10">
        <v>7.7</v>
      </c>
      <c r="D56" s="10">
        <v>0.7</v>
      </c>
      <c r="E56" s="4">
        <v>10</v>
      </c>
      <c r="F56" s="5">
        <v>1266948</v>
      </c>
      <c r="G56" s="6" t="s">
        <v>107</v>
      </c>
    </row>
    <row r="57" spans="1:7" x14ac:dyDescent="0.4">
      <c r="A57" s="1">
        <v>56</v>
      </c>
      <c r="B57" t="s">
        <v>55</v>
      </c>
      <c r="C57" s="10">
        <v>4.2</v>
      </c>
      <c r="D57" s="10">
        <v>0.37</v>
      </c>
      <c r="E57" s="4">
        <v>9.66</v>
      </c>
      <c r="F57" s="5">
        <v>361069</v>
      </c>
      <c r="G57" s="6" t="s">
        <v>107</v>
      </c>
    </row>
    <row r="58" spans="1:7" x14ac:dyDescent="0.4">
      <c r="A58" s="1">
        <v>57</v>
      </c>
      <c r="B58" t="s">
        <v>56</v>
      </c>
      <c r="C58" s="10">
        <v>20.45</v>
      </c>
      <c r="D58" s="10">
        <v>1.8</v>
      </c>
      <c r="E58" s="4">
        <v>9.65</v>
      </c>
      <c r="F58" s="5">
        <v>236494</v>
      </c>
      <c r="G58" s="6" t="s">
        <v>107</v>
      </c>
    </row>
    <row r="59" spans="1:7" x14ac:dyDescent="0.4">
      <c r="A59" s="1">
        <v>58</v>
      </c>
      <c r="B59" t="s">
        <v>57</v>
      </c>
      <c r="C59" s="10">
        <v>33.24</v>
      </c>
      <c r="D59" s="10">
        <v>2.9</v>
      </c>
      <c r="E59" s="4">
        <v>9.56</v>
      </c>
      <c r="F59" s="5">
        <v>1254218</v>
      </c>
      <c r="G59" s="6" t="s">
        <v>107</v>
      </c>
    </row>
    <row r="60" spans="1:7" x14ac:dyDescent="0.4">
      <c r="A60" s="1">
        <v>59</v>
      </c>
      <c r="B60" t="s">
        <v>58</v>
      </c>
      <c r="C60" s="10">
        <v>7.49</v>
      </c>
      <c r="D60" s="10">
        <v>0.65</v>
      </c>
      <c r="E60" s="4">
        <v>9.5</v>
      </c>
      <c r="F60" s="5">
        <v>78369</v>
      </c>
      <c r="G60" s="6" t="s">
        <v>107</v>
      </c>
    </row>
    <row r="61" spans="1:7" x14ac:dyDescent="0.4">
      <c r="A61" s="1">
        <v>60</v>
      </c>
      <c r="B61" t="s">
        <v>59</v>
      </c>
      <c r="C61" s="10">
        <v>2.9</v>
      </c>
      <c r="D61" s="10">
        <v>0.25</v>
      </c>
      <c r="E61" s="4">
        <v>9.43</v>
      </c>
      <c r="F61" s="5">
        <v>123465</v>
      </c>
      <c r="G61" s="6" t="s">
        <v>107</v>
      </c>
    </row>
    <row r="62" spans="1:7" x14ac:dyDescent="0.4">
      <c r="A62" s="1">
        <v>61</v>
      </c>
      <c r="B62" t="s">
        <v>60</v>
      </c>
      <c r="C62" s="10">
        <v>49.4</v>
      </c>
      <c r="D62" s="10">
        <v>4.25</v>
      </c>
      <c r="E62" s="4">
        <v>9.41</v>
      </c>
      <c r="F62" s="5">
        <v>20692</v>
      </c>
      <c r="G62" s="6" t="s">
        <v>107</v>
      </c>
    </row>
    <row r="63" spans="1:7" x14ac:dyDescent="0.4">
      <c r="A63" s="1">
        <v>62</v>
      </c>
      <c r="B63" t="s">
        <v>61</v>
      </c>
      <c r="C63" s="10">
        <v>66.400000000000006</v>
      </c>
      <c r="D63" s="10">
        <v>5.68</v>
      </c>
      <c r="E63" s="4">
        <v>9.35</v>
      </c>
      <c r="F63" s="5">
        <v>993736</v>
      </c>
      <c r="G63" s="6" t="s">
        <v>107</v>
      </c>
    </row>
    <row r="64" spans="1:7" x14ac:dyDescent="0.4">
      <c r="A64" s="1">
        <v>63</v>
      </c>
      <c r="B64" t="s">
        <v>62</v>
      </c>
      <c r="C64" s="10">
        <v>6.83</v>
      </c>
      <c r="D64" s="10">
        <v>0.57999999999999996</v>
      </c>
      <c r="E64" s="4">
        <v>9.2799999999999994</v>
      </c>
      <c r="F64" s="5">
        <v>3239214</v>
      </c>
      <c r="G64" s="6" t="s">
        <v>107</v>
      </c>
    </row>
    <row r="65" spans="1:7" x14ac:dyDescent="0.4">
      <c r="A65" s="1">
        <v>64</v>
      </c>
      <c r="B65" t="s">
        <v>63</v>
      </c>
      <c r="C65" s="10">
        <v>3.8</v>
      </c>
      <c r="D65" s="10">
        <v>0.32</v>
      </c>
      <c r="E65" s="4">
        <v>9.1999999999999993</v>
      </c>
      <c r="F65" s="5">
        <v>78463</v>
      </c>
      <c r="G65" s="6" t="s">
        <v>107</v>
      </c>
    </row>
    <row r="66" spans="1:7" x14ac:dyDescent="0.4">
      <c r="A66" s="1">
        <v>65</v>
      </c>
      <c r="B66" t="s">
        <v>64</v>
      </c>
      <c r="C66" s="10">
        <v>4.04</v>
      </c>
      <c r="D66" s="10">
        <v>0.34</v>
      </c>
      <c r="E66" s="4">
        <v>9.19</v>
      </c>
      <c r="F66" s="5">
        <v>702191</v>
      </c>
      <c r="G66" s="6" t="s">
        <v>107</v>
      </c>
    </row>
    <row r="67" spans="1:7" x14ac:dyDescent="0.4">
      <c r="A67" s="1">
        <v>66</v>
      </c>
      <c r="B67" t="s">
        <v>65</v>
      </c>
      <c r="C67" s="10">
        <v>3</v>
      </c>
      <c r="D67" s="10">
        <v>0.25</v>
      </c>
      <c r="E67" s="4">
        <v>9.09</v>
      </c>
      <c r="F67" s="5">
        <v>82055</v>
      </c>
      <c r="G67" s="6" t="s">
        <v>107</v>
      </c>
    </row>
    <row r="68" spans="1:7" x14ac:dyDescent="0.4">
      <c r="A68" s="1">
        <v>67</v>
      </c>
      <c r="B68" t="s">
        <v>66</v>
      </c>
      <c r="C68" s="10">
        <v>96.5</v>
      </c>
      <c r="D68" s="10">
        <v>8</v>
      </c>
      <c r="E68" s="4">
        <v>9.0399999999999991</v>
      </c>
      <c r="F68" s="5">
        <v>2647</v>
      </c>
      <c r="G68" s="6" t="s">
        <v>107</v>
      </c>
    </row>
    <row r="69" spans="1:7" x14ac:dyDescent="0.4">
      <c r="A69" s="1">
        <v>68</v>
      </c>
      <c r="B69" t="s">
        <v>67</v>
      </c>
      <c r="C69" s="10">
        <v>14.4</v>
      </c>
      <c r="D69" s="10">
        <v>1.19</v>
      </c>
      <c r="E69" s="4">
        <v>9.01</v>
      </c>
      <c r="F69" s="5">
        <v>821038</v>
      </c>
      <c r="G69" s="6" t="s">
        <v>107</v>
      </c>
    </row>
    <row r="70" spans="1:7" x14ac:dyDescent="0.4">
      <c r="A70" s="1">
        <v>69</v>
      </c>
      <c r="B70" t="s">
        <v>68</v>
      </c>
      <c r="C70" s="10">
        <v>49.02</v>
      </c>
      <c r="D70" s="10">
        <v>4.05</v>
      </c>
      <c r="E70" s="4">
        <v>9.01</v>
      </c>
      <c r="F70" s="5">
        <v>9339837</v>
      </c>
      <c r="G70" s="6" t="s">
        <v>107</v>
      </c>
    </row>
    <row r="71" spans="1:7" x14ac:dyDescent="0.4">
      <c r="A71" s="1">
        <v>70</v>
      </c>
      <c r="B71" t="s">
        <v>69</v>
      </c>
      <c r="C71" s="10">
        <v>35.47</v>
      </c>
      <c r="D71" s="10">
        <v>2.93</v>
      </c>
      <c r="E71" s="4">
        <v>9</v>
      </c>
      <c r="F71" s="5">
        <v>102875</v>
      </c>
      <c r="G71" s="6" t="s">
        <v>107</v>
      </c>
    </row>
    <row r="72" spans="1:7" x14ac:dyDescent="0.4">
      <c r="A72" s="1">
        <v>71</v>
      </c>
      <c r="B72" t="s">
        <v>70</v>
      </c>
      <c r="C72" s="10">
        <v>137.66999999999999</v>
      </c>
      <c r="D72" s="10">
        <v>11.35</v>
      </c>
      <c r="E72" s="4">
        <v>8.99</v>
      </c>
      <c r="F72" s="5">
        <v>672023</v>
      </c>
      <c r="G72" s="6" t="s">
        <v>107</v>
      </c>
    </row>
    <row r="73" spans="1:7" x14ac:dyDescent="0.4">
      <c r="A73" s="1">
        <v>72</v>
      </c>
      <c r="B73" t="s">
        <v>71</v>
      </c>
      <c r="C73" s="10">
        <v>2.5499999999999998</v>
      </c>
      <c r="D73" s="10">
        <v>0.21</v>
      </c>
      <c r="E73" s="4">
        <v>8.9700000000000006</v>
      </c>
      <c r="F73" s="5">
        <v>193662</v>
      </c>
      <c r="G73" s="6" t="s">
        <v>107</v>
      </c>
    </row>
    <row r="74" spans="1:7" x14ac:dyDescent="0.4">
      <c r="A74" s="1">
        <v>73</v>
      </c>
      <c r="B74" t="s">
        <v>72</v>
      </c>
      <c r="C74" s="10">
        <v>35.799999999999997</v>
      </c>
      <c r="D74" s="10">
        <v>2.92</v>
      </c>
      <c r="E74" s="4">
        <v>8.9</v>
      </c>
      <c r="F74" s="5">
        <v>732141</v>
      </c>
      <c r="G74" s="6" t="s">
        <v>107</v>
      </c>
    </row>
    <row r="75" spans="1:7" x14ac:dyDescent="0.4">
      <c r="A75" s="1">
        <v>74</v>
      </c>
      <c r="B75" t="s">
        <v>73</v>
      </c>
      <c r="C75" s="10">
        <v>4.92</v>
      </c>
      <c r="D75" s="10">
        <v>0.4</v>
      </c>
      <c r="E75" s="4">
        <v>8.85</v>
      </c>
      <c r="F75" s="5">
        <v>47998</v>
      </c>
      <c r="G75" s="6" t="s">
        <v>107</v>
      </c>
    </row>
    <row r="76" spans="1:7" x14ac:dyDescent="0.4">
      <c r="A76" s="1">
        <v>75</v>
      </c>
      <c r="B76" t="s">
        <v>74</v>
      </c>
      <c r="C76" s="10">
        <v>13.05</v>
      </c>
      <c r="D76" s="10">
        <v>1.05</v>
      </c>
      <c r="E76" s="4">
        <v>8.75</v>
      </c>
      <c r="F76" s="5">
        <v>2761746</v>
      </c>
      <c r="G76" s="6" t="s">
        <v>107</v>
      </c>
    </row>
    <row r="77" spans="1:7" x14ac:dyDescent="0.4">
      <c r="A77" s="1">
        <v>76</v>
      </c>
      <c r="B77" t="s">
        <v>75</v>
      </c>
      <c r="C77" s="10">
        <v>33.950000000000003</v>
      </c>
      <c r="D77" s="10">
        <v>2.72</v>
      </c>
      <c r="E77" s="4">
        <v>8.7100000000000009</v>
      </c>
      <c r="F77" s="5">
        <v>439120</v>
      </c>
      <c r="G77" s="6" t="s">
        <v>107</v>
      </c>
    </row>
    <row r="78" spans="1:7" x14ac:dyDescent="0.4">
      <c r="A78" s="1">
        <v>77</v>
      </c>
      <c r="B78" t="s">
        <v>76</v>
      </c>
      <c r="C78" s="10">
        <v>38.700000000000003</v>
      </c>
      <c r="D78" s="10">
        <v>3.1</v>
      </c>
      <c r="E78" s="4">
        <v>8.7100000000000009</v>
      </c>
      <c r="F78" s="5">
        <v>1220416</v>
      </c>
      <c r="G78" s="6" t="s">
        <v>107</v>
      </c>
    </row>
    <row r="79" spans="1:7" x14ac:dyDescent="0.4">
      <c r="A79" s="1">
        <v>78</v>
      </c>
      <c r="B79" t="s">
        <v>77</v>
      </c>
      <c r="C79" s="10">
        <v>20.239999999999998</v>
      </c>
      <c r="D79" s="10">
        <v>1.61</v>
      </c>
      <c r="E79" s="4">
        <v>8.64</v>
      </c>
      <c r="F79" s="5">
        <v>9140</v>
      </c>
      <c r="G79" s="6" t="s">
        <v>107</v>
      </c>
    </row>
    <row r="80" spans="1:7" x14ac:dyDescent="0.4">
      <c r="A80" s="1">
        <v>79</v>
      </c>
      <c r="B80" t="s">
        <v>78</v>
      </c>
      <c r="C80" s="10">
        <v>2.52</v>
      </c>
      <c r="D80" s="10">
        <v>0.2</v>
      </c>
      <c r="E80" s="4">
        <v>8.6199999999999992</v>
      </c>
      <c r="F80" s="5">
        <v>218893</v>
      </c>
      <c r="G80" s="6" t="s">
        <v>107</v>
      </c>
    </row>
    <row r="81" spans="1:7" x14ac:dyDescent="0.4">
      <c r="A81" s="1">
        <v>80</v>
      </c>
      <c r="B81" t="s">
        <v>79</v>
      </c>
      <c r="C81" s="10">
        <v>21.45</v>
      </c>
      <c r="D81" s="10">
        <v>1.7</v>
      </c>
      <c r="E81" s="4">
        <v>8.61</v>
      </c>
      <c r="F81" s="5">
        <v>2012494</v>
      </c>
      <c r="G81" s="6" t="s">
        <v>107</v>
      </c>
    </row>
    <row r="82" spans="1:7" x14ac:dyDescent="0.4">
      <c r="A82" s="1">
        <v>81</v>
      </c>
      <c r="B82" t="s">
        <v>80</v>
      </c>
      <c r="C82" s="10">
        <v>118.79</v>
      </c>
      <c r="D82" s="10">
        <v>9.32</v>
      </c>
      <c r="E82" s="4">
        <v>8.51</v>
      </c>
      <c r="F82" s="5">
        <v>683621</v>
      </c>
      <c r="G82" s="6" t="s">
        <v>107</v>
      </c>
    </row>
    <row r="83" spans="1:7" x14ac:dyDescent="0.4">
      <c r="A83" s="1">
        <v>82</v>
      </c>
      <c r="B83" t="s">
        <v>81</v>
      </c>
      <c r="C83" s="10">
        <v>2.4300000000000002</v>
      </c>
      <c r="D83" s="10">
        <v>0.19</v>
      </c>
      <c r="E83" s="4">
        <v>8.48</v>
      </c>
      <c r="F83" s="5">
        <v>7692</v>
      </c>
      <c r="G83" s="6" t="s">
        <v>107</v>
      </c>
    </row>
    <row r="84" spans="1:7" x14ac:dyDescent="0.4">
      <c r="A84" s="1">
        <v>83</v>
      </c>
      <c r="B84" t="s">
        <v>82</v>
      </c>
      <c r="C84" s="10">
        <v>92.29</v>
      </c>
      <c r="D84" s="10">
        <v>7.17</v>
      </c>
      <c r="E84" s="4">
        <v>8.42</v>
      </c>
      <c r="F84" s="5">
        <v>1432477</v>
      </c>
      <c r="G84" s="6" t="s">
        <v>107</v>
      </c>
    </row>
    <row r="85" spans="1:7" x14ac:dyDescent="0.4">
      <c r="A85" s="1">
        <v>84</v>
      </c>
      <c r="B85" t="s">
        <v>83</v>
      </c>
      <c r="C85" s="10">
        <v>13.02</v>
      </c>
      <c r="D85" s="10">
        <v>1.01</v>
      </c>
      <c r="E85" s="4">
        <v>8.41</v>
      </c>
      <c r="F85" s="5">
        <v>1805398</v>
      </c>
      <c r="G85" s="6" t="s">
        <v>107</v>
      </c>
    </row>
    <row r="86" spans="1:7" x14ac:dyDescent="0.4">
      <c r="A86" s="1">
        <v>85</v>
      </c>
      <c r="B86" t="s">
        <v>84</v>
      </c>
      <c r="C86" s="10">
        <v>3.27</v>
      </c>
      <c r="D86" s="10">
        <v>0.25</v>
      </c>
      <c r="E86" s="4">
        <v>8.2799999999999994</v>
      </c>
      <c r="F86" s="5">
        <v>790396</v>
      </c>
      <c r="G86" s="6" t="s">
        <v>107</v>
      </c>
    </row>
    <row r="87" spans="1:7" x14ac:dyDescent="0.4">
      <c r="A87" s="1">
        <v>86</v>
      </c>
      <c r="B87" t="s">
        <v>85</v>
      </c>
      <c r="C87" s="10">
        <v>5.25</v>
      </c>
      <c r="D87" s="10">
        <v>0.4</v>
      </c>
      <c r="E87" s="4">
        <v>8.25</v>
      </c>
      <c r="F87" s="5">
        <v>133920</v>
      </c>
      <c r="G87" s="6" t="s">
        <v>107</v>
      </c>
    </row>
    <row r="88" spans="1:7" x14ac:dyDescent="0.4">
      <c r="A88" s="1">
        <v>87</v>
      </c>
      <c r="B88" t="s">
        <v>86</v>
      </c>
      <c r="C88" s="10">
        <v>3.83</v>
      </c>
      <c r="D88" s="10">
        <v>0.28999999999999998</v>
      </c>
      <c r="E88" s="4">
        <v>8.19</v>
      </c>
      <c r="F88" s="5">
        <v>179059</v>
      </c>
      <c r="G88" s="6" t="s">
        <v>107</v>
      </c>
    </row>
    <row r="89" spans="1:7" x14ac:dyDescent="0.4">
      <c r="A89" s="1">
        <v>88</v>
      </c>
      <c r="B89" t="s">
        <v>87</v>
      </c>
      <c r="C89" s="10">
        <v>179.96</v>
      </c>
      <c r="D89" s="10">
        <v>13.6</v>
      </c>
      <c r="E89" s="4">
        <v>8.18</v>
      </c>
      <c r="F89" s="5">
        <v>5526778</v>
      </c>
      <c r="G89" s="6" t="s">
        <v>107</v>
      </c>
    </row>
    <row r="90" spans="1:7" x14ac:dyDescent="0.4">
      <c r="A90" s="1">
        <v>89</v>
      </c>
      <c r="B90" t="s">
        <v>88</v>
      </c>
      <c r="C90" s="10">
        <v>4.78</v>
      </c>
      <c r="D90" s="10">
        <v>0.36</v>
      </c>
      <c r="E90" s="4">
        <v>8.14</v>
      </c>
      <c r="F90" s="5">
        <v>1440743</v>
      </c>
      <c r="G90" s="6" t="s">
        <v>107</v>
      </c>
    </row>
    <row r="91" spans="1:7" x14ac:dyDescent="0.4">
      <c r="A91" s="1">
        <v>90</v>
      </c>
      <c r="B91" t="s">
        <v>89</v>
      </c>
      <c r="C91" s="10">
        <v>52.3</v>
      </c>
      <c r="D91" s="10">
        <v>3.92</v>
      </c>
      <c r="E91" s="4">
        <v>8.1</v>
      </c>
      <c r="F91" s="5">
        <v>399085</v>
      </c>
      <c r="G91" s="6" t="s">
        <v>107</v>
      </c>
    </row>
    <row r="92" spans="1:7" x14ac:dyDescent="0.4">
      <c r="A92" s="1">
        <v>91</v>
      </c>
      <c r="B92" t="s">
        <v>90</v>
      </c>
      <c r="C92" s="10">
        <v>26.55</v>
      </c>
      <c r="D92" s="10">
        <v>1.98</v>
      </c>
      <c r="E92" s="4">
        <v>8.06</v>
      </c>
      <c r="F92" s="5">
        <v>7036067</v>
      </c>
      <c r="G92" s="6" t="s">
        <v>107</v>
      </c>
    </row>
    <row r="93" spans="1:7" x14ac:dyDescent="0.4">
      <c r="A93" s="1">
        <v>92</v>
      </c>
      <c r="B93" t="s">
        <v>91</v>
      </c>
      <c r="C93" s="10">
        <v>8.75</v>
      </c>
      <c r="D93" s="10">
        <v>0.65</v>
      </c>
      <c r="E93" s="4">
        <v>8.02</v>
      </c>
      <c r="F93" s="5">
        <v>108014</v>
      </c>
      <c r="G93" s="6" t="s">
        <v>107</v>
      </c>
    </row>
    <row r="94" spans="1:7" x14ac:dyDescent="0.4">
      <c r="A94" s="1">
        <v>93</v>
      </c>
      <c r="B94" t="s">
        <v>92</v>
      </c>
      <c r="C94" s="10">
        <v>125.96</v>
      </c>
      <c r="D94" s="10">
        <v>9.33</v>
      </c>
      <c r="E94" s="4">
        <v>8</v>
      </c>
      <c r="F94" s="5">
        <v>46483</v>
      </c>
      <c r="G94" s="6" t="s">
        <v>107</v>
      </c>
    </row>
    <row r="95" spans="1:7" x14ac:dyDescent="0.4">
      <c r="A95" s="1">
        <v>94</v>
      </c>
      <c r="B95" t="s">
        <v>93</v>
      </c>
      <c r="C95" s="10">
        <v>10.29</v>
      </c>
      <c r="D95" s="10">
        <v>0.76</v>
      </c>
      <c r="E95" s="4">
        <v>7.97</v>
      </c>
      <c r="F95" s="5">
        <v>4026480</v>
      </c>
      <c r="G95" s="6" t="s">
        <v>107</v>
      </c>
    </row>
    <row r="96" spans="1:7" x14ac:dyDescent="0.4">
      <c r="A96" s="1">
        <v>95</v>
      </c>
      <c r="B96" t="s">
        <v>94</v>
      </c>
      <c r="C96" s="10">
        <v>22.9</v>
      </c>
      <c r="D96" s="10">
        <v>1.68</v>
      </c>
      <c r="E96" s="4">
        <v>7.92</v>
      </c>
      <c r="F96" s="5">
        <v>544125</v>
      </c>
      <c r="G96" s="6" t="s">
        <v>107</v>
      </c>
    </row>
    <row r="97" spans="1:7" x14ac:dyDescent="0.4">
      <c r="A97" s="1">
        <v>96</v>
      </c>
      <c r="B97" t="s">
        <v>95</v>
      </c>
      <c r="C97" s="10">
        <v>18.03</v>
      </c>
      <c r="D97" s="10">
        <v>1.32</v>
      </c>
      <c r="E97" s="4">
        <v>7.9</v>
      </c>
      <c r="F97" s="5">
        <v>5918137</v>
      </c>
      <c r="G97" s="6" t="s">
        <v>107</v>
      </c>
    </row>
    <row r="98" spans="1:7" x14ac:dyDescent="0.4">
      <c r="A98" s="1">
        <v>97</v>
      </c>
      <c r="B98" t="s">
        <v>96</v>
      </c>
      <c r="C98" s="10">
        <v>22.7</v>
      </c>
      <c r="D98" s="10">
        <v>1.66</v>
      </c>
      <c r="E98" s="4">
        <v>7.89</v>
      </c>
      <c r="F98" s="5">
        <v>6412297</v>
      </c>
      <c r="G98" s="6" t="s">
        <v>107</v>
      </c>
    </row>
    <row r="99" spans="1:7" x14ac:dyDescent="0.4">
      <c r="A99" s="1">
        <v>98</v>
      </c>
      <c r="B99" t="s">
        <v>97</v>
      </c>
      <c r="C99" s="10">
        <v>2.63</v>
      </c>
      <c r="D99" s="10">
        <v>0.19</v>
      </c>
      <c r="E99" s="4">
        <v>7.79</v>
      </c>
      <c r="F99" s="5">
        <v>26202</v>
      </c>
      <c r="G99" s="6" t="s">
        <v>107</v>
      </c>
    </row>
    <row r="100" spans="1:7" x14ac:dyDescent="0.4">
      <c r="A100" s="1"/>
      <c r="C100" s="10"/>
      <c r="D100" s="10"/>
      <c r="E100" s="4"/>
      <c r="F100" s="5"/>
    </row>
    <row r="101" spans="1:7" x14ac:dyDescent="0.4">
      <c r="A101" s="1"/>
      <c r="C101" s="10"/>
      <c r="D101" s="10"/>
      <c r="E101" s="4"/>
      <c r="F101" s="5"/>
    </row>
    <row r="102" spans="1:7" x14ac:dyDescent="0.4">
      <c r="A102" s="1"/>
      <c r="C102" s="10"/>
      <c r="D102" s="10"/>
      <c r="E102" s="4"/>
      <c r="F102" s="5"/>
    </row>
    <row r="103" spans="1:7" x14ac:dyDescent="0.4">
      <c r="A103" s="1"/>
      <c r="C103" s="10"/>
      <c r="D103" s="10"/>
      <c r="E103" s="4"/>
      <c r="F103" s="5"/>
    </row>
    <row r="104" spans="1:7" x14ac:dyDescent="0.4">
      <c r="A104" s="1"/>
      <c r="C104" s="10"/>
      <c r="D104" s="10"/>
      <c r="E104" s="4"/>
      <c r="F104" s="5"/>
    </row>
    <row r="105" spans="1:7" x14ac:dyDescent="0.4">
      <c r="A105" s="1"/>
      <c r="C105" s="10"/>
      <c r="D105" s="10"/>
      <c r="E105" s="4"/>
      <c r="F105" s="5"/>
    </row>
    <row r="106" spans="1:7" x14ac:dyDescent="0.4">
      <c r="A106" s="1"/>
      <c r="C106" s="10"/>
      <c r="D106" s="10"/>
      <c r="E106" s="4"/>
      <c r="F106" s="5"/>
    </row>
    <row r="107" spans="1:7" x14ac:dyDescent="0.4">
      <c r="A107" s="1"/>
      <c r="C107" s="10"/>
      <c r="D107" s="10"/>
      <c r="E107" s="4"/>
      <c r="F107" s="5"/>
    </row>
    <row r="108" spans="1:7" x14ac:dyDescent="0.4">
      <c r="A108" s="1"/>
      <c r="C108" s="10"/>
      <c r="D108" s="10"/>
      <c r="E108" s="4"/>
      <c r="F108" s="5"/>
    </row>
    <row r="109" spans="1:7" x14ac:dyDescent="0.4">
      <c r="A109" s="1"/>
      <c r="C109" s="10"/>
      <c r="D109" s="10"/>
      <c r="E109" s="4"/>
      <c r="F109" s="5"/>
    </row>
    <row r="110" spans="1:7" x14ac:dyDescent="0.4">
      <c r="A110" s="1"/>
      <c r="C110" s="10"/>
      <c r="D110" s="10"/>
      <c r="E110" s="4"/>
      <c r="F110" s="5"/>
    </row>
    <row r="111" spans="1:7" x14ac:dyDescent="0.4">
      <c r="A111" s="1"/>
      <c r="C111" s="10"/>
      <c r="D111" s="10"/>
      <c r="E111" s="4"/>
      <c r="F111" s="5"/>
    </row>
    <row r="112" spans="1:7" x14ac:dyDescent="0.4">
      <c r="A112" s="1"/>
      <c r="C112" s="10"/>
      <c r="D112" s="10"/>
      <c r="E112" s="4"/>
      <c r="F112" s="5"/>
    </row>
    <row r="113" spans="1:6" x14ac:dyDescent="0.4">
      <c r="A113" s="1"/>
      <c r="C113" s="10"/>
      <c r="D113" s="10"/>
      <c r="E113" s="4"/>
      <c r="F113" s="5"/>
    </row>
    <row r="114" spans="1:6" x14ac:dyDescent="0.4">
      <c r="A114" s="1"/>
      <c r="C114" s="10"/>
      <c r="D114" s="10"/>
      <c r="E114" s="4"/>
      <c r="F114" s="5"/>
    </row>
    <row r="115" spans="1:6" x14ac:dyDescent="0.4">
      <c r="A115" s="1"/>
      <c r="C115" s="10"/>
      <c r="D115" s="10"/>
      <c r="E115" s="4"/>
      <c r="F115" s="5"/>
    </row>
    <row r="116" spans="1:6" x14ac:dyDescent="0.4">
      <c r="A116" s="1"/>
      <c r="C116" s="10"/>
      <c r="D116" s="10"/>
      <c r="E116" s="4"/>
      <c r="F116" s="5"/>
    </row>
    <row r="117" spans="1:6" x14ac:dyDescent="0.4">
      <c r="A117" s="1"/>
      <c r="C117" s="10"/>
      <c r="D117" s="10"/>
      <c r="E117" s="4"/>
      <c r="F117" s="5"/>
    </row>
    <row r="118" spans="1:6" x14ac:dyDescent="0.4">
      <c r="A118" s="1"/>
      <c r="C118" s="10"/>
      <c r="D118" s="10"/>
      <c r="E118" s="4"/>
      <c r="F118" s="5"/>
    </row>
    <row r="119" spans="1:6" x14ac:dyDescent="0.4">
      <c r="A119" s="1"/>
      <c r="C119" s="10"/>
      <c r="D119" s="10"/>
      <c r="E119" s="4"/>
      <c r="F119" s="5"/>
    </row>
    <row r="120" spans="1:6" x14ac:dyDescent="0.4">
      <c r="A120" s="1"/>
      <c r="C120" s="10"/>
      <c r="D120" s="10"/>
      <c r="E120" s="4"/>
      <c r="F120" s="5"/>
    </row>
    <row r="121" spans="1:6" x14ac:dyDescent="0.4">
      <c r="A121" s="1"/>
      <c r="C121" s="10"/>
      <c r="D121" s="10"/>
      <c r="E121" s="4"/>
      <c r="F121" s="5"/>
    </row>
    <row r="122" spans="1:6" x14ac:dyDescent="0.4">
      <c r="A122" s="1"/>
      <c r="C122" s="10"/>
      <c r="D122" s="10"/>
      <c r="E122" s="4"/>
      <c r="F122" s="5"/>
    </row>
    <row r="123" spans="1:6" x14ac:dyDescent="0.4">
      <c r="A123" s="1"/>
      <c r="C123" s="10"/>
      <c r="D123" s="10"/>
      <c r="E123" s="4"/>
      <c r="F123" s="5"/>
    </row>
    <row r="124" spans="1:6" x14ac:dyDescent="0.4">
      <c r="A124" s="1"/>
      <c r="C124" s="10"/>
      <c r="D124" s="10"/>
      <c r="E124" s="4"/>
      <c r="F124" s="5"/>
    </row>
    <row r="125" spans="1:6" x14ac:dyDescent="0.4">
      <c r="A125" s="1"/>
      <c r="C125" s="10"/>
      <c r="D125" s="10"/>
      <c r="E125" s="4"/>
      <c r="F125" s="5"/>
    </row>
    <row r="126" spans="1:6" x14ac:dyDescent="0.4">
      <c r="A126" s="1"/>
      <c r="C126" s="10"/>
      <c r="D126" s="10"/>
      <c r="E126" s="4"/>
      <c r="F126" s="5"/>
    </row>
    <row r="127" spans="1:6" x14ac:dyDescent="0.4">
      <c r="A127" s="1"/>
      <c r="C127" s="10"/>
      <c r="D127" s="10"/>
      <c r="E127" s="4"/>
      <c r="F127" s="5"/>
    </row>
    <row r="128" spans="1:6" x14ac:dyDescent="0.4">
      <c r="A128" s="1"/>
      <c r="C128" s="10"/>
      <c r="D128" s="10"/>
      <c r="E128" s="4"/>
      <c r="F128" s="5"/>
    </row>
    <row r="129" spans="1:6" x14ac:dyDescent="0.4">
      <c r="A129" s="1"/>
      <c r="C129" s="10"/>
      <c r="D129" s="10"/>
      <c r="E129" s="4"/>
      <c r="F129" s="5"/>
    </row>
    <row r="130" spans="1:6" x14ac:dyDescent="0.4">
      <c r="A130" s="1"/>
      <c r="C130" s="10"/>
      <c r="D130" s="10"/>
      <c r="E130" s="4"/>
      <c r="F130" s="5"/>
    </row>
    <row r="131" spans="1:6" x14ac:dyDescent="0.4">
      <c r="A131" s="1"/>
      <c r="C131" s="10"/>
      <c r="D131" s="10"/>
      <c r="E131" s="4"/>
      <c r="F131" s="5"/>
    </row>
    <row r="132" spans="1:6" x14ac:dyDescent="0.4">
      <c r="A132" s="1"/>
      <c r="C132" s="10"/>
      <c r="D132" s="10"/>
      <c r="E132" s="4"/>
      <c r="F132" s="5"/>
    </row>
    <row r="133" spans="1:6" x14ac:dyDescent="0.4">
      <c r="A133" s="1"/>
      <c r="C133" s="10"/>
      <c r="D133" s="10"/>
      <c r="E133" s="4"/>
      <c r="F133" s="5"/>
    </row>
    <row r="134" spans="1:6" x14ac:dyDescent="0.4">
      <c r="A134" s="1"/>
      <c r="C134" s="10"/>
      <c r="D134" s="10"/>
      <c r="E134" s="4"/>
      <c r="F134" s="5"/>
    </row>
    <row r="135" spans="1:6" x14ac:dyDescent="0.4">
      <c r="A135" s="1"/>
      <c r="C135" s="10"/>
      <c r="D135" s="10"/>
      <c r="E135" s="4"/>
      <c r="F135" s="5"/>
    </row>
    <row r="136" spans="1:6" x14ac:dyDescent="0.4">
      <c r="A136" s="1"/>
      <c r="C136" s="10"/>
      <c r="D136" s="10"/>
      <c r="E136" s="4"/>
      <c r="F136" s="5"/>
    </row>
    <row r="137" spans="1:6" x14ac:dyDescent="0.4">
      <c r="A137" s="1"/>
      <c r="C137" s="10"/>
      <c r="D137" s="10"/>
      <c r="E137" s="4"/>
      <c r="F137" s="5"/>
    </row>
    <row r="138" spans="1:6" x14ac:dyDescent="0.4">
      <c r="A138" s="1"/>
      <c r="C138" s="10"/>
      <c r="D138" s="10"/>
      <c r="E138" s="4"/>
      <c r="F138" s="5"/>
    </row>
    <row r="139" spans="1:6" x14ac:dyDescent="0.4">
      <c r="A139" s="1"/>
      <c r="C139" s="10"/>
      <c r="D139" s="10"/>
      <c r="E139" s="4"/>
      <c r="F139" s="5"/>
    </row>
    <row r="140" spans="1:6" x14ac:dyDescent="0.4">
      <c r="A140" s="1"/>
      <c r="C140" s="10"/>
      <c r="D140" s="10"/>
      <c r="E140" s="4"/>
      <c r="F140" s="5"/>
    </row>
    <row r="141" spans="1:6" x14ac:dyDescent="0.4">
      <c r="A141" s="1"/>
      <c r="C141" s="10"/>
      <c r="D141" s="10"/>
      <c r="E141" s="4"/>
      <c r="F141" s="5"/>
    </row>
    <row r="142" spans="1:6" x14ac:dyDescent="0.4">
      <c r="A142" s="1"/>
      <c r="C142" s="10"/>
      <c r="D142" s="10"/>
      <c r="E142" s="4"/>
      <c r="F142" s="5"/>
    </row>
    <row r="143" spans="1:6" x14ac:dyDescent="0.4">
      <c r="A143" s="1"/>
      <c r="C143" s="10"/>
      <c r="D143" s="10"/>
      <c r="E143" s="4"/>
      <c r="F143" s="5"/>
    </row>
    <row r="144" spans="1:6" x14ac:dyDescent="0.4">
      <c r="A144" s="1"/>
      <c r="C144" s="10"/>
      <c r="D144" s="10"/>
      <c r="E144" s="4"/>
      <c r="F144" s="5"/>
    </row>
    <row r="145" spans="1:6" x14ac:dyDescent="0.4">
      <c r="A145" s="1"/>
      <c r="C145" s="10"/>
      <c r="D145" s="10"/>
      <c r="E145" s="4"/>
      <c r="F145" s="5"/>
    </row>
    <row r="146" spans="1:6" x14ac:dyDescent="0.4">
      <c r="A146" s="1"/>
      <c r="C146" s="10"/>
      <c r="D146" s="10"/>
      <c r="E146" s="4"/>
      <c r="F146" s="5"/>
    </row>
    <row r="147" spans="1:6" x14ac:dyDescent="0.4">
      <c r="A147" s="1"/>
      <c r="C147" s="10"/>
      <c r="D147" s="10"/>
      <c r="E147" s="4"/>
      <c r="F147" s="5"/>
    </row>
    <row r="148" spans="1:6" x14ac:dyDescent="0.4">
      <c r="A148" s="1"/>
      <c r="C148" s="10"/>
      <c r="D148" s="10"/>
      <c r="E148" s="4"/>
      <c r="F148" s="5"/>
    </row>
    <row r="149" spans="1:6" x14ac:dyDescent="0.4">
      <c r="A149" s="1"/>
      <c r="C149" s="10"/>
      <c r="D149" s="10"/>
      <c r="E149" s="4"/>
      <c r="F149" s="5"/>
    </row>
    <row r="150" spans="1:6" x14ac:dyDescent="0.4">
      <c r="A150" s="1"/>
      <c r="C150" s="10"/>
      <c r="D150" s="10"/>
      <c r="E150" s="4"/>
      <c r="F150" s="5"/>
    </row>
    <row r="151" spans="1:6" x14ac:dyDescent="0.4">
      <c r="A151" s="1"/>
      <c r="C151" s="10"/>
      <c r="D151" s="10"/>
      <c r="E151" s="4"/>
      <c r="F151" s="5"/>
    </row>
    <row r="152" spans="1:6" x14ac:dyDescent="0.4">
      <c r="A152" s="1"/>
      <c r="C152" s="10"/>
      <c r="D152" s="10"/>
      <c r="E152" s="4"/>
      <c r="F152" s="5"/>
    </row>
    <row r="153" spans="1:6" x14ac:dyDescent="0.4">
      <c r="A153" s="1"/>
      <c r="C153" s="10"/>
      <c r="D153" s="10"/>
      <c r="E153" s="4"/>
      <c r="F153" s="5"/>
    </row>
    <row r="154" spans="1:6" x14ac:dyDescent="0.4">
      <c r="A154" s="1"/>
      <c r="C154" s="10"/>
      <c r="D154" s="10"/>
      <c r="E154" s="4"/>
      <c r="F154" s="5"/>
    </row>
    <row r="155" spans="1:6" x14ac:dyDescent="0.4">
      <c r="A155" s="1"/>
      <c r="C155" s="10"/>
      <c r="D155" s="10"/>
      <c r="E155" s="4"/>
      <c r="F155" s="5"/>
    </row>
    <row r="156" spans="1:6" x14ac:dyDescent="0.4">
      <c r="A156" s="1"/>
      <c r="C156" s="10"/>
      <c r="D156" s="10"/>
      <c r="E156" s="4"/>
      <c r="F156" s="5"/>
    </row>
    <row r="157" spans="1:6" x14ac:dyDescent="0.4">
      <c r="A157" s="1"/>
      <c r="C157" s="10"/>
      <c r="D157" s="10"/>
      <c r="E157" s="4"/>
      <c r="F157" s="5"/>
    </row>
    <row r="158" spans="1:6" x14ac:dyDescent="0.4">
      <c r="A158" s="1"/>
      <c r="C158" s="10"/>
      <c r="D158" s="10"/>
      <c r="E158" s="4"/>
      <c r="F158" s="5"/>
    </row>
    <row r="159" spans="1:6" x14ac:dyDescent="0.4">
      <c r="A159" s="1"/>
      <c r="C159" s="10"/>
      <c r="D159" s="10"/>
      <c r="E159" s="4"/>
      <c r="F159" s="5"/>
    </row>
    <row r="160" spans="1:6" x14ac:dyDescent="0.4">
      <c r="A160" s="1"/>
      <c r="C160" s="10"/>
      <c r="D160" s="10"/>
      <c r="E160" s="4"/>
      <c r="F160" s="5"/>
    </row>
    <row r="161" spans="1:6" x14ac:dyDescent="0.4">
      <c r="A161" s="1"/>
      <c r="C161" s="10"/>
      <c r="D161" s="10"/>
      <c r="E161" s="4"/>
      <c r="F161" s="5"/>
    </row>
    <row r="162" spans="1:6" x14ac:dyDescent="0.4">
      <c r="A162" s="1"/>
      <c r="C162" s="10"/>
      <c r="D162" s="10"/>
      <c r="E162" s="4"/>
      <c r="F162" s="5"/>
    </row>
    <row r="163" spans="1:6" x14ac:dyDescent="0.4">
      <c r="A163" s="1"/>
      <c r="C163" s="10"/>
      <c r="D163" s="10"/>
      <c r="E163" s="4"/>
      <c r="F163" s="5"/>
    </row>
    <row r="164" spans="1:6" x14ac:dyDescent="0.4">
      <c r="A164" s="1"/>
      <c r="C164" s="10"/>
      <c r="D164" s="10"/>
      <c r="E164" s="4"/>
      <c r="F164" s="5"/>
    </row>
    <row r="165" spans="1:6" x14ac:dyDescent="0.4">
      <c r="A165" s="1"/>
      <c r="C165" s="10"/>
      <c r="D165" s="10"/>
      <c r="E165" s="4"/>
      <c r="F165" s="5"/>
    </row>
    <row r="166" spans="1:6" x14ac:dyDescent="0.4">
      <c r="A166" s="1"/>
      <c r="C166" s="10"/>
      <c r="D166" s="10"/>
      <c r="E166" s="4"/>
      <c r="F166" s="5"/>
    </row>
    <row r="167" spans="1:6" x14ac:dyDescent="0.4">
      <c r="A167" s="1"/>
      <c r="C167" s="10"/>
      <c r="D167" s="10"/>
      <c r="E167" s="4"/>
      <c r="F167" s="5"/>
    </row>
    <row r="168" spans="1:6" x14ac:dyDescent="0.4">
      <c r="A168" s="1"/>
      <c r="C168" s="10"/>
      <c r="D168" s="10"/>
      <c r="E168" s="4"/>
      <c r="F168" s="5"/>
    </row>
    <row r="169" spans="1:6" x14ac:dyDescent="0.4">
      <c r="A169" s="1"/>
      <c r="C169" s="10"/>
      <c r="D169" s="10"/>
      <c r="E169" s="4"/>
      <c r="F169" s="5"/>
    </row>
    <row r="170" spans="1:6" x14ac:dyDescent="0.4">
      <c r="A170" s="1"/>
      <c r="C170" s="10"/>
      <c r="D170" s="10"/>
      <c r="E170" s="4"/>
      <c r="F170" s="5"/>
    </row>
    <row r="171" spans="1:6" x14ac:dyDescent="0.4">
      <c r="A171" s="1"/>
      <c r="C171" s="10"/>
      <c r="D171" s="10"/>
      <c r="E171" s="4"/>
      <c r="F171" s="5"/>
    </row>
    <row r="172" spans="1:6" x14ac:dyDescent="0.4">
      <c r="A172" s="1"/>
      <c r="C172" s="10"/>
      <c r="D172" s="10"/>
      <c r="E172" s="4"/>
      <c r="F172" s="5"/>
    </row>
    <row r="173" spans="1:6" x14ac:dyDescent="0.4">
      <c r="A173" s="1"/>
      <c r="C173" s="10"/>
      <c r="D173" s="10"/>
      <c r="E173" s="4"/>
      <c r="F173" s="5"/>
    </row>
    <row r="174" spans="1:6" x14ac:dyDescent="0.4">
      <c r="A174" s="1"/>
      <c r="C174" s="10"/>
      <c r="D174" s="10"/>
      <c r="E174" s="4"/>
      <c r="F174" s="5"/>
    </row>
    <row r="175" spans="1:6" x14ac:dyDescent="0.4">
      <c r="A175" s="1"/>
      <c r="C175" s="10"/>
      <c r="D175" s="10"/>
      <c r="E175" s="4"/>
      <c r="F175" s="5"/>
    </row>
    <row r="176" spans="1:6" x14ac:dyDescent="0.4">
      <c r="A176" s="1"/>
      <c r="C176" s="10"/>
      <c r="D176" s="10"/>
      <c r="E176" s="4"/>
      <c r="F176" s="5"/>
    </row>
    <row r="177" spans="1:6" x14ac:dyDescent="0.4">
      <c r="A177" s="1"/>
      <c r="C177" s="10"/>
      <c r="D177" s="10"/>
      <c r="E177" s="4"/>
      <c r="F177" s="5"/>
    </row>
    <row r="178" spans="1:6" x14ac:dyDescent="0.4">
      <c r="A178" s="1"/>
      <c r="C178" s="10"/>
      <c r="D178" s="10"/>
      <c r="E178" s="4"/>
      <c r="F178" s="5"/>
    </row>
    <row r="179" spans="1:6" x14ac:dyDescent="0.4">
      <c r="A179" s="1"/>
      <c r="C179" s="10"/>
      <c r="D179" s="10"/>
      <c r="E179" s="4"/>
      <c r="F179" s="5"/>
    </row>
    <row r="180" spans="1:6" x14ac:dyDescent="0.4">
      <c r="A180" s="1"/>
      <c r="C180" s="10"/>
      <c r="D180" s="10"/>
      <c r="E180" s="4"/>
      <c r="F180" s="5"/>
    </row>
    <row r="181" spans="1:6" x14ac:dyDescent="0.4">
      <c r="A181" s="1"/>
      <c r="C181" s="10"/>
      <c r="D181" s="10"/>
      <c r="E181" s="4"/>
      <c r="F181" s="5"/>
    </row>
    <row r="182" spans="1:6" x14ac:dyDescent="0.4">
      <c r="A182" s="1"/>
      <c r="C182" s="10"/>
      <c r="D182" s="10"/>
      <c r="E182" s="4"/>
      <c r="F182" s="5"/>
    </row>
    <row r="183" spans="1:6" x14ac:dyDescent="0.4">
      <c r="A183" s="1"/>
      <c r="C183" s="10"/>
      <c r="D183" s="10"/>
      <c r="E183" s="4"/>
      <c r="F183" s="5"/>
    </row>
    <row r="184" spans="1:6" x14ac:dyDescent="0.4">
      <c r="A184" s="1"/>
      <c r="C184" s="10"/>
      <c r="D184" s="10"/>
      <c r="E184" s="4"/>
      <c r="F184" s="5"/>
    </row>
    <row r="185" spans="1:6" x14ac:dyDescent="0.4">
      <c r="A185" s="1"/>
      <c r="C185" s="10"/>
      <c r="D185" s="10"/>
      <c r="E185" s="4"/>
      <c r="F185" s="5"/>
    </row>
    <row r="186" spans="1:6" x14ac:dyDescent="0.4">
      <c r="A186" s="1"/>
      <c r="C186" s="10"/>
      <c r="D186" s="10"/>
      <c r="E186" s="4"/>
      <c r="F186" s="5"/>
    </row>
    <row r="187" spans="1:6" x14ac:dyDescent="0.4">
      <c r="A187" s="1"/>
      <c r="C187" s="10"/>
      <c r="D187" s="10"/>
      <c r="E187" s="4"/>
      <c r="F187" s="5"/>
    </row>
    <row r="188" spans="1:6" x14ac:dyDescent="0.4">
      <c r="A188" s="1"/>
      <c r="C188" s="10"/>
      <c r="D188" s="10"/>
      <c r="E188" s="4"/>
      <c r="F188" s="5"/>
    </row>
    <row r="189" spans="1:6" x14ac:dyDescent="0.4">
      <c r="A189" s="1"/>
      <c r="C189" s="10"/>
      <c r="D189" s="10"/>
      <c r="E189" s="4"/>
      <c r="F189" s="5"/>
    </row>
    <row r="190" spans="1:6" x14ac:dyDescent="0.4">
      <c r="A190" s="1"/>
      <c r="C190" s="10"/>
      <c r="D190" s="10"/>
      <c r="E190" s="4"/>
      <c r="F190" s="5"/>
    </row>
    <row r="191" spans="1:6" x14ac:dyDescent="0.4">
      <c r="A191" s="1"/>
      <c r="C191" s="10"/>
      <c r="D191" s="10"/>
      <c r="E191" s="4"/>
      <c r="F191" s="5"/>
    </row>
    <row r="192" spans="1:6" x14ac:dyDescent="0.4">
      <c r="A192" s="1"/>
      <c r="C192" s="10"/>
      <c r="D192" s="10"/>
      <c r="E192" s="4"/>
      <c r="F192" s="5"/>
    </row>
    <row r="193" spans="1:6" x14ac:dyDescent="0.4">
      <c r="A193" s="1"/>
      <c r="C193" s="10"/>
      <c r="D193" s="10"/>
      <c r="E193" s="4"/>
      <c r="F193" s="5"/>
    </row>
    <row r="194" spans="1:6" x14ac:dyDescent="0.4">
      <c r="A194" s="1"/>
      <c r="C194" s="10"/>
      <c r="D194" s="10"/>
      <c r="E194" s="4"/>
      <c r="F194" s="5"/>
    </row>
    <row r="195" spans="1:6" x14ac:dyDescent="0.4">
      <c r="A195" s="1"/>
      <c r="C195" s="10"/>
      <c r="D195" s="10"/>
      <c r="E195" s="4"/>
      <c r="F195" s="5"/>
    </row>
    <row r="196" spans="1:6" x14ac:dyDescent="0.4">
      <c r="A196" s="1"/>
      <c r="C196" s="10"/>
      <c r="D196" s="10"/>
      <c r="E196" s="4"/>
      <c r="F196" s="5"/>
    </row>
    <row r="197" spans="1:6" x14ac:dyDescent="0.4">
      <c r="A197" s="1"/>
      <c r="C197" s="10"/>
      <c r="D197" s="10"/>
      <c r="E197" s="4"/>
      <c r="F197" s="5"/>
    </row>
    <row r="198" spans="1:6" x14ac:dyDescent="0.4">
      <c r="A198" s="1"/>
      <c r="C198" s="10"/>
      <c r="D198" s="10"/>
      <c r="E198" s="4"/>
      <c r="F198" s="5"/>
    </row>
    <row r="199" spans="1:6" x14ac:dyDescent="0.4">
      <c r="A199" s="1"/>
      <c r="C199" s="10"/>
      <c r="D199" s="10"/>
      <c r="E199" s="4"/>
      <c r="F199" s="5"/>
    </row>
    <row r="200" spans="1:6" x14ac:dyDescent="0.4">
      <c r="A200" s="1"/>
      <c r="C200" s="10"/>
      <c r="D200" s="10"/>
      <c r="E200" s="4"/>
      <c r="F200" s="5"/>
    </row>
    <row r="201" spans="1:6" x14ac:dyDescent="0.4">
      <c r="A201" s="1"/>
      <c r="C201" s="10"/>
      <c r="D201" s="10"/>
      <c r="E201" s="4"/>
      <c r="F201" s="5"/>
    </row>
    <row r="202" spans="1:6" x14ac:dyDescent="0.4">
      <c r="A202" s="1"/>
      <c r="C202" s="10"/>
      <c r="D202" s="10"/>
      <c r="E202" s="4"/>
      <c r="F202" s="5"/>
    </row>
    <row r="203" spans="1:6" x14ac:dyDescent="0.4">
      <c r="A203" s="1"/>
      <c r="C203" s="10"/>
      <c r="D203" s="10"/>
      <c r="E203" s="4"/>
      <c r="F203" s="5"/>
    </row>
    <row r="204" spans="1:6" x14ac:dyDescent="0.4">
      <c r="A204" s="1"/>
      <c r="C204" s="10"/>
      <c r="D204" s="10"/>
      <c r="E204" s="4"/>
      <c r="F204" s="5"/>
    </row>
    <row r="205" spans="1:6" x14ac:dyDescent="0.4">
      <c r="A205" s="1"/>
      <c r="C205" s="10"/>
      <c r="D205" s="10"/>
      <c r="E205" s="4"/>
      <c r="F205" s="5"/>
    </row>
    <row r="206" spans="1:6" x14ac:dyDescent="0.4">
      <c r="A206" s="1"/>
      <c r="C206" s="10"/>
      <c r="D206" s="10"/>
      <c r="E206" s="4"/>
      <c r="F206" s="5"/>
    </row>
    <row r="207" spans="1:6" x14ac:dyDescent="0.4">
      <c r="A207" s="1"/>
      <c r="C207" s="10"/>
      <c r="D207" s="10"/>
      <c r="E207" s="4"/>
      <c r="F207" s="5"/>
    </row>
    <row r="208" spans="1:6" x14ac:dyDescent="0.4">
      <c r="A208" s="1"/>
      <c r="C208" s="10"/>
      <c r="D208" s="10"/>
      <c r="E208" s="4"/>
      <c r="F208" s="5"/>
    </row>
    <row r="209" spans="1:6" x14ac:dyDescent="0.4">
      <c r="A209" s="1"/>
      <c r="C209" s="10"/>
      <c r="D209" s="10"/>
      <c r="E209" s="4"/>
      <c r="F209" s="5"/>
    </row>
    <row r="210" spans="1:6" x14ac:dyDescent="0.4">
      <c r="A210" s="1"/>
      <c r="C210" s="10"/>
      <c r="D210" s="10"/>
      <c r="E210" s="4"/>
      <c r="F210" s="5"/>
    </row>
    <row r="211" spans="1:6" x14ac:dyDescent="0.4">
      <c r="A211" s="1"/>
      <c r="C211" s="10"/>
      <c r="D211" s="10"/>
      <c r="E211" s="4"/>
      <c r="F211" s="5"/>
    </row>
    <row r="212" spans="1:6" x14ac:dyDescent="0.4">
      <c r="A212" s="1"/>
      <c r="C212" s="10"/>
      <c r="D212" s="10"/>
      <c r="E212" s="4"/>
      <c r="F212" s="5"/>
    </row>
    <row r="213" spans="1:6" x14ac:dyDescent="0.4">
      <c r="A213" s="1"/>
      <c r="C213" s="10"/>
      <c r="D213" s="10"/>
      <c r="E213" s="4"/>
      <c r="F213" s="5"/>
    </row>
    <row r="214" spans="1:6" x14ac:dyDescent="0.4">
      <c r="A214" s="1"/>
      <c r="C214" s="10"/>
      <c r="D214" s="10"/>
      <c r="E214" s="4"/>
      <c r="F214" s="5"/>
    </row>
    <row r="215" spans="1:6" x14ac:dyDescent="0.4">
      <c r="A215" s="1"/>
      <c r="C215" s="10"/>
      <c r="D215" s="10"/>
      <c r="E215" s="4"/>
      <c r="F215" s="5"/>
    </row>
    <row r="216" spans="1:6" x14ac:dyDescent="0.4">
      <c r="A216" s="1"/>
      <c r="C216" s="10"/>
      <c r="D216" s="10"/>
      <c r="E216" s="4"/>
      <c r="F216" s="5"/>
    </row>
    <row r="217" spans="1:6" x14ac:dyDescent="0.4">
      <c r="A217" s="1"/>
      <c r="C217" s="10"/>
      <c r="D217" s="10"/>
      <c r="E217" s="4"/>
      <c r="F217" s="5"/>
    </row>
    <row r="218" spans="1:6" x14ac:dyDescent="0.4">
      <c r="A218" s="1"/>
      <c r="C218" s="10"/>
      <c r="D218" s="10"/>
      <c r="E218" s="4"/>
      <c r="F218" s="5"/>
    </row>
    <row r="219" spans="1:6" x14ac:dyDescent="0.4">
      <c r="A219" s="1"/>
      <c r="C219" s="10"/>
      <c r="D219" s="10"/>
      <c r="E219" s="4"/>
      <c r="F219" s="5"/>
    </row>
    <row r="220" spans="1:6" x14ac:dyDescent="0.4">
      <c r="A220" s="1"/>
      <c r="C220" s="10"/>
      <c r="D220" s="10"/>
      <c r="E220" s="4"/>
      <c r="F220" s="5"/>
    </row>
    <row r="221" spans="1:6" x14ac:dyDescent="0.4">
      <c r="A221" s="1"/>
      <c r="C221" s="10"/>
      <c r="D221" s="10"/>
      <c r="E221" s="4"/>
      <c r="F221" s="5"/>
    </row>
    <row r="222" spans="1:6" x14ac:dyDescent="0.4">
      <c r="A222" s="1"/>
      <c r="C222" s="10"/>
      <c r="D222" s="10"/>
      <c r="E222" s="4"/>
      <c r="F222" s="5"/>
    </row>
    <row r="223" spans="1:6" x14ac:dyDescent="0.4">
      <c r="A223" s="1"/>
      <c r="C223" s="10"/>
      <c r="D223" s="10"/>
      <c r="E223" s="4"/>
      <c r="F223" s="5"/>
    </row>
    <row r="224" spans="1:6" x14ac:dyDescent="0.4">
      <c r="A224" s="1"/>
      <c r="C224" s="10"/>
      <c r="D224" s="10"/>
      <c r="E224" s="4"/>
      <c r="F224" s="5"/>
    </row>
    <row r="225" spans="1:6" x14ac:dyDescent="0.4">
      <c r="A225" s="1"/>
      <c r="C225" s="10"/>
      <c r="D225" s="10"/>
      <c r="E225" s="4"/>
      <c r="F225" s="5"/>
    </row>
    <row r="226" spans="1:6" x14ac:dyDescent="0.4">
      <c r="A226" s="1"/>
      <c r="C226" s="10"/>
      <c r="D226" s="10"/>
      <c r="E226" s="4"/>
      <c r="F226" s="5"/>
    </row>
    <row r="227" spans="1:6" x14ac:dyDescent="0.4">
      <c r="A227" s="1"/>
      <c r="C227" s="10"/>
      <c r="D227" s="10"/>
      <c r="E227" s="4"/>
      <c r="F227" s="5"/>
    </row>
    <row r="228" spans="1:6" x14ac:dyDescent="0.4">
      <c r="A228" s="1"/>
      <c r="C228" s="10"/>
      <c r="D228" s="10"/>
      <c r="E228" s="4"/>
      <c r="F228" s="5"/>
    </row>
    <row r="229" spans="1:6" x14ac:dyDescent="0.4">
      <c r="A229" s="1"/>
      <c r="C229" s="10"/>
      <c r="D229" s="10"/>
      <c r="E229" s="4"/>
      <c r="F229" s="5"/>
    </row>
    <row r="230" spans="1:6" x14ac:dyDescent="0.4">
      <c r="A230" s="1"/>
      <c r="C230" s="10"/>
      <c r="D230" s="10"/>
      <c r="E230" s="4"/>
      <c r="F230" s="5"/>
    </row>
    <row r="231" spans="1:6" x14ac:dyDescent="0.4">
      <c r="A231" s="1"/>
      <c r="C231" s="10"/>
      <c r="D231" s="10"/>
      <c r="E231" s="4"/>
      <c r="F231" s="5"/>
    </row>
    <row r="232" spans="1:6" x14ac:dyDescent="0.4">
      <c r="A232" s="1"/>
      <c r="C232" s="10"/>
      <c r="D232" s="10"/>
      <c r="E232" s="4"/>
      <c r="F232" s="5"/>
    </row>
    <row r="233" spans="1:6" x14ac:dyDescent="0.4">
      <c r="A233" s="1"/>
      <c r="C233" s="10"/>
      <c r="D233" s="10"/>
      <c r="E233" s="4"/>
      <c r="F233" s="5"/>
    </row>
    <row r="234" spans="1:6" x14ac:dyDescent="0.4">
      <c r="A234" s="1"/>
      <c r="C234" s="10"/>
      <c r="D234" s="10"/>
      <c r="E234" s="4"/>
      <c r="F234" s="5"/>
    </row>
    <row r="235" spans="1:6" x14ac:dyDescent="0.4">
      <c r="A235" s="1"/>
      <c r="C235" s="10"/>
      <c r="D235" s="10"/>
      <c r="E235" s="4"/>
      <c r="F235" s="5"/>
    </row>
    <row r="236" spans="1:6" x14ac:dyDescent="0.4">
      <c r="A236" s="1"/>
      <c r="C236" s="10"/>
      <c r="D236" s="10"/>
      <c r="E236" s="4"/>
      <c r="F236" s="5"/>
    </row>
    <row r="237" spans="1:6" x14ac:dyDescent="0.4">
      <c r="A237" s="1"/>
      <c r="C237" s="10"/>
      <c r="D237" s="10"/>
      <c r="E237" s="4"/>
      <c r="F237" s="5"/>
    </row>
    <row r="238" spans="1:6" x14ac:dyDescent="0.4">
      <c r="A238" s="1"/>
      <c r="C238" s="10"/>
      <c r="D238" s="10"/>
      <c r="E238" s="4"/>
      <c r="F238" s="5"/>
    </row>
    <row r="239" spans="1:6" x14ac:dyDescent="0.4">
      <c r="A239" s="1"/>
      <c r="C239" s="10"/>
      <c r="D239" s="10"/>
      <c r="E239" s="4"/>
      <c r="F239" s="5"/>
    </row>
    <row r="240" spans="1:6" x14ac:dyDescent="0.4">
      <c r="A240" s="1"/>
      <c r="C240" s="10"/>
      <c r="D240" s="10"/>
      <c r="E240" s="4"/>
      <c r="F240" s="5"/>
    </row>
    <row r="241" spans="1:6" x14ac:dyDescent="0.4">
      <c r="A241" s="1"/>
      <c r="C241" s="10"/>
      <c r="D241" s="10"/>
      <c r="E241" s="4"/>
      <c r="F241" s="5"/>
    </row>
    <row r="242" spans="1:6" x14ac:dyDescent="0.4">
      <c r="A242" s="1"/>
      <c r="C242" s="10"/>
      <c r="D242" s="10"/>
      <c r="E242" s="4"/>
      <c r="F242" s="5"/>
    </row>
    <row r="243" spans="1:6" x14ac:dyDescent="0.4">
      <c r="A243" s="1"/>
      <c r="C243" s="10"/>
      <c r="D243" s="10"/>
      <c r="E243" s="4"/>
      <c r="F243" s="5"/>
    </row>
    <row r="244" spans="1:6" x14ac:dyDescent="0.4">
      <c r="A244" s="1"/>
      <c r="C244" s="10"/>
      <c r="D244" s="10"/>
      <c r="E244" s="4"/>
      <c r="F244" s="5"/>
    </row>
    <row r="245" spans="1:6" x14ac:dyDescent="0.4">
      <c r="A245" s="1"/>
      <c r="C245" s="10"/>
      <c r="D245" s="10"/>
      <c r="E245" s="4"/>
      <c r="F245" s="5"/>
    </row>
    <row r="246" spans="1:6" x14ac:dyDescent="0.4">
      <c r="A246" s="1"/>
      <c r="C246" s="10"/>
      <c r="D246" s="10"/>
      <c r="E246" s="4"/>
      <c r="F246" s="5"/>
    </row>
    <row r="247" spans="1:6" x14ac:dyDescent="0.4">
      <c r="A247" s="1"/>
      <c r="C247" s="10"/>
      <c r="D247" s="10"/>
      <c r="E247" s="4"/>
      <c r="F247" s="5"/>
    </row>
    <row r="248" spans="1:6" x14ac:dyDescent="0.4">
      <c r="A248" s="1"/>
      <c r="C248" s="10"/>
      <c r="D248" s="10"/>
      <c r="E248" s="4"/>
      <c r="F248" s="5"/>
    </row>
    <row r="249" spans="1:6" x14ac:dyDescent="0.4">
      <c r="A249" s="1"/>
      <c r="C249" s="10"/>
      <c r="D249" s="10"/>
      <c r="E249" s="4"/>
      <c r="F249" s="5"/>
    </row>
    <row r="250" spans="1:6" x14ac:dyDescent="0.4">
      <c r="A250" s="1"/>
      <c r="C250" s="10"/>
      <c r="D250" s="10"/>
      <c r="E250" s="4"/>
      <c r="F250" s="5"/>
    </row>
    <row r="251" spans="1:6" x14ac:dyDescent="0.4">
      <c r="A251" s="1"/>
      <c r="C251" s="10"/>
      <c r="D251" s="10"/>
      <c r="E251" s="4"/>
      <c r="F251" s="5"/>
    </row>
    <row r="252" spans="1:6" x14ac:dyDescent="0.4">
      <c r="A252" s="1"/>
      <c r="C252" s="10"/>
      <c r="D252" s="10"/>
      <c r="E252" s="4"/>
      <c r="F252" s="5"/>
    </row>
    <row r="253" spans="1:6" x14ac:dyDescent="0.4">
      <c r="A253" s="1"/>
      <c r="C253" s="10"/>
      <c r="D253" s="10"/>
      <c r="E253" s="4"/>
      <c r="F253" s="5"/>
    </row>
    <row r="254" spans="1:6" x14ac:dyDescent="0.4">
      <c r="A254" s="1"/>
      <c r="C254" s="10"/>
      <c r="D254" s="10"/>
      <c r="E254" s="4"/>
      <c r="F254" s="5"/>
    </row>
    <row r="255" spans="1:6" x14ac:dyDescent="0.4">
      <c r="A255" s="1"/>
      <c r="C255" s="10"/>
      <c r="D255" s="10"/>
      <c r="E255" s="4"/>
      <c r="F255" s="5"/>
    </row>
    <row r="256" spans="1:6" x14ac:dyDescent="0.4">
      <c r="A256" s="1"/>
      <c r="C256" s="10"/>
      <c r="D256" s="10"/>
      <c r="E256" s="4"/>
      <c r="F256" s="5"/>
    </row>
    <row r="257" spans="1:6" x14ac:dyDescent="0.4">
      <c r="A257" s="1"/>
      <c r="C257" s="10"/>
      <c r="D257" s="10"/>
      <c r="E257" s="4"/>
      <c r="F257" s="5"/>
    </row>
    <row r="258" spans="1:6" x14ac:dyDescent="0.4">
      <c r="A258" s="1"/>
      <c r="C258" s="10"/>
      <c r="D258" s="10"/>
      <c r="E258" s="4"/>
      <c r="F258" s="5"/>
    </row>
    <row r="259" spans="1:6" x14ac:dyDescent="0.4">
      <c r="A259" s="1"/>
      <c r="C259" s="10"/>
      <c r="D259" s="10"/>
      <c r="E259" s="4"/>
      <c r="F259" s="5"/>
    </row>
    <row r="260" spans="1:6" x14ac:dyDescent="0.4">
      <c r="A260" s="1"/>
      <c r="C260" s="10"/>
      <c r="D260" s="10"/>
      <c r="E260" s="4"/>
      <c r="F260" s="5"/>
    </row>
    <row r="261" spans="1:6" x14ac:dyDescent="0.4">
      <c r="A261" s="1"/>
      <c r="C261" s="10"/>
      <c r="D261" s="10"/>
      <c r="E261" s="4"/>
      <c r="F261" s="5"/>
    </row>
    <row r="262" spans="1:6" x14ac:dyDescent="0.4">
      <c r="A262" s="1"/>
      <c r="C262" s="10"/>
      <c r="D262" s="10"/>
      <c r="E262" s="4"/>
      <c r="F262" s="5"/>
    </row>
    <row r="263" spans="1:6" x14ac:dyDescent="0.4">
      <c r="A263" s="1"/>
      <c r="C263" s="10"/>
      <c r="D263" s="10"/>
      <c r="E263" s="4"/>
      <c r="F263" s="5"/>
    </row>
    <row r="264" spans="1:6" x14ac:dyDescent="0.4">
      <c r="A264" s="1"/>
      <c r="C264" s="10"/>
      <c r="D264" s="10"/>
      <c r="E264" s="4"/>
      <c r="F264" s="5"/>
    </row>
    <row r="265" spans="1:6" x14ac:dyDescent="0.4">
      <c r="A265" s="1"/>
      <c r="C265" s="10"/>
      <c r="D265" s="10"/>
      <c r="E265" s="4"/>
      <c r="F265" s="5"/>
    </row>
    <row r="266" spans="1:6" x14ac:dyDescent="0.4">
      <c r="A266" s="1"/>
      <c r="C266" s="10"/>
      <c r="D266" s="10"/>
      <c r="E266" s="4"/>
      <c r="F266" s="5"/>
    </row>
    <row r="267" spans="1:6" x14ac:dyDescent="0.4">
      <c r="A267" s="1"/>
      <c r="C267" s="10"/>
      <c r="D267" s="10"/>
      <c r="E267" s="4"/>
      <c r="F267" s="5"/>
    </row>
    <row r="268" spans="1:6" x14ac:dyDescent="0.4">
      <c r="A268" s="1"/>
      <c r="C268" s="10"/>
      <c r="D268" s="10"/>
      <c r="E268" s="4"/>
      <c r="F268" s="5"/>
    </row>
    <row r="269" spans="1:6" x14ac:dyDescent="0.4">
      <c r="A269" s="1"/>
      <c r="C269" s="10"/>
      <c r="D269" s="10"/>
      <c r="E269" s="4"/>
      <c r="F269" s="5"/>
    </row>
    <row r="270" spans="1:6" x14ac:dyDescent="0.4">
      <c r="A270" s="1"/>
      <c r="C270" s="10"/>
      <c r="D270" s="10"/>
      <c r="E270" s="4"/>
      <c r="F270" s="5"/>
    </row>
    <row r="271" spans="1:6" x14ac:dyDescent="0.4">
      <c r="A271" s="1"/>
      <c r="C271" s="10"/>
      <c r="D271" s="10"/>
      <c r="E271" s="4"/>
      <c r="F271" s="5"/>
    </row>
    <row r="272" spans="1:6" x14ac:dyDescent="0.4">
      <c r="A272" s="1"/>
      <c r="C272" s="10"/>
      <c r="D272" s="10"/>
      <c r="E272" s="4"/>
      <c r="F272" s="5"/>
    </row>
    <row r="273" spans="1:6" x14ac:dyDescent="0.4">
      <c r="A273" s="1"/>
      <c r="C273" s="10"/>
      <c r="D273" s="10"/>
      <c r="E273" s="4"/>
      <c r="F273" s="5"/>
    </row>
    <row r="274" spans="1:6" x14ac:dyDescent="0.4">
      <c r="A274" s="1"/>
      <c r="C274" s="10"/>
      <c r="D274" s="10"/>
      <c r="E274" s="4"/>
      <c r="F274" s="5"/>
    </row>
    <row r="275" spans="1:6" x14ac:dyDescent="0.4">
      <c r="A275" s="1"/>
      <c r="C275" s="10"/>
      <c r="D275" s="10"/>
      <c r="E275" s="4"/>
      <c r="F275" s="5"/>
    </row>
    <row r="276" spans="1:6" x14ac:dyDescent="0.4">
      <c r="A276" s="1"/>
      <c r="C276" s="10"/>
      <c r="D276" s="10"/>
      <c r="E276" s="4"/>
      <c r="F276" s="5"/>
    </row>
    <row r="277" spans="1:6" x14ac:dyDescent="0.4">
      <c r="A277" s="1"/>
      <c r="C277" s="10"/>
      <c r="D277" s="10"/>
      <c r="E277" s="4"/>
      <c r="F277" s="5"/>
    </row>
    <row r="278" spans="1:6" x14ac:dyDescent="0.4">
      <c r="A278" s="1"/>
      <c r="C278" s="10"/>
      <c r="D278" s="10"/>
      <c r="E278" s="4"/>
      <c r="F278" s="5"/>
    </row>
    <row r="279" spans="1:6" x14ac:dyDescent="0.4">
      <c r="A279" s="1"/>
      <c r="C279" s="10"/>
      <c r="D279" s="10"/>
      <c r="E279" s="4"/>
      <c r="F279" s="5"/>
    </row>
    <row r="280" spans="1:6" x14ac:dyDescent="0.4">
      <c r="A280" s="1"/>
      <c r="C280" s="10"/>
      <c r="D280" s="10"/>
      <c r="E280" s="4"/>
      <c r="F280" s="5"/>
    </row>
    <row r="281" spans="1:6" x14ac:dyDescent="0.4">
      <c r="A281" s="1"/>
      <c r="C281" s="10"/>
      <c r="D281" s="10"/>
      <c r="E281" s="4"/>
      <c r="F281" s="5"/>
    </row>
    <row r="282" spans="1:6" x14ac:dyDescent="0.4">
      <c r="A282" s="1"/>
      <c r="C282" s="10"/>
      <c r="D282" s="10"/>
      <c r="E282" s="4"/>
      <c r="F282" s="5"/>
    </row>
    <row r="283" spans="1:6" x14ac:dyDescent="0.4">
      <c r="A283" s="1"/>
      <c r="C283" s="10"/>
      <c r="D283" s="10"/>
      <c r="E283" s="4"/>
      <c r="F283" s="5"/>
    </row>
    <row r="284" spans="1:6" x14ac:dyDescent="0.4">
      <c r="A284" s="1"/>
      <c r="C284" s="10"/>
      <c r="D284" s="10"/>
      <c r="E284" s="4"/>
      <c r="F284" s="5"/>
    </row>
    <row r="285" spans="1:6" x14ac:dyDescent="0.4">
      <c r="A285" s="1"/>
      <c r="C285" s="10"/>
      <c r="D285" s="10"/>
      <c r="E285" s="4"/>
      <c r="F285" s="5"/>
    </row>
    <row r="286" spans="1:6" x14ac:dyDescent="0.4">
      <c r="A286" s="1"/>
      <c r="C286" s="10"/>
      <c r="D286" s="10"/>
      <c r="E286" s="4"/>
      <c r="F286" s="5"/>
    </row>
    <row r="287" spans="1:6" x14ac:dyDescent="0.4">
      <c r="A287" s="1"/>
      <c r="C287" s="10"/>
      <c r="D287" s="10"/>
      <c r="E287" s="4"/>
      <c r="F287" s="5"/>
    </row>
    <row r="288" spans="1:6" x14ac:dyDescent="0.4">
      <c r="A288" s="1"/>
      <c r="C288" s="10"/>
      <c r="D288" s="10"/>
      <c r="E288" s="4"/>
      <c r="F288" s="5"/>
    </row>
    <row r="289" spans="1:6" x14ac:dyDescent="0.4">
      <c r="A289" s="1"/>
      <c r="C289" s="10"/>
      <c r="D289" s="10"/>
      <c r="E289" s="4"/>
      <c r="F289" s="5"/>
    </row>
    <row r="290" spans="1:6" x14ac:dyDescent="0.4">
      <c r="A290" s="1"/>
      <c r="C290" s="10"/>
      <c r="D290" s="10"/>
      <c r="E290" s="4"/>
      <c r="F290" s="5"/>
    </row>
    <row r="291" spans="1:6" x14ac:dyDescent="0.4">
      <c r="A291" s="1"/>
      <c r="C291" s="10"/>
      <c r="D291" s="10"/>
      <c r="E291" s="4"/>
      <c r="F291" s="5"/>
    </row>
    <row r="292" spans="1:6" x14ac:dyDescent="0.4">
      <c r="A292" s="1"/>
      <c r="C292" s="10"/>
      <c r="D292" s="10"/>
      <c r="E292" s="4"/>
      <c r="F292" s="5"/>
    </row>
    <row r="293" spans="1:6" x14ac:dyDescent="0.4">
      <c r="A293" s="1"/>
      <c r="C293" s="10"/>
      <c r="D293" s="10"/>
      <c r="E293" s="4"/>
      <c r="F293" s="5"/>
    </row>
    <row r="294" spans="1:6" x14ac:dyDescent="0.4">
      <c r="A294" s="1"/>
      <c r="C294" s="10"/>
      <c r="D294" s="10"/>
      <c r="E294" s="4"/>
      <c r="F294" s="5"/>
    </row>
    <row r="295" spans="1:6" x14ac:dyDescent="0.4">
      <c r="A295" s="1"/>
      <c r="C295" s="10"/>
      <c r="D295" s="10"/>
      <c r="E295" s="4"/>
      <c r="F295" s="5"/>
    </row>
    <row r="296" spans="1:6" x14ac:dyDescent="0.4">
      <c r="A296" s="1"/>
      <c r="C296" s="10"/>
      <c r="D296" s="10"/>
      <c r="E296" s="4"/>
      <c r="F296" s="5"/>
    </row>
    <row r="297" spans="1:6" x14ac:dyDescent="0.4">
      <c r="A297" s="1"/>
      <c r="C297" s="10"/>
      <c r="D297" s="10"/>
      <c r="E297" s="4"/>
      <c r="F297" s="5"/>
    </row>
    <row r="298" spans="1:6" x14ac:dyDescent="0.4">
      <c r="A298" s="1"/>
      <c r="C298" s="10"/>
      <c r="D298" s="10"/>
      <c r="E298" s="4"/>
      <c r="F298" s="5"/>
    </row>
    <row r="299" spans="1:6" x14ac:dyDescent="0.4">
      <c r="A299" s="1"/>
      <c r="C299" s="10"/>
      <c r="D299" s="10"/>
      <c r="E299" s="4"/>
      <c r="F299" s="5"/>
    </row>
    <row r="300" spans="1:6" x14ac:dyDescent="0.4">
      <c r="A300" s="1"/>
      <c r="C300" s="10"/>
      <c r="D300" s="10"/>
      <c r="E300" s="4"/>
      <c r="F300" s="5"/>
    </row>
    <row r="301" spans="1:6" x14ac:dyDescent="0.4">
      <c r="A301" s="1"/>
      <c r="C301" s="10"/>
      <c r="D301" s="10"/>
      <c r="E301" s="4"/>
      <c r="F301" s="5"/>
    </row>
    <row r="302" spans="1:6" x14ac:dyDescent="0.4">
      <c r="A302" s="1"/>
      <c r="C302" s="10"/>
      <c r="D302" s="10"/>
      <c r="E302" s="4"/>
      <c r="F302" s="5"/>
    </row>
    <row r="303" spans="1:6" x14ac:dyDescent="0.4">
      <c r="A303" s="1"/>
      <c r="C303" s="10"/>
      <c r="D303" s="10"/>
      <c r="E303" s="4"/>
      <c r="F303" s="5"/>
    </row>
    <row r="304" spans="1:6" x14ac:dyDescent="0.4">
      <c r="A304" s="1"/>
      <c r="C304" s="10"/>
      <c r="D304" s="10"/>
      <c r="E304" s="4"/>
      <c r="F304" s="5"/>
    </row>
    <row r="305" spans="1:6" x14ac:dyDescent="0.4">
      <c r="A305" s="1"/>
      <c r="C305" s="10"/>
      <c r="D305" s="10"/>
      <c r="E305" s="4"/>
      <c r="F305" s="5"/>
    </row>
    <row r="306" spans="1:6" x14ac:dyDescent="0.4">
      <c r="A306" s="1"/>
      <c r="C306" s="10"/>
      <c r="D306" s="10"/>
      <c r="E306" s="4"/>
      <c r="F306" s="5"/>
    </row>
    <row r="307" spans="1:6" x14ac:dyDescent="0.4">
      <c r="A307" s="1"/>
      <c r="C307" s="10"/>
      <c r="D307" s="10"/>
      <c r="E307" s="4"/>
      <c r="F307" s="5"/>
    </row>
    <row r="308" spans="1:6" x14ac:dyDescent="0.4">
      <c r="A308" s="1"/>
      <c r="C308" s="10"/>
      <c r="D308" s="10"/>
      <c r="E308" s="4"/>
      <c r="F308" s="5"/>
    </row>
    <row r="309" spans="1:6" x14ac:dyDescent="0.4">
      <c r="A309" s="1"/>
      <c r="C309" s="10"/>
      <c r="D309" s="10"/>
      <c r="E309" s="4"/>
      <c r="F309" s="5"/>
    </row>
    <row r="310" spans="1:6" x14ac:dyDescent="0.4">
      <c r="A310" s="1"/>
      <c r="C310" s="10"/>
      <c r="D310" s="10"/>
      <c r="E310" s="4"/>
      <c r="F310" s="5"/>
    </row>
    <row r="311" spans="1:6" x14ac:dyDescent="0.4">
      <c r="A311" s="1"/>
      <c r="C311" s="10"/>
      <c r="D311" s="10"/>
      <c r="E311" s="4"/>
      <c r="F311" s="5"/>
    </row>
    <row r="312" spans="1:6" x14ac:dyDescent="0.4">
      <c r="A312" s="1"/>
      <c r="C312" s="10"/>
      <c r="D312" s="10"/>
      <c r="E312" s="4"/>
      <c r="F312" s="5"/>
    </row>
    <row r="313" spans="1:6" x14ac:dyDescent="0.4">
      <c r="A313" s="1"/>
      <c r="C313" s="10"/>
      <c r="D313" s="10"/>
      <c r="E313" s="4"/>
      <c r="F313" s="5"/>
    </row>
    <row r="314" spans="1:6" x14ac:dyDescent="0.4">
      <c r="A314" s="1"/>
      <c r="C314" s="10"/>
      <c r="D314" s="10"/>
      <c r="E314" s="4"/>
      <c r="F314" s="5"/>
    </row>
    <row r="315" spans="1:6" x14ac:dyDescent="0.4">
      <c r="A315" s="1"/>
      <c r="C315" s="10"/>
      <c r="D315" s="10"/>
      <c r="E315" s="4"/>
      <c r="F315" s="5"/>
    </row>
    <row r="316" spans="1:6" x14ac:dyDescent="0.4">
      <c r="A316" s="1"/>
      <c r="C316" s="10"/>
      <c r="D316" s="10"/>
      <c r="E316" s="4"/>
      <c r="F316" s="5"/>
    </row>
    <row r="317" spans="1:6" x14ac:dyDescent="0.4">
      <c r="A317" s="1"/>
      <c r="C317" s="10"/>
      <c r="D317" s="10"/>
      <c r="E317" s="4"/>
      <c r="F317" s="5"/>
    </row>
    <row r="318" spans="1:6" x14ac:dyDescent="0.4">
      <c r="A318" s="1"/>
      <c r="C318" s="10"/>
      <c r="D318" s="10"/>
      <c r="E318" s="4"/>
      <c r="F318" s="5"/>
    </row>
    <row r="319" spans="1:6" x14ac:dyDescent="0.4">
      <c r="A319" s="1"/>
      <c r="C319" s="10"/>
      <c r="D319" s="10"/>
      <c r="E319" s="4"/>
      <c r="F319" s="5"/>
    </row>
    <row r="320" spans="1:6" x14ac:dyDescent="0.4">
      <c r="A320" s="1"/>
      <c r="C320" s="10"/>
      <c r="D320" s="10"/>
      <c r="E320" s="4"/>
      <c r="F320" s="5"/>
    </row>
    <row r="321" spans="1:6" x14ac:dyDescent="0.4">
      <c r="A321" s="1"/>
      <c r="C321" s="10"/>
      <c r="D321" s="10"/>
      <c r="E321" s="4"/>
      <c r="F321" s="5"/>
    </row>
    <row r="322" spans="1:6" x14ac:dyDescent="0.4">
      <c r="A322" s="1"/>
      <c r="C322" s="10"/>
      <c r="D322" s="10"/>
      <c r="E322" s="4"/>
      <c r="F322" s="5"/>
    </row>
    <row r="323" spans="1:6" x14ac:dyDescent="0.4">
      <c r="A323" s="1"/>
      <c r="C323" s="10"/>
      <c r="D323" s="10"/>
      <c r="E323" s="4"/>
      <c r="F323" s="5"/>
    </row>
    <row r="324" spans="1:6" x14ac:dyDescent="0.4">
      <c r="A324" s="1"/>
      <c r="C324" s="10"/>
      <c r="D324" s="10"/>
      <c r="E324" s="4"/>
      <c r="F324" s="5"/>
    </row>
    <row r="325" spans="1:6" x14ac:dyDescent="0.4">
      <c r="A325" s="1"/>
      <c r="C325" s="10"/>
      <c r="D325" s="10"/>
      <c r="E325" s="4"/>
      <c r="F325" s="5"/>
    </row>
    <row r="326" spans="1:6" x14ac:dyDescent="0.4">
      <c r="A326" s="1"/>
      <c r="C326" s="10"/>
      <c r="D326" s="10"/>
      <c r="E326" s="4"/>
      <c r="F326" s="5"/>
    </row>
    <row r="327" spans="1:6" x14ac:dyDescent="0.4">
      <c r="A327" s="1"/>
      <c r="C327" s="10"/>
      <c r="D327" s="10"/>
      <c r="E327" s="4"/>
      <c r="F327" s="5"/>
    </row>
    <row r="328" spans="1:6" x14ac:dyDescent="0.4">
      <c r="A328" s="1"/>
      <c r="C328" s="10"/>
      <c r="D328" s="10"/>
      <c r="E328" s="4"/>
      <c r="F328" s="5"/>
    </row>
    <row r="329" spans="1:6" x14ac:dyDescent="0.4">
      <c r="A329" s="1"/>
      <c r="C329" s="10"/>
      <c r="D329" s="10"/>
      <c r="E329" s="4"/>
      <c r="F329" s="5"/>
    </row>
    <row r="330" spans="1:6" x14ac:dyDescent="0.4">
      <c r="A330" s="1"/>
      <c r="C330" s="10"/>
      <c r="D330" s="10"/>
      <c r="E330" s="4"/>
      <c r="F330" s="5"/>
    </row>
    <row r="331" spans="1:6" x14ac:dyDescent="0.4">
      <c r="A331" s="1"/>
      <c r="C331" s="10"/>
      <c r="D331" s="10"/>
      <c r="E331" s="4"/>
      <c r="F331" s="5"/>
    </row>
    <row r="332" spans="1:6" x14ac:dyDescent="0.4">
      <c r="A332" s="1"/>
      <c r="C332" s="10"/>
      <c r="D332" s="10"/>
      <c r="E332" s="4"/>
      <c r="F332" s="5"/>
    </row>
    <row r="333" spans="1:6" x14ac:dyDescent="0.4">
      <c r="A333" s="1"/>
      <c r="C333" s="10"/>
      <c r="D333" s="10"/>
      <c r="E333" s="4"/>
      <c r="F333" s="5"/>
    </row>
    <row r="334" spans="1:6" x14ac:dyDescent="0.4">
      <c r="A334" s="1"/>
      <c r="C334" s="10"/>
      <c r="D334" s="10"/>
      <c r="E334" s="4"/>
      <c r="F334" s="5"/>
    </row>
    <row r="335" spans="1:6" x14ac:dyDescent="0.4">
      <c r="A335" s="1"/>
      <c r="C335" s="10"/>
      <c r="D335" s="10"/>
      <c r="E335" s="4"/>
      <c r="F335" s="5"/>
    </row>
    <row r="336" spans="1:6" x14ac:dyDescent="0.4">
      <c r="A336" s="1"/>
      <c r="C336" s="10"/>
      <c r="D336" s="10"/>
      <c r="E336" s="4"/>
      <c r="F336" s="5"/>
    </row>
    <row r="337" spans="1:6" x14ac:dyDescent="0.4">
      <c r="A337" s="1"/>
      <c r="C337" s="10"/>
      <c r="D337" s="10"/>
      <c r="E337" s="4"/>
      <c r="F337" s="5"/>
    </row>
    <row r="338" spans="1:6" x14ac:dyDescent="0.4">
      <c r="A338" s="1"/>
      <c r="C338" s="10"/>
      <c r="D338" s="10"/>
      <c r="E338" s="4"/>
      <c r="F338" s="5"/>
    </row>
    <row r="339" spans="1:6" x14ac:dyDescent="0.4">
      <c r="A339" s="1"/>
      <c r="C339" s="10"/>
      <c r="D339" s="10"/>
      <c r="E339" s="4"/>
      <c r="F339" s="5"/>
    </row>
    <row r="340" spans="1:6" x14ac:dyDescent="0.4">
      <c r="A340" s="1"/>
      <c r="C340" s="10"/>
      <c r="D340" s="10"/>
      <c r="E340" s="4"/>
      <c r="F340" s="5"/>
    </row>
    <row r="341" spans="1:6" x14ac:dyDescent="0.4">
      <c r="A341" s="1"/>
      <c r="C341" s="10"/>
      <c r="D341" s="10"/>
      <c r="E341" s="4"/>
      <c r="F341" s="5"/>
    </row>
    <row r="342" spans="1:6" x14ac:dyDescent="0.4">
      <c r="A342" s="1"/>
      <c r="C342" s="10"/>
      <c r="D342" s="10"/>
      <c r="E342" s="4"/>
      <c r="F342" s="5"/>
    </row>
    <row r="343" spans="1:6" x14ac:dyDescent="0.4">
      <c r="A343" s="1"/>
      <c r="C343" s="10"/>
      <c r="D343" s="10"/>
      <c r="E343" s="4"/>
      <c r="F343" s="5"/>
    </row>
    <row r="344" spans="1:6" x14ac:dyDescent="0.4">
      <c r="A344" s="1"/>
      <c r="C344" s="10"/>
      <c r="D344" s="10"/>
      <c r="E344" s="4"/>
      <c r="F344" s="5"/>
    </row>
    <row r="345" spans="1:6" x14ac:dyDescent="0.4">
      <c r="A345" s="1"/>
      <c r="C345" s="10"/>
      <c r="D345" s="10"/>
      <c r="E345" s="4"/>
      <c r="F345" s="5"/>
    </row>
    <row r="346" spans="1:6" x14ac:dyDescent="0.4">
      <c r="A346" s="1"/>
      <c r="C346" s="10"/>
      <c r="D346" s="10"/>
      <c r="E346" s="4"/>
      <c r="F346" s="5"/>
    </row>
    <row r="347" spans="1:6" x14ac:dyDescent="0.4">
      <c r="A347" s="1"/>
      <c r="C347" s="10"/>
      <c r="D347" s="10"/>
      <c r="E347" s="4"/>
      <c r="F347" s="5"/>
    </row>
    <row r="348" spans="1:6" x14ac:dyDescent="0.4">
      <c r="A348" s="1"/>
      <c r="C348" s="10"/>
      <c r="D348" s="10"/>
      <c r="E348" s="4"/>
      <c r="F348" s="5"/>
    </row>
    <row r="349" spans="1:6" x14ac:dyDescent="0.4">
      <c r="A349" s="1"/>
      <c r="C349" s="10"/>
      <c r="D349" s="10"/>
      <c r="E349" s="4"/>
      <c r="F349" s="5"/>
    </row>
    <row r="350" spans="1:6" x14ac:dyDescent="0.4">
      <c r="A350" s="1"/>
      <c r="C350" s="10"/>
      <c r="D350" s="10"/>
      <c r="E350" s="4"/>
      <c r="F350" s="5"/>
    </row>
    <row r="351" spans="1:6" x14ac:dyDescent="0.4">
      <c r="A351" s="1"/>
      <c r="C351" s="10"/>
      <c r="D351" s="10"/>
      <c r="E351" s="4"/>
      <c r="F351" s="5"/>
    </row>
    <row r="352" spans="1:6" x14ac:dyDescent="0.4">
      <c r="A352" s="1"/>
      <c r="C352" s="10"/>
      <c r="D352" s="10"/>
      <c r="E352" s="4"/>
      <c r="F352" s="5"/>
    </row>
    <row r="353" spans="1:6" x14ac:dyDescent="0.4">
      <c r="A353" s="1"/>
      <c r="C353" s="10"/>
      <c r="D353" s="10"/>
      <c r="E353" s="4"/>
      <c r="F353" s="5"/>
    </row>
    <row r="354" spans="1:6" x14ac:dyDescent="0.4">
      <c r="A354" s="1"/>
      <c r="C354" s="10"/>
      <c r="D354" s="10"/>
      <c r="E354" s="4"/>
      <c r="F354" s="5"/>
    </row>
    <row r="355" spans="1:6" x14ac:dyDescent="0.4">
      <c r="A355" s="1"/>
      <c r="C355" s="10"/>
      <c r="D355" s="10"/>
      <c r="E355" s="4"/>
      <c r="F355" s="5"/>
    </row>
    <row r="356" spans="1:6" x14ac:dyDescent="0.4">
      <c r="A356" s="1"/>
      <c r="C356" s="10"/>
      <c r="D356" s="10"/>
      <c r="E356" s="4"/>
      <c r="F356" s="5"/>
    </row>
    <row r="357" spans="1:6" x14ac:dyDescent="0.4">
      <c r="A357" s="1"/>
      <c r="C357" s="10"/>
      <c r="D357" s="10"/>
      <c r="E357" s="4"/>
      <c r="F357" s="5"/>
    </row>
    <row r="358" spans="1:6" x14ac:dyDescent="0.4">
      <c r="A358" s="1"/>
      <c r="C358" s="10"/>
      <c r="D358" s="10"/>
      <c r="E358" s="4"/>
      <c r="F358" s="5"/>
    </row>
    <row r="359" spans="1:6" x14ac:dyDescent="0.4">
      <c r="A359" s="1"/>
      <c r="C359" s="10"/>
      <c r="D359" s="10"/>
      <c r="E359" s="4"/>
      <c r="F359" s="5"/>
    </row>
    <row r="360" spans="1:6" x14ac:dyDescent="0.4">
      <c r="A360" s="1"/>
      <c r="C360" s="10"/>
      <c r="D360" s="10"/>
      <c r="E360" s="4"/>
      <c r="F360" s="5"/>
    </row>
    <row r="361" spans="1:6" x14ac:dyDescent="0.4">
      <c r="A361" s="1"/>
      <c r="C361" s="10"/>
      <c r="D361" s="10"/>
      <c r="E361" s="4"/>
      <c r="F361" s="5"/>
    </row>
    <row r="362" spans="1:6" x14ac:dyDescent="0.4">
      <c r="A362" s="1"/>
      <c r="C362" s="10"/>
      <c r="D362" s="10"/>
      <c r="E362" s="4"/>
      <c r="F362" s="5"/>
    </row>
    <row r="363" spans="1:6" x14ac:dyDescent="0.4">
      <c r="A363" s="1"/>
      <c r="C363" s="10"/>
      <c r="D363" s="10"/>
      <c r="E363" s="4"/>
      <c r="F363" s="5"/>
    </row>
    <row r="364" spans="1:6" x14ac:dyDescent="0.4">
      <c r="A364" s="1"/>
      <c r="C364" s="10"/>
      <c r="D364" s="10"/>
      <c r="E364" s="4"/>
      <c r="F364" s="5"/>
    </row>
    <row r="365" spans="1:6" x14ac:dyDescent="0.4">
      <c r="A365" s="1"/>
      <c r="C365" s="10"/>
      <c r="D365" s="10"/>
      <c r="E365" s="4"/>
      <c r="F365" s="5"/>
    </row>
    <row r="366" spans="1:6" x14ac:dyDescent="0.4">
      <c r="A366" s="1"/>
      <c r="C366" s="10"/>
      <c r="D366" s="10"/>
      <c r="E366" s="4"/>
      <c r="F366" s="5"/>
    </row>
    <row r="367" spans="1:6" x14ac:dyDescent="0.4">
      <c r="A367" s="1"/>
      <c r="C367" s="10"/>
      <c r="D367" s="10"/>
      <c r="E367" s="4"/>
      <c r="F367" s="5"/>
    </row>
    <row r="368" spans="1:6" x14ac:dyDescent="0.4">
      <c r="A368" s="1"/>
      <c r="C368" s="10"/>
      <c r="D368" s="10"/>
      <c r="E368" s="4"/>
      <c r="F368" s="5"/>
    </row>
    <row r="369" spans="1:6" x14ac:dyDescent="0.4">
      <c r="A369" s="1"/>
      <c r="C369" s="10"/>
      <c r="D369" s="10"/>
      <c r="E369" s="4"/>
      <c r="F369" s="5"/>
    </row>
    <row r="370" spans="1:6" x14ac:dyDescent="0.4">
      <c r="A370" s="1"/>
      <c r="C370" s="10"/>
      <c r="D370" s="10"/>
      <c r="E370" s="4"/>
      <c r="F370" s="5"/>
    </row>
    <row r="371" spans="1:6" x14ac:dyDescent="0.4">
      <c r="A371" s="1"/>
      <c r="C371" s="10"/>
      <c r="D371" s="10"/>
      <c r="E371" s="4"/>
      <c r="F371" s="5"/>
    </row>
    <row r="372" spans="1:6" x14ac:dyDescent="0.4">
      <c r="A372" s="1"/>
      <c r="C372" s="10"/>
      <c r="D372" s="10"/>
      <c r="E372" s="4"/>
      <c r="F372" s="5"/>
    </row>
    <row r="373" spans="1:6" x14ac:dyDescent="0.4">
      <c r="A373" s="1"/>
      <c r="C373" s="10"/>
      <c r="D373" s="10"/>
      <c r="E373" s="4"/>
      <c r="F373" s="5"/>
    </row>
    <row r="374" spans="1:6" x14ac:dyDescent="0.4">
      <c r="A374" s="1"/>
      <c r="C374" s="10"/>
      <c r="D374" s="10"/>
      <c r="E374" s="4"/>
      <c r="F374" s="5"/>
    </row>
    <row r="375" spans="1:6" x14ac:dyDescent="0.4">
      <c r="A375" s="1"/>
      <c r="C375" s="10"/>
      <c r="D375" s="10"/>
      <c r="E375" s="4"/>
      <c r="F375" s="5"/>
    </row>
    <row r="376" spans="1:6" x14ac:dyDescent="0.4">
      <c r="A376" s="1"/>
      <c r="C376" s="10"/>
      <c r="D376" s="10"/>
      <c r="E376" s="4"/>
      <c r="F376" s="5"/>
    </row>
    <row r="377" spans="1:6" x14ac:dyDescent="0.4">
      <c r="A377" s="1"/>
      <c r="C377" s="10"/>
      <c r="D377" s="10"/>
      <c r="E377" s="4"/>
      <c r="F377" s="5"/>
    </row>
    <row r="378" spans="1:6" x14ac:dyDescent="0.4">
      <c r="A378" s="1"/>
      <c r="C378" s="10"/>
      <c r="D378" s="10"/>
      <c r="E378" s="4"/>
      <c r="F378" s="5"/>
    </row>
    <row r="379" spans="1:6" x14ac:dyDescent="0.4">
      <c r="A379" s="1"/>
      <c r="C379" s="10"/>
      <c r="D379" s="10"/>
      <c r="E379" s="4"/>
      <c r="F379" s="5"/>
    </row>
    <row r="380" spans="1:6" x14ac:dyDescent="0.4">
      <c r="A380" s="1"/>
      <c r="C380" s="10"/>
      <c r="D380" s="10"/>
      <c r="E380" s="4"/>
      <c r="F380" s="5"/>
    </row>
    <row r="381" spans="1:6" x14ac:dyDescent="0.4">
      <c r="A381" s="1"/>
      <c r="C381" s="10"/>
      <c r="D381" s="10"/>
      <c r="E381" s="4"/>
      <c r="F381" s="5"/>
    </row>
    <row r="382" spans="1:6" x14ac:dyDescent="0.4">
      <c r="A382" s="1"/>
      <c r="C382" s="10"/>
      <c r="D382" s="10"/>
      <c r="E382" s="4"/>
      <c r="F382" s="5"/>
    </row>
    <row r="383" spans="1:6" x14ac:dyDescent="0.4">
      <c r="A383" s="1"/>
      <c r="C383" s="10"/>
      <c r="D383" s="10"/>
      <c r="E383" s="4"/>
      <c r="F383" s="5"/>
    </row>
    <row r="384" spans="1:6" x14ac:dyDescent="0.4">
      <c r="A384" s="1"/>
      <c r="C384" s="10"/>
      <c r="D384" s="10"/>
      <c r="E384" s="4"/>
      <c r="F384" s="5"/>
    </row>
    <row r="385" spans="1:6" x14ac:dyDescent="0.4">
      <c r="A385" s="1"/>
      <c r="C385" s="10"/>
      <c r="D385" s="10"/>
      <c r="E385" s="4"/>
      <c r="F385" s="5"/>
    </row>
    <row r="386" spans="1:6" x14ac:dyDescent="0.4">
      <c r="A386" s="1"/>
      <c r="C386" s="10"/>
      <c r="D386" s="10"/>
      <c r="E386" s="4"/>
      <c r="F386" s="5"/>
    </row>
    <row r="387" spans="1:6" x14ac:dyDescent="0.4">
      <c r="A387" s="1"/>
      <c r="C387" s="10"/>
      <c r="D387" s="10"/>
      <c r="E387" s="4"/>
      <c r="F387" s="5"/>
    </row>
    <row r="388" spans="1:6" x14ac:dyDescent="0.4">
      <c r="A388" s="1"/>
      <c r="C388" s="10"/>
      <c r="D388" s="10"/>
      <c r="E388" s="4"/>
      <c r="F388" s="5"/>
    </row>
    <row r="389" spans="1:6" x14ac:dyDescent="0.4">
      <c r="A389" s="1"/>
      <c r="C389" s="10"/>
      <c r="D389" s="10"/>
      <c r="E389" s="4"/>
      <c r="F389" s="5"/>
    </row>
    <row r="390" spans="1:6" x14ac:dyDescent="0.4">
      <c r="A390" s="1"/>
      <c r="C390" s="10"/>
      <c r="D390" s="10"/>
      <c r="E390" s="4"/>
      <c r="F390" s="5"/>
    </row>
    <row r="391" spans="1:6" x14ac:dyDescent="0.4">
      <c r="A391" s="1"/>
      <c r="C391" s="10"/>
      <c r="D391" s="10"/>
      <c r="E391" s="4"/>
      <c r="F391" s="5"/>
    </row>
    <row r="392" spans="1:6" x14ac:dyDescent="0.4">
      <c r="A392" s="1"/>
      <c r="C392" s="10"/>
      <c r="D392" s="10"/>
      <c r="E392" s="4"/>
      <c r="F392" s="5"/>
    </row>
    <row r="393" spans="1:6" x14ac:dyDescent="0.4">
      <c r="A393" s="1"/>
      <c r="C393" s="10"/>
      <c r="D393" s="10"/>
      <c r="E393" s="4"/>
      <c r="F393" s="5"/>
    </row>
    <row r="394" spans="1:6" x14ac:dyDescent="0.4">
      <c r="A394" s="1"/>
      <c r="C394" s="10"/>
      <c r="D394" s="10"/>
      <c r="E394" s="4"/>
      <c r="F394" s="5"/>
    </row>
    <row r="395" spans="1:6" x14ac:dyDescent="0.4">
      <c r="A395" s="1"/>
      <c r="C395" s="10"/>
      <c r="D395" s="10"/>
      <c r="E395" s="4"/>
      <c r="F395" s="5"/>
    </row>
    <row r="396" spans="1:6" x14ac:dyDescent="0.4">
      <c r="A396" s="1"/>
      <c r="C396" s="10"/>
      <c r="D396" s="10"/>
      <c r="E396" s="4"/>
      <c r="F396" s="5"/>
    </row>
    <row r="397" spans="1:6" x14ac:dyDescent="0.4">
      <c r="A397" s="1"/>
      <c r="C397" s="10"/>
      <c r="D397" s="10"/>
      <c r="E397" s="4"/>
      <c r="F397" s="5"/>
    </row>
    <row r="398" spans="1:6" x14ac:dyDescent="0.4">
      <c r="A398" s="1"/>
      <c r="C398" s="10"/>
      <c r="D398" s="10"/>
      <c r="E398" s="4"/>
      <c r="F398" s="5"/>
    </row>
    <row r="399" spans="1:6" x14ac:dyDescent="0.4">
      <c r="A399" s="1"/>
      <c r="C399" s="10"/>
      <c r="D399" s="10"/>
      <c r="E399" s="4"/>
      <c r="F399" s="5"/>
    </row>
    <row r="400" spans="1:6" x14ac:dyDescent="0.4">
      <c r="A400" s="1"/>
      <c r="C400" s="10"/>
      <c r="D400" s="10"/>
      <c r="E400" s="4"/>
      <c r="F400" s="5"/>
    </row>
    <row r="401" spans="1:6" x14ac:dyDescent="0.4">
      <c r="A401" s="1"/>
      <c r="C401" s="10"/>
      <c r="D401" s="10"/>
      <c r="E401" s="4"/>
      <c r="F401" s="5"/>
    </row>
    <row r="402" spans="1:6" x14ac:dyDescent="0.4">
      <c r="A402" s="1"/>
      <c r="C402" s="10"/>
      <c r="D402" s="10"/>
      <c r="E402" s="4"/>
      <c r="F402" s="5"/>
    </row>
    <row r="403" spans="1:6" x14ac:dyDescent="0.4">
      <c r="A403" s="1"/>
      <c r="C403" s="10"/>
      <c r="D403" s="10"/>
      <c r="E403" s="4"/>
      <c r="F403" s="5"/>
    </row>
    <row r="404" spans="1:6" x14ac:dyDescent="0.4">
      <c r="A404" s="1"/>
      <c r="C404" s="10"/>
      <c r="D404" s="10"/>
      <c r="E404" s="4"/>
      <c r="F404" s="5"/>
    </row>
    <row r="405" spans="1:6" x14ac:dyDescent="0.4">
      <c r="A405" s="1"/>
      <c r="C405" s="10"/>
      <c r="D405" s="10"/>
      <c r="E405" s="4"/>
      <c r="F405" s="5"/>
    </row>
    <row r="406" spans="1:6" x14ac:dyDescent="0.4">
      <c r="A406" s="1"/>
      <c r="C406" s="10"/>
      <c r="D406" s="10"/>
      <c r="E406" s="4"/>
      <c r="F406" s="5"/>
    </row>
    <row r="407" spans="1:6" x14ac:dyDescent="0.4">
      <c r="A407" s="1"/>
      <c r="C407" s="10"/>
      <c r="D407" s="10"/>
      <c r="E407" s="4"/>
      <c r="F407" s="5"/>
    </row>
    <row r="408" spans="1:6" x14ac:dyDescent="0.4">
      <c r="A408" s="1"/>
      <c r="C408" s="10"/>
      <c r="D408" s="10"/>
      <c r="E408" s="4"/>
      <c r="F408" s="5"/>
    </row>
    <row r="409" spans="1:6" x14ac:dyDescent="0.4">
      <c r="A409" s="1"/>
      <c r="C409" s="10"/>
      <c r="D409" s="10"/>
      <c r="E409" s="4"/>
      <c r="F409" s="5"/>
    </row>
    <row r="410" spans="1:6" x14ac:dyDescent="0.4">
      <c r="A410" s="1"/>
      <c r="C410" s="10"/>
      <c r="D410" s="10"/>
      <c r="E410" s="4"/>
      <c r="F410" s="5"/>
    </row>
    <row r="411" spans="1:6" x14ac:dyDescent="0.4">
      <c r="A411" s="1"/>
      <c r="C411" s="10"/>
      <c r="D411" s="10"/>
      <c r="E411" s="4"/>
      <c r="F411" s="5"/>
    </row>
    <row r="412" spans="1:6" x14ac:dyDescent="0.4">
      <c r="A412" s="1"/>
      <c r="C412" s="10"/>
      <c r="D412" s="10"/>
      <c r="E412" s="4"/>
      <c r="F412" s="5"/>
    </row>
    <row r="413" spans="1:6" x14ac:dyDescent="0.4">
      <c r="A413" s="1"/>
      <c r="C413" s="10"/>
      <c r="D413" s="10"/>
      <c r="E413" s="4"/>
      <c r="F413" s="5"/>
    </row>
    <row r="414" spans="1:6" x14ac:dyDescent="0.4">
      <c r="A414" s="1"/>
      <c r="C414" s="10"/>
      <c r="D414" s="10"/>
      <c r="E414" s="4"/>
      <c r="F414" s="5"/>
    </row>
    <row r="415" spans="1:6" x14ac:dyDescent="0.4">
      <c r="A415" s="1"/>
      <c r="C415" s="10"/>
      <c r="D415" s="10"/>
      <c r="E415" s="4"/>
      <c r="F415" s="5"/>
    </row>
    <row r="416" spans="1:6" x14ac:dyDescent="0.4">
      <c r="A416" s="1"/>
      <c r="C416" s="10"/>
      <c r="D416" s="10"/>
      <c r="E416" s="4"/>
      <c r="F416" s="5"/>
    </row>
    <row r="417" spans="1:6" x14ac:dyDescent="0.4">
      <c r="A417" s="1"/>
      <c r="C417" s="10"/>
      <c r="D417" s="10"/>
      <c r="E417" s="4"/>
      <c r="F417" s="5"/>
    </row>
    <row r="418" spans="1:6" x14ac:dyDescent="0.4">
      <c r="A418" s="1"/>
      <c r="C418" s="10"/>
      <c r="D418" s="10"/>
      <c r="E418" s="4"/>
      <c r="F418" s="5"/>
    </row>
    <row r="419" spans="1:6" x14ac:dyDescent="0.4">
      <c r="A419" s="1"/>
      <c r="C419" s="10"/>
      <c r="D419" s="10"/>
      <c r="E419" s="4"/>
      <c r="F419" s="5"/>
    </row>
    <row r="420" spans="1:6" x14ac:dyDescent="0.4">
      <c r="A420" s="1"/>
      <c r="C420" s="10"/>
      <c r="D420" s="10"/>
      <c r="E420" s="4"/>
      <c r="F420" s="5"/>
    </row>
    <row r="421" spans="1:6" x14ac:dyDescent="0.4">
      <c r="A421" s="1"/>
      <c r="C421" s="10"/>
      <c r="D421" s="10"/>
      <c r="E421" s="4"/>
      <c r="F421" s="5"/>
    </row>
    <row r="422" spans="1:6" x14ac:dyDescent="0.4">
      <c r="A422" s="1"/>
      <c r="C422" s="10"/>
      <c r="D422" s="10"/>
      <c r="E422" s="4"/>
      <c r="F422" s="5"/>
    </row>
    <row r="423" spans="1:6" x14ac:dyDescent="0.4">
      <c r="A423" s="1"/>
      <c r="C423" s="10"/>
      <c r="D423" s="10"/>
      <c r="E423" s="4"/>
      <c r="F423" s="5"/>
    </row>
    <row r="424" spans="1:6" x14ac:dyDescent="0.4">
      <c r="A424" s="1"/>
      <c r="C424" s="10"/>
      <c r="D424" s="10"/>
      <c r="E424" s="4"/>
      <c r="F424" s="5"/>
    </row>
    <row r="425" spans="1:6" x14ac:dyDescent="0.4">
      <c r="A425" s="1"/>
      <c r="C425" s="10"/>
      <c r="D425" s="10"/>
      <c r="E425" s="4"/>
      <c r="F425" s="5"/>
    </row>
    <row r="426" spans="1:6" x14ac:dyDescent="0.4">
      <c r="A426" s="1"/>
      <c r="C426" s="10"/>
      <c r="D426" s="10"/>
      <c r="E426" s="4"/>
      <c r="F426" s="5"/>
    </row>
    <row r="427" spans="1:6" x14ac:dyDescent="0.4">
      <c r="A427" s="1"/>
      <c r="C427" s="10"/>
      <c r="D427" s="10"/>
      <c r="E427" s="4"/>
      <c r="F427" s="5"/>
    </row>
    <row r="428" spans="1:6" x14ac:dyDescent="0.4">
      <c r="A428" s="1"/>
      <c r="C428" s="10"/>
      <c r="D428" s="10"/>
      <c r="E428" s="4"/>
      <c r="F428" s="5"/>
    </row>
    <row r="429" spans="1:6" x14ac:dyDescent="0.4">
      <c r="A429" s="1"/>
      <c r="C429" s="10"/>
      <c r="D429" s="10"/>
      <c r="E429" s="4"/>
      <c r="F429" s="5"/>
    </row>
    <row r="430" spans="1:6" x14ac:dyDescent="0.4">
      <c r="A430" s="1"/>
      <c r="C430" s="10"/>
      <c r="D430" s="10"/>
      <c r="E430" s="4"/>
      <c r="F430" s="5"/>
    </row>
    <row r="431" spans="1:6" x14ac:dyDescent="0.4">
      <c r="A431" s="1"/>
      <c r="C431" s="10"/>
      <c r="D431" s="10"/>
      <c r="E431" s="4"/>
      <c r="F431" s="5"/>
    </row>
    <row r="432" spans="1:6" x14ac:dyDescent="0.4">
      <c r="A432" s="1"/>
      <c r="C432" s="10"/>
      <c r="D432" s="10"/>
      <c r="E432" s="4"/>
      <c r="F432" s="5"/>
    </row>
    <row r="433" spans="1:6" x14ac:dyDescent="0.4">
      <c r="A433" s="1"/>
      <c r="C433" s="10"/>
      <c r="D433" s="10"/>
      <c r="E433" s="4"/>
      <c r="F433" s="5"/>
    </row>
    <row r="434" spans="1:6" x14ac:dyDescent="0.4">
      <c r="A434" s="1"/>
      <c r="C434" s="10"/>
      <c r="D434" s="10"/>
      <c r="E434" s="4"/>
      <c r="F434" s="5"/>
    </row>
    <row r="435" spans="1:6" x14ac:dyDescent="0.4">
      <c r="A435" s="1"/>
      <c r="C435" s="10"/>
      <c r="D435" s="10"/>
      <c r="E435" s="4"/>
      <c r="F435" s="5"/>
    </row>
    <row r="436" spans="1:6" x14ac:dyDescent="0.4">
      <c r="A436" s="1"/>
      <c r="C436" s="10"/>
      <c r="D436" s="10"/>
      <c r="E436" s="4"/>
      <c r="F436" s="5"/>
    </row>
    <row r="437" spans="1:6" x14ac:dyDescent="0.4">
      <c r="A437" s="1"/>
      <c r="C437" s="10"/>
      <c r="D437" s="10"/>
      <c r="E437" s="4"/>
      <c r="F437" s="5"/>
    </row>
    <row r="438" spans="1:6" x14ac:dyDescent="0.4">
      <c r="A438" s="1"/>
      <c r="C438" s="10"/>
      <c r="D438" s="10"/>
      <c r="E438" s="4"/>
      <c r="F438" s="5"/>
    </row>
    <row r="439" spans="1:6" x14ac:dyDescent="0.4">
      <c r="A439" s="1"/>
      <c r="C439" s="10"/>
      <c r="D439" s="10"/>
      <c r="E439" s="4"/>
      <c r="F439" s="5"/>
    </row>
    <row r="440" spans="1:6" x14ac:dyDescent="0.4">
      <c r="A440" s="1"/>
      <c r="C440" s="10"/>
      <c r="D440" s="10"/>
      <c r="E440" s="4"/>
      <c r="F440" s="5"/>
    </row>
    <row r="441" spans="1:6" x14ac:dyDescent="0.4">
      <c r="A441" s="1"/>
      <c r="C441" s="10"/>
      <c r="D441" s="10"/>
      <c r="E441" s="4"/>
      <c r="F441" s="5"/>
    </row>
    <row r="442" spans="1:6" x14ac:dyDescent="0.4">
      <c r="A442" s="1"/>
      <c r="C442" s="10"/>
      <c r="D442" s="10"/>
      <c r="E442" s="4"/>
      <c r="F442" s="5"/>
    </row>
    <row r="443" spans="1:6" x14ac:dyDescent="0.4">
      <c r="A443" s="1"/>
      <c r="C443" s="10"/>
      <c r="D443" s="10"/>
      <c r="E443" s="4"/>
      <c r="F443" s="5"/>
    </row>
    <row r="444" spans="1:6" x14ac:dyDescent="0.4">
      <c r="A444" s="1"/>
      <c r="C444" s="10"/>
      <c r="D444" s="10"/>
      <c r="E444" s="4"/>
      <c r="F444" s="5"/>
    </row>
    <row r="445" spans="1:6" x14ac:dyDescent="0.4">
      <c r="A445" s="1"/>
      <c r="C445" s="10"/>
      <c r="D445" s="10"/>
      <c r="E445" s="4"/>
      <c r="F445" s="5"/>
    </row>
    <row r="446" spans="1:6" x14ac:dyDescent="0.4">
      <c r="A446" s="1"/>
      <c r="C446" s="10"/>
      <c r="D446" s="10"/>
      <c r="E446" s="4"/>
      <c r="F446" s="5"/>
    </row>
    <row r="447" spans="1:6" x14ac:dyDescent="0.4">
      <c r="A447" s="1"/>
      <c r="C447" s="10"/>
      <c r="D447" s="10"/>
      <c r="E447" s="4"/>
      <c r="F447" s="5"/>
    </row>
    <row r="448" spans="1:6" x14ac:dyDescent="0.4">
      <c r="A448" s="1"/>
      <c r="C448" s="10"/>
      <c r="D448" s="10"/>
      <c r="E448" s="4"/>
      <c r="F448" s="5"/>
    </row>
    <row r="449" spans="1:6" x14ac:dyDescent="0.4">
      <c r="A449" s="1"/>
      <c r="C449" s="10"/>
      <c r="D449" s="10"/>
      <c r="E449" s="4"/>
      <c r="F449" s="5"/>
    </row>
    <row r="450" spans="1:6" x14ac:dyDescent="0.4">
      <c r="A450" s="1"/>
      <c r="C450" s="10"/>
      <c r="D450" s="10"/>
      <c r="E450" s="4"/>
      <c r="F450" s="5"/>
    </row>
    <row r="451" spans="1:6" x14ac:dyDescent="0.4">
      <c r="A451" s="1"/>
      <c r="C451" s="10"/>
      <c r="D451" s="10"/>
      <c r="E451" s="4"/>
      <c r="F451" s="5"/>
    </row>
    <row r="452" spans="1:6" x14ac:dyDescent="0.4">
      <c r="A452" s="1"/>
      <c r="C452" s="10"/>
      <c r="D452" s="10"/>
      <c r="E452" s="4"/>
      <c r="F452" s="5"/>
    </row>
    <row r="453" spans="1:6" x14ac:dyDescent="0.4">
      <c r="A453" s="1"/>
      <c r="C453" s="10"/>
      <c r="D453" s="10"/>
      <c r="E453" s="4"/>
      <c r="F453" s="5"/>
    </row>
    <row r="454" spans="1:6" x14ac:dyDescent="0.4">
      <c r="A454" s="1"/>
      <c r="C454" s="10"/>
      <c r="D454" s="10"/>
      <c r="E454" s="4"/>
      <c r="F454" s="5"/>
    </row>
    <row r="455" spans="1:6" x14ac:dyDescent="0.4">
      <c r="A455" s="1"/>
      <c r="C455" s="10"/>
      <c r="D455" s="10"/>
      <c r="E455" s="4"/>
      <c r="F455" s="5"/>
    </row>
    <row r="456" spans="1:6" x14ac:dyDescent="0.4">
      <c r="A456" s="1"/>
      <c r="C456" s="10"/>
      <c r="D456" s="10"/>
      <c r="E456" s="4"/>
      <c r="F456" s="5"/>
    </row>
    <row r="457" spans="1:6" x14ac:dyDescent="0.4">
      <c r="A457" s="1"/>
      <c r="C457" s="10"/>
      <c r="D457" s="10"/>
      <c r="E457" s="4"/>
      <c r="F457" s="5"/>
    </row>
    <row r="458" spans="1:6" x14ac:dyDescent="0.4">
      <c r="A458" s="1"/>
      <c r="C458" s="10"/>
      <c r="D458" s="10"/>
      <c r="E458" s="4"/>
      <c r="F458" s="5"/>
    </row>
    <row r="459" spans="1:6" x14ac:dyDescent="0.4">
      <c r="A459" s="1"/>
      <c r="C459" s="10"/>
      <c r="D459" s="10"/>
      <c r="E459" s="4"/>
      <c r="F459" s="5"/>
    </row>
    <row r="460" spans="1:6" x14ac:dyDescent="0.4">
      <c r="A460" s="1"/>
      <c r="C460" s="10"/>
      <c r="D460" s="10"/>
      <c r="E460" s="4"/>
      <c r="F460" s="5"/>
    </row>
    <row r="461" spans="1:6" x14ac:dyDescent="0.4">
      <c r="A461" s="1"/>
      <c r="C461" s="10"/>
      <c r="D461" s="10"/>
      <c r="E461" s="4"/>
      <c r="F461" s="5"/>
    </row>
    <row r="462" spans="1:6" x14ac:dyDescent="0.4">
      <c r="A462" s="1"/>
      <c r="C462" s="10"/>
      <c r="D462" s="10"/>
      <c r="E462" s="4"/>
      <c r="F462" s="5"/>
    </row>
    <row r="463" spans="1:6" x14ac:dyDescent="0.4">
      <c r="A463" s="1"/>
      <c r="C463" s="10"/>
      <c r="D463" s="10"/>
      <c r="E463" s="4"/>
      <c r="F463" s="5"/>
    </row>
    <row r="464" spans="1:6" x14ac:dyDescent="0.4">
      <c r="A464" s="1"/>
      <c r="C464" s="10"/>
      <c r="D464" s="10"/>
      <c r="E464" s="4"/>
      <c r="F464" s="5"/>
    </row>
    <row r="465" spans="1:6" x14ac:dyDescent="0.4">
      <c r="A465" s="1"/>
      <c r="C465" s="10"/>
      <c r="D465" s="10"/>
      <c r="E465" s="4"/>
      <c r="F465" s="5"/>
    </row>
    <row r="466" spans="1:6" x14ac:dyDescent="0.4">
      <c r="A466" s="1"/>
      <c r="C466" s="10"/>
      <c r="D466" s="10"/>
      <c r="E466" s="4"/>
      <c r="F466" s="5"/>
    </row>
    <row r="467" spans="1:6" x14ac:dyDescent="0.4">
      <c r="A467" s="1"/>
      <c r="C467" s="10"/>
      <c r="D467" s="10"/>
      <c r="E467" s="4"/>
      <c r="F467" s="5"/>
    </row>
    <row r="468" spans="1:6" x14ac:dyDescent="0.4">
      <c r="A468" s="1"/>
      <c r="C468" s="10"/>
      <c r="D468" s="10"/>
      <c r="E468" s="4"/>
      <c r="F468" s="5"/>
    </row>
    <row r="469" spans="1:6" x14ac:dyDescent="0.4">
      <c r="A469" s="1"/>
      <c r="C469" s="10"/>
      <c r="D469" s="10"/>
      <c r="E469" s="4"/>
      <c r="F469" s="5"/>
    </row>
    <row r="470" spans="1:6" x14ac:dyDescent="0.4">
      <c r="A470" s="1"/>
      <c r="C470" s="10"/>
      <c r="D470" s="10"/>
      <c r="E470" s="4"/>
      <c r="F470" s="5"/>
    </row>
    <row r="471" spans="1:6" x14ac:dyDescent="0.4">
      <c r="A471" s="1"/>
      <c r="C471" s="10"/>
      <c r="D471" s="10"/>
      <c r="E471" s="4"/>
      <c r="F471" s="5"/>
    </row>
    <row r="472" spans="1:6" x14ac:dyDescent="0.4">
      <c r="A472" s="1"/>
      <c r="C472" s="10"/>
      <c r="D472" s="10"/>
      <c r="E472" s="4"/>
      <c r="F472" s="5"/>
    </row>
    <row r="473" spans="1:6" x14ac:dyDescent="0.4">
      <c r="A473" s="1"/>
      <c r="C473" s="10"/>
      <c r="D473" s="10"/>
      <c r="E473" s="4"/>
      <c r="F473" s="5"/>
    </row>
    <row r="474" spans="1:6" x14ac:dyDescent="0.4">
      <c r="A474" s="1"/>
      <c r="C474" s="10"/>
      <c r="D474" s="10"/>
      <c r="E474" s="4"/>
      <c r="F474" s="5"/>
    </row>
    <row r="475" spans="1:6" x14ac:dyDescent="0.4">
      <c r="A475" s="1"/>
      <c r="C475" s="10"/>
      <c r="D475" s="10"/>
      <c r="E475" s="4"/>
      <c r="F475" s="5"/>
    </row>
    <row r="476" spans="1:6" x14ac:dyDescent="0.4">
      <c r="A476" s="1"/>
      <c r="C476" s="10"/>
      <c r="D476" s="10"/>
      <c r="E476" s="4"/>
      <c r="F476" s="5"/>
    </row>
    <row r="477" spans="1:6" x14ac:dyDescent="0.4">
      <c r="A477" s="1"/>
      <c r="C477" s="10"/>
      <c r="D477" s="10"/>
      <c r="E477" s="4"/>
      <c r="F477" s="5"/>
    </row>
    <row r="478" spans="1:6" x14ac:dyDescent="0.4">
      <c r="A478" s="1"/>
      <c r="C478" s="10"/>
      <c r="D478" s="10"/>
      <c r="E478" s="4"/>
      <c r="F478" s="5"/>
    </row>
    <row r="479" spans="1:6" x14ac:dyDescent="0.4">
      <c r="A479" s="1"/>
      <c r="C479" s="10"/>
      <c r="D479" s="10"/>
      <c r="E479" s="4"/>
      <c r="F479" s="5"/>
    </row>
    <row r="480" spans="1:6" x14ac:dyDescent="0.4">
      <c r="A480" s="1"/>
      <c r="C480" s="10"/>
      <c r="D480" s="10"/>
      <c r="E480" s="4"/>
      <c r="F480" s="5"/>
    </row>
    <row r="481" spans="1:6" x14ac:dyDescent="0.4">
      <c r="A481" s="1"/>
      <c r="C481" s="10"/>
      <c r="D481" s="10"/>
      <c r="E481" s="4"/>
      <c r="F481" s="5"/>
    </row>
    <row r="482" spans="1:6" x14ac:dyDescent="0.4">
      <c r="A482" s="1"/>
      <c r="C482" s="10"/>
      <c r="D482" s="10"/>
      <c r="E482" s="4"/>
      <c r="F482" s="5"/>
    </row>
    <row r="483" spans="1:6" x14ac:dyDescent="0.4">
      <c r="A483" s="1"/>
      <c r="C483" s="10"/>
      <c r="D483" s="10"/>
      <c r="E483" s="4"/>
      <c r="F483" s="5"/>
    </row>
    <row r="484" spans="1:6" x14ac:dyDescent="0.4">
      <c r="A484" s="1"/>
      <c r="C484" s="10"/>
      <c r="D484" s="10"/>
      <c r="E484" s="4"/>
      <c r="F484" s="5"/>
    </row>
    <row r="485" spans="1:6" x14ac:dyDescent="0.4">
      <c r="A485" s="1"/>
      <c r="C485" s="10"/>
      <c r="D485" s="10"/>
      <c r="E485" s="4"/>
      <c r="F485" s="5"/>
    </row>
    <row r="486" spans="1:6" x14ac:dyDescent="0.4">
      <c r="A486" s="1"/>
      <c r="C486" s="10"/>
      <c r="D486" s="10"/>
      <c r="E486" s="4"/>
      <c r="F486" s="5"/>
    </row>
    <row r="487" spans="1:6" x14ac:dyDescent="0.4">
      <c r="A487" s="1"/>
      <c r="C487" s="10"/>
      <c r="D487" s="10"/>
      <c r="E487" s="4"/>
      <c r="F487" s="5"/>
    </row>
    <row r="488" spans="1:6" x14ac:dyDescent="0.4">
      <c r="A488" s="1"/>
      <c r="C488" s="10"/>
      <c r="D488" s="10"/>
      <c r="E488" s="4"/>
      <c r="F488" s="5"/>
    </row>
    <row r="489" spans="1:6" x14ac:dyDescent="0.4">
      <c r="A489" s="1"/>
      <c r="C489" s="10"/>
      <c r="D489" s="10"/>
      <c r="E489" s="4"/>
      <c r="F489" s="5"/>
    </row>
    <row r="490" spans="1:6" x14ac:dyDescent="0.4">
      <c r="A490" s="1"/>
      <c r="C490" s="10"/>
      <c r="D490" s="10"/>
      <c r="E490" s="4"/>
      <c r="F490" s="5"/>
    </row>
    <row r="491" spans="1:6" x14ac:dyDescent="0.4">
      <c r="A491" s="1"/>
      <c r="C491" s="10"/>
      <c r="D491" s="10"/>
      <c r="E491" s="4"/>
      <c r="F491" s="5"/>
    </row>
    <row r="492" spans="1:6" x14ac:dyDescent="0.4">
      <c r="A492" s="1"/>
      <c r="C492" s="10"/>
      <c r="D492" s="10"/>
      <c r="E492" s="4"/>
      <c r="F492" s="5"/>
    </row>
    <row r="493" spans="1:6" x14ac:dyDescent="0.4">
      <c r="A493" s="1"/>
      <c r="C493" s="10"/>
      <c r="D493" s="10"/>
      <c r="E493" s="4"/>
      <c r="F493" s="5"/>
    </row>
    <row r="494" spans="1:6" x14ac:dyDescent="0.4">
      <c r="A494" s="1"/>
      <c r="C494" s="10"/>
      <c r="D494" s="10"/>
      <c r="E494" s="4"/>
      <c r="F494" s="5"/>
    </row>
    <row r="495" spans="1:6" x14ac:dyDescent="0.4">
      <c r="A495" s="1"/>
      <c r="C495" s="10"/>
      <c r="D495" s="10"/>
      <c r="E495" s="4"/>
      <c r="F495" s="5"/>
    </row>
    <row r="496" spans="1:6" x14ac:dyDescent="0.4">
      <c r="A496" s="1"/>
      <c r="C496" s="10"/>
      <c r="D496" s="10"/>
      <c r="E496" s="4"/>
      <c r="F496" s="5"/>
    </row>
    <row r="497" spans="1:6" x14ac:dyDescent="0.4">
      <c r="A497" s="1"/>
      <c r="C497" s="10"/>
      <c r="D497" s="10"/>
      <c r="E497" s="4"/>
      <c r="F497" s="5"/>
    </row>
    <row r="498" spans="1:6" x14ac:dyDescent="0.4">
      <c r="A498" s="1"/>
      <c r="C498" s="10"/>
      <c r="D498" s="10"/>
      <c r="E498" s="4"/>
      <c r="F498" s="5"/>
    </row>
    <row r="499" spans="1:6" x14ac:dyDescent="0.4">
      <c r="A499" s="1"/>
      <c r="C499" s="10"/>
      <c r="D499" s="10"/>
      <c r="E499" s="4"/>
      <c r="F499" s="5"/>
    </row>
    <row r="500" spans="1:6" x14ac:dyDescent="0.4">
      <c r="A500" s="1"/>
      <c r="C500" s="10"/>
      <c r="D500" s="10"/>
      <c r="E500" s="4"/>
      <c r="F500" s="5"/>
    </row>
    <row r="501" spans="1:6" x14ac:dyDescent="0.4">
      <c r="A501" s="1"/>
      <c r="C501" s="10"/>
      <c r="D501" s="10"/>
      <c r="E501" s="4"/>
      <c r="F501" s="5"/>
    </row>
    <row r="502" spans="1:6" x14ac:dyDescent="0.4">
      <c r="A502" s="1"/>
      <c r="C502" s="10"/>
      <c r="D502" s="10"/>
      <c r="E502" s="4"/>
      <c r="F502" s="5"/>
    </row>
    <row r="503" spans="1:6" x14ac:dyDescent="0.4">
      <c r="A503" s="1"/>
      <c r="C503" s="10"/>
      <c r="D503" s="10"/>
      <c r="E503" s="4"/>
      <c r="F503" s="5"/>
    </row>
    <row r="504" spans="1:6" x14ac:dyDescent="0.4">
      <c r="A504" s="1"/>
      <c r="C504" s="10"/>
      <c r="D504" s="10"/>
      <c r="E504" s="4"/>
      <c r="F504" s="5"/>
    </row>
    <row r="505" spans="1:6" x14ac:dyDescent="0.4">
      <c r="A505" s="1"/>
      <c r="C505" s="10"/>
      <c r="D505" s="10"/>
      <c r="E505" s="4"/>
      <c r="F505" s="5"/>
    </row>
    <row r="506" spans="1:6" x14ac:dyDescent="0.4">
      <c r="A506" s="1"/>
      <c r="C506" s="10"/>
      <c r="D506" s="10"/>
      <c r="E506" s="4"/>
      <c r="F506" s="5"/>
    </row>
    <row r="507" spans="1:6" x14ac:dyDescent="0.4">
      <c r="A507" s="1"/>
      <c r="C507" s="10"/>
      <c r="D507" s="10"/>
      <c r="E507" s="4"/>
      <c r="F507" s="5"/>
    </row>
    <row r="508" spans="1:6" x14ac:dyDescent="0.4">
      <c r="A508" s="1"/>
      <c r="C508" s="10"/>
      <c r="D508" s="10"/>
      <c r="E508" s="4"/>
      <c r="F508" s="5"/>
    </row>
    <row r="509" spans="1:6" x14ac:dyDescent="0.4">
      <c r="A509" s="1"/>
      <c r="C509" s="10"/>
      <c r="D509" s="10"/>
      <c r="E509" s="4"/>
      <c r="F509" s="5"/>
    </row>
    <row r="510" spans="1:6" x14ac:dyDescent="0.4">
      <c r="A510" s="1"/>
      <c r="C510" s="10"/>
      <c r="D510" s="10"/>
      <c r="E510" s="4"/>
      <c r="F510" s="5"/>
    </row>
    <row r="511" spans="1:6" x14ac:dyDescent="0.4">
      <c r="A511" s="1"/>
      <c r="C511" s="10"/>
      <c r="D511" s="10"/>
      <c r="E511" s="4"/>
      <c r="F511" s="5"/>
    </row>
    <row r="512" spans="1:6" x14ac:dyDescent="0.4">
      <c r="A512" s="1"/>
      <c r="C512" s="10"/>
      <c r="D512" s="10"/>
      <c r="E512" s="4"/>
      <c r="F512" s="5"/>
    </row>
    <row r="513" spans="1:6" x14ac:dyDescent="0.4">
      <c r="A513" s="1"/>
      <c r="C513" s="10"/>
      <c r="D513" s="10"/>
      <c r="E513" s="4"/>
      <c r="F513" s="5"/>
    </row>
    <row r="514" spans="1:6" x14ac:dyDescent="0.4">
      <c r="A514" s="1"/>
      <c r="C514" s="10"/>
      <c r="D514" s="10"/>
      <c r="E514" s="4"/>
      <c r="F514" s="5"/>
    </row>
    <row r="515" spans="1:6" x14ac:dyDescent="0.4">
      <c r="A515" s="1"/>
      <c r="C515" s="10"/>
      <c r="D515" s="10"/>
      <c r="E515" s="4"/>
      <c r="F515" s="5"/>
    </row>
    <row r="516" spans="1:6" x14ac:dyDescent="0.4">
      <c r="A516" s="1"/>
      <c r="C516" s="10"/>
      <c r="D516" s="10"/>
      <c r="E516" s="4"/>
      <c r="F516" s="5"/>
    </row>
    <row r="517" spans="1:6" x14ac:dyDescent="0.4">
      <c r="A517" s="1"/>
      <c r="C517" s="10"/>
      <c r="D517" s="10"/>
      <c r="E517" s="4"/>
      <c r="F517" s="5"/>
    </row>
    <row r="518" spans="1:6" x14ac:dyDescent="0.4">
      <c r="A518" s="1"/>
      <c r="C518" s="10"/>
      <c r="D518" s="10"/>
      <c r="E518" s="4"/>
      <c r="F518" s="5"/>
    </row>
    <row r="519" spans="1:6" x14ac:dyDescent="0.4">
      <c r="A519" s="1"/>
      <c r="C519" s="10"/>
      <c r="D519" s="10"/>
      <c r="E519" s="4"/>
      <c r="F519" s="5"/>
    </row>
    <row r="520" spans="1:6" x14ac:dyDescent="0.4">
      <c r="A520" s="1"/>
      <c r="C520" s="10"/>
      <c r="D520" s="10"/>
      <c r="E520" s="4"/>
      <c r="F520" s="5"/>
    </row>
    <row r="521" spans="1:6" x14ac:dyDescent="0.4">
      <c r="A521" s="1"/>
      <c r="C521" s="10"/>
      <c r="D521" s="10"/>
      <c r="E521" s="4"/>
      <c r="F521" s="5"/>
    </row>
    <row r="522" spans="1:6" x14ac:dyDescent="0.4">
      <c r="A522" s="1"/>
      <c r="C522" s="10"/>
      <c r="D522" s="10"/>
      <c r="E522" s="4"/>
      <c r="F522" s="5"/>
    </row>
    <row r="523" spans="1:6" x14ac:dyDescent="0.4">
      <c r="A523" s="1"/>
      <c r="C523" s="10"/>
      <c r="D523" s="10"/>
      <c r="E523" s="4"/>
      <c r="F523" s="5"/>
    </row>
    <row r="524" spans="1:6" x14ac:dyDescent="0.4">
      <c r="A524" s="1"/>
      <c r="C524" s="10"/>
      <c r="D524" s="10"/>
      <c r="E524" s="4"/>
      <c r="F524" s="5"/>
    </row>
    <row r="525" spans="1:6" x14ac:dyDescent="0.4">
      <c r="A525" s="1"/>
      <c r="C525" s="10"/>
      <c r="D525" s="10"/>
      <c r="E525" s="4"/>
      <c r="F525" s="5"/>
    </row>
    <row r="526" spans="1:6" x14ac:dyDescent="0.4">
      <c r="A526" s="1"/>
      <c r="C526" s="10"/>
      <c r="D526" s="10"/>
      <c r="E526" s="4"/>
      <c r="F526" s="5"/>
    </row>
    <row r="527" spans="1:6" x14ac:dyDescent="0.4">
      <c r="A527" s="1"/>
      <c r="C527" s="10"/>
      <c r="D527" s="10"/>
      <c r="E527" s="4"/>
      <c r="F527" s="5"/>
    </row>
    <row r="528" spans="1:6" x14ac:dyDescent="0.4">
      <c r="A528" s="1"/>
      <c r="C528" s="10"/>
      <c r="D528" s="10"/>
      <c r="E528" s="4"/>
      <c r="F528" s="5"/>
    </row>
    <row r="529" spans="1:6" x14ac:dyDescent="0.4">
      <c r="A529" s="1"/>
      <c r="C529" s="10"/>
      <c r="D529" s="10"/>
      <c r="E529" s="4"/>
      <c r="F529" s="5"/>
    </row>
    <row r="530" spans="1:6" x14ac:dyDescent="0.4">
      <c r="A530" s="1"/>
      <c r="C530" s="10"/>
      <c r="D530" s="10"/>
      <c r="E530" s="4"/>
      <c r="F530" s="5"/>
    </row>
    <row r="531" spans="1:6" x14ac:dyDescent="0.4">
      <c r="A531" s="1"/>
      <c r="C531" s="10"/>
      <c r="D531" s="10"/>
      <c r="E531" s="4"/>
      <c r="F531" s="5"/>
    </row>
    <row r="532" spans="1:6" x14ac:dyDescent="0.4">
      <c r="A532" s="1"/>
      <c r="C532" s="10"/>
      <c r="D532" s="10"/>
      <c r="E532" s="4"/>
      <c r="F532" s="5"/>
    </row>
    <row r="533" spans="1:6" x14ac:dyDescent="0.4">
      <c r="A533" s="1"/>
      <c r="C533" s="10"/>
      <c r="D533" s="10"/>
      <c r="E533" s="4"/>
      <c r="F533" s="5"/>
    </row>
    <row r="534" spans="1:6" x14ac:dyDescent="0.4">
      <c r="A534" s="1"/>
      <c r="C534" s="10"/>
      <c r="D534" s="10"/>
      <c r="E534" s="4"/>
      <c r="F534" s="5"/>
    </row>
    <row r="535" spans="1:6" x14ac:dyDescent="0.4">
      <c r="A535" s="1"/>
      <c r="C535" s="10"/>
      <c r="D535" s="10"/>
      <c r="E535" s="4"/>
      <c r="F535" s="5"/>
    </row>
    <row r="536" spans="1:6" x14ac:dyDescent="0.4">
      <c r="A536" s="1"/>
      <c r="C536" s="10"/>
      <c r="D536" s="10"/>
      <c r="E536" s="4"/>
      <c r="F536" s="5"/>
    </row>
    <row r="537" spans="1:6" x14ac:dyDescent="0.4">
      <c r="A537" s="1"/>
      <c r="C537" s="10"/>
      <c r="D537" s="10"/>
      <c r="E537" s="4"/>
      <c r="F537" s="5"/>
    </row>
    <row r="538" spans="1:6" x14ac:dyDescent="0.4">
      <c r="A538" s="1"/>
      <c r="C538" s="10"/>
      <c r="D538" s="10"/>
      <c r="E538" s="4"/>
      <c r="F538" s="5"/>
    </row>
    <row r="539" spans="1:6" x14ac:dyDescent="0.4">
      <c r="A539" s="1"/>
      <c r="C539" s="10"/>
      <c r="D539" s="10"/>
      <c r="E539" s="4"/>
      <c r="F539" s="5"/>
    </row>
    <row r="540" spans="1:6" x14ac:dyDescent="0.4">
      <c r="A540" s="1"/>
      <c r="C540" s="10"/>
      <c r="D540" s="10"/>
      <c r="E540" s="4"/>
      <c r="F540" s="5"/>
    </row>
    <row r="541" spans="1:6" x14ac:dyDescent="0.4">
      <c r="A541" s="1"/>
      <c r="C541" s="10"/>
      <c r="D541" s="10"/>
      <c r="E541" s="4"/>
      <c r="F541" s="5"/>
    </row>
    <row r="542" spans="1:6" x14ac:dyDescent="0.4">
      <c r="A542" s="1"/>
      <c r="C542" s="10"/>
      <c r="D542" s="10"/>
      <c r="E542" s="4"/>
      <c r="F542" s="5"/>
    </row>
    <row r="543" spans="1:6" x14ac:dyDescent="0.4">
      <c r="A543" s="1"/>
      <c r="C543" s="10"/>
      <c r="D543" s="10"/>
      <c r="E543" s="4"/>
      <c r="F543" s="5"/>
    </row>
    <row r="544" spans="1:6" x14ac:dyDescent="0.4">
      <c r="A544" s="1"/>
      <c r="C544" s="10"/>
      <c r="D544" s="10"/>
      <c r="E544" s="4"/>
      <c r="F544" s="5"/>
    </row>
    <row r="545" spans="1:6" x14ac:dyDescent="0.4">
      <c r="A545" s="1"/>
      <c r="C545" s="10"/>
      <c r="D545" s="10"/>
      <c r="E545" s="4"/>
      <c r="F545" s="5"/>
    </row>
    <row r="546" spans="1:6" x14ac:dyDescent="0.4">
      <c r="A546" s="1"/>
      <c r="C546" s="10"/>
      <c r="D546" s="10"/>
      <c r="E546" s="4"/>
      <c r="F546" s="5"/>
    </row>
    <row r="547" spans="1:6" x14ac:dyDescent="0.4">
      <c r="A547" s="1"/>
      <c r="C547" s="10"/>
      <c r="D547" s="10"/>
      <c r="E547" s="4"/>
      <c r="F547" s="5"/>
    </row>
    <row r="548" spans="1:6" x14ac:dyDescent="0.4">
      <c r="A548" s="1"/>
      <c r="C548" s="10"/>
      <c r="D548" s="10"/>
      <c r="E548" s="4"/>
      <c r="F548" s="5"/>
    </row>
    <row r="549" spans="1:6" x14ac:dyDescent="0.4">
      <c r="A549" s="1"/>
      <c r="C549" s="10"/>
      <c r="D549" s="10"/>
      <c r="E549" s="4"/>
      <c r="F549" s="5"/>
    </row>
    <row r="550" spans="1:6" x14ac:dyDescent="0.4">
      <c r="A550" s="1"/>
      <c r="C550" s="10"/>
      <c r="D550" s="10"/>
      <c r="E550" s="4"/>
      <c r="F550" s="5"/>
    </row>
    <row r="551" spans="1:6" x14ac:dyDescent="0.4">
      <c r="A551" s="1"/>
      <c r="C551" s="10"/>
      <c r="D551" s="10"/>
      <c r="E551" s="4"/>
      <c r="F551" s="5"/>
    </row>
    <row r="552" spans="1:6" x14ac:dyDescent="0.4">
      <c r="A552" s="1"/>
      <c r="C552" s="10"/>
      <c r="D552" s="10"/>
      <c r="E552" s="4"/>
      <c r="F552" s="5"/>
    </row>
    <row r="553" spans="1:6" x14ac:dyDescent="0.4">
      <c r="A553" s="1"/>
      <c r="C553" s="10"/>
      <c r="D553" s="10"/>
      <c r="E553" s="4"/>
      <c r="F553" s="5"/>
    </row>
    <row r="554" spans="1:6" x14ac:dyDescent="0.4">
      <c r="A554" s="1"/>
      <c r="C554" s="10"/>
      <c r="D554" s="10"/>
      <c r="E554" s="4"/>
      <c r="F554" s="5"/>
    </row>
    <row r="555" spans="1:6" x14ac:dyDescent="0.4">
      <c r="A555" s="1"/>
      <c r="C555" s="10"/>
      <c r="D555" s="10"/>
      <c r="E555" s="4"/>
      <c r="F555" s="5"/>
    </row>
    <row r="556" spans="1:6" x14ac:dyDescent="0.4">
      <c r="A556" s="1"/>
      <c r="C556" s="10"/>
      <c r="D556" s="10"/>
      <c r="E556" s="4"/>
      <c r="F556" s="5"/>
    </row>
    <row r="557" spans="1:6" x14ac:dyDescent="0.4">
      <c r="A557" s="1"/>
      <c r="C557" s="10"/>
      <c r="D557" s="10"/>
      <c r="E557" s="4"/>
      <c r="F557" s="5"/>
    </row>
    <row r="558" spans="1:6" x14ac:dyDescent="0.4">
      <c r="A558" s="1"/>
      <c r="C558" s="10"/>
      <c r="D558" s="10"/>
      <c r="E558" s="4"/>
      <c r="F558" s="5"/>
    </row>
    <row r="559" spans="1:6" x14ac:dyDescent="0.4">
      <c r="A559" s="1"/>
      <c r="C559" s="10"/>
      <c r="D559" s="10"/>
      <c r="E559" s="4"/>
      <c r="F559" s="5"/>
    </row>
    <row r="560" spans="1:6" x14ac:dyDescent="0.4">
      <c r="A560" s="1"/>
      <c r="C560" s="10"/>
      <c r="D560" s="10"/>
      <c r="E560" s="4"/>
      <c r="F560" s="5"/>
    </row>
    <row r="561" spans="1:6" x14ac:dyDescent="0.4">
      <c r="A561" s="1"/>
      <c r="C561" s="10"/>
      <c r="D561" s="10"/>
      <c r="E561" s="4"/>
      <c r="F561" s="5"/>
    </row>
    <row r="562" spans="1:6" x14ac:dyDescent="0.4">
      <c r="A562" s="1"/>
      <c r="C562" s="10"/>
      <c r="D562" s="10"/>
      <c r="E562" s="4"/>
      <c r="F562" s="5"/>
    </row>
    <row r="563" spans="1:6" x14ac:dyDescent="0.4">
      <c r="A563" s="1"/>
      <c r="C563" s="10"/>
      <c r="D563" s="10"/>
      <c r="E563" s="4"/>
      <c r="F563" s="5"/>
    </row>
    <row r="564" spans="1:6" x14ac:dyDescent="0.4">
      <c r="A564" s="1"/>
      <c r="C564" s="10"/>
      <c r="D564" s="10"/>
      <c r="E564" s="4"/>
      <c r="F564" s="5"/>
    </row>
    <row r="565" spans="1:6" x14ac:dyDescent="0.4">
      <c r="A565" s="1"/>
      <c r="C565" s="10"/>
      <c r="D565" s="10"/>
      <c r="E565" s="4"/>
      <c r="F565" s="5"/>
    </row>
    <row r="566" spans="1:6" x14ac:dyDescent="0.4">
      <c r="A566" s="1"/>
      <c r="C566" s="10"/>
      <c r="D566" s="10"/>
      <c r="E566" s="4"/>
      <c r="F566" s="5"/>
    </row>
    <row r="567" spans="1:6" x14ac:dyDescent="0.4">
      <c r="A567" s="1"/>
      <c r="C567" s="10"/>
      <c r="D567" s="10"/>
      <c r="E567" s="4"/>
      <c r="F567" s="5"/>
    </row>
    <row r="568" spans="1:6" x14ac:dyDescent="0.4">
      <c r="A568" s="1"/>
      <c r="C568" s="10"/>
      <c r="D568" s="10"/>
      <c r="E568" s="4"/>
      <c r="F568" s="5"/>
    </row>
    <row r="569" spans="1:6" x14ac:dyDescent="0.4">
      <c r="A569" s="1"/>
      <c r="C569" s="10"/>
      <c r="D569" s="10"/>
      <c r="E569" s="4"/>
      <c r="F569" s="5"/>
    </row>
    <row r="570" spans="1:6" x14ac:dyDescent="0.4">
      <c r="A570" s="1"/>
      <c r="C570" s="10"/>
      <c r="D570" s="10"/>
      <c r="E570" s="4"/>
      <c r="F570" s="5"/>
    </row>
    <row r="571" spans="1:6" x14ac:dyDescent="0.4">
      <c r="A571" s="1"/>
      <c r="C571" s="10"/>
      <c r="D571" s="10"/>
      <c r="E571" s="4"/>
      <c r="F571" s="5"/>
    </row>
    <row r="572" spans="1:6" x14ac:dyDescent="0.4">
      <c r="A572" s="1"/>
      <c r="C572" s="10"/>
      <c r="D572" s="10"/>
      <c r="E572" s="4"/>
      <c r="F572" s="5"/>
    </row>
    <row r="573" spans="1:6" x14ac:dyDescent="0.4">
      <c r="A573" s="1"/>
      <c r="C573" s="10"/>
      <c r="D573" s="10"/>
      <c r="E573" s="4"/>
      <c r="F573" s="5"/>
    </row>
    <row r="574" spans="1:6" x14ac:dyDescent="0.4">
      <c r="A574" s="1"/>
      <c r="C574" s="10"/>
      <c r="D574" s="10"/>
      <c r="E574" s="4"/>
      <c r="F574" s="5"/>
    </row>
    <row r="575" spans="1:6" x14ac:dyDescent="0.4">
      <c r="A575" s="1"/>
      <c r="C575" s="10"/>
      <c r="D575" s="10"/>
      <c r="E575" s="4"/>
      <c r="F575" s="5"/>
    </row>
    <row r="576" spans="1:6" x14ac:dyDescent="0.4">
      <c r="A576" s="1"/>
      <c r="C576" s="10"/>
      <c r="D576" s="10"/>
      <c r="E576" s="4"/>
      <c r="F576" s="5"/>
    </row>
    <row r="577" spans="1:6" x14ac:dyDescent="0.4">
      <c r="A577" s="1"/>
      <c r="C577" s="10"/>
      <c r="D577" s="10"/>
      <c r="E577" s="4"/>
      <c r="F577" s="5"/>
    </row>
    <row r="578" spans="1:6" x14ac:dyDescent="0.4">
      <c r="A578" s="1"/>
      <c r="C578" s="10"/>
      <c r="D578" s="10"/>
      <c r="E578" s="4"/>
      <c r="F578" s="5"/>
    </row>
    <row r="579" spans="1:6" x14ac:dyDescent="0.4">
      <c r="A579" s="1"/>
      <c r="C579" s="10"/>
      <c r="D579" s="10"/>
      <c r="E579" s="4"/>
      <c r="F579" s="5"/>
    </row>
    <row r="580" spans="1:6" x14ac:dyDescent="0.4">
      <c r="A580" s="1"/>
      <c r="C580" s="10"/>
      <c r="D580" s="10"/>
      <c r="E580" s="4"/>
      <c r="F580" s="5"/>
    </row>
    <row r="581" spans="1:6" x14ac:dyDescent="0.4">
      <c r="A581" s="1"/>
      <c r="C581" s="10"/>
      <c r="D581" s="10"/>
      <c r="E581" s="4"/>
      <c r="F581" s="5"/>
    </row>
    <row r="582" spans="1:6" x14ac:dyDescent="0.4">
      <c r="A582" s="1"/>
      <c r="C582" s="10"/>
      <c r="D582" s="10"/>
      <c r="E582" s="4"/>
      <c r="F582" s="5"/>
    </row>
    <row r="583" spans="1:6" x14ac:dyDescent="0.4">
      <c r="A583" s="1"/>
      <c r="C583" s="10"/>
      <c r="D583" s="10"/>
      <c r="E583" s="4"/>
      <c r="F583" s="5"/>
    </row>
    <row r="584" spans="1:6" x14ac:dyDescent="0.4">
      <c r="A584" s="1"/>
      <c r="C584" s="10"/>
      <c r="D584" s="10"/>
      <c r="E584" s="4"/>
      <c r="F584" s="5"/>
    </row>
    <row r="585" spans="1:6" x14ac:dyDescent="0.4">
      <c r="A585" s="1"/>
      <c r="C585" s="10"/>
      <c r="D585" s="10"/>
      <c r="E585" s="4"/>
      <c r="F585" s="5"/>
    </row>
    <row r="586" spans="1:6" x14ac:dyDescent="0.4">
      <c r="A586" s="1"/>
      <c r="C586" s="10"/>
      <c r="D586" s="10"/>
      <c r="E586" s="4"/>
      <c r="F586" s="5"/>
    </row>
    <row r="587" spans="1:6" x14ac:dyDescent="0.4">
      <c r="A587" s="1"/>
      <c r="C587" s="10"/>
      <c r="D587" s="10"/>
      <c r="E587" s="4"/>
      <c r="F587" s="5"/>
    </row>
    <row r="588" spans="1:6" x14ac:dyDescent="0.4">
      <c r="A588" s="1"/>
      <c r="C588" s="10"/>
      <c r="D588" s="10"/>
      <c r="E588" s="4"/>
      <c r="F588" s="5"/>
    </row>
    <row r="589" spans="1:6" x14ac:dyDescent="0.4">
      <c r="A589" s="1"/>
      <c r="C589" s="10"/>
      <c r="D589" s="10"/>
      <c r="E589" s="4"/>
      <c r="F589" s="5"/>
    </row>
    <row r="590" spans="1:6" x14ac:dyDescent="0.4">
      <c r="A590" s="1"/>
      <c r="C590" s="10"/>
      <c r="D590" s="10"/>
      <c r="E590" s="4"/>
      <c r="F590" s="5"/>
    </row>
    <row r="591" spans="1:6" x14ac:dyDescent="0.4">
      <c r="A591" s="1"/>
      <c r="C591" s="10"/>
      <c r="D591" s="10"/>
      <c r="E591" s="4"/>
      <c r="F591" s="5"/>
    </row>
    <row r="592" spans="1:6" x14ac:dyDescent="0.4">
      <c r="A592" s="1"/>
      <c r="C592" s="10"/>
      <c r="D592" s="10"/>
      <c r="E592" s="4"/>
      <c r="F592" s="5"/>
    </row>
    <row r="593" spans="1:6" x14ac:dyDescent="0.4">
      <c r="A593" s="1"/>
      <c r="C593" s="10"/>
      <c r="D593" s="10"/>
      <c r="E593" s="4"/>
      <c r="F593" s="5"/>
    </row>
    <row r="594" spans="1:6" x14ac:dyDescent="0.4">
      <c r="A594" s="1"/>
      <c r="C594" s="10"/>
      <c r="D594" s="10"/>
      <c r="E594" s="4"/>
      <c r="F594" s="5"/>
    </row>
    <row r="595" spans="1:6" x14ac:dyDescent="0.4">
      <c r="A595" s="1"/>
      <c r="C595" s="10"/>
      <c r="D595" s="10"/>
      <c r="E595" s="4"/>
      <c r="F595" s="5"/>
    </row>
    <row r="596" spans="1:6" x14ac:dyDescent="0.4">
      <c r="A596" s="1"/>
      <c r="C596" s="10"/>
      <c r="D596" s="10"/>
      <c r="E596" s="4"/>
      <c r="F596" s="5"/>
    </row>
    <row r="597" spans="1:6" x14ac:dyDescent="0.4">
      <c r="A597" s="1"/>
      <c r="C597" s="10"/>
      <c r="D597" s="10"/>
      <c r="E597" s="4"/>
      <c r="F597" s="5"/>
    </row>
    <row r="598" spans="1:6" x14ac:dyDescent="0.4">
      <c r="A598" s="1"/>
      <c r="C598" s="10"/>
      <c r="D598" s="10"/>
      <c r="E598" s="4"/>
      <c r="F598" s="5"/>
    </row>
    <row r="599" spans="1:6" x14ac:dyDescent="0.4">
      <c r="A599" s="1"/>
      <c r="C599" s="10"/>
      <c r="D599" s="10"/>
      <c r="E599" s="4"/>
      <c r="F599" s="5"/>
    </row>
    <row r="600" spans="1:6" x14ac:dyDescent="0.4">
      <c r="A600" s="1"/>
      <c r="C600" s="10"/>
      <c r="D600" s="10"/>
      <c r="E600" s="4"/>
      <c r="F600" s="5"/>
    </row>
    <row r="601" spans="1:6" x14ac:dyDescent="0.4">
      <c r="A601" s="1"/>
      <c r="C601" s="10"/>
      <c r="D601" s="10"/>
      <c r="E601" s="4"/>
      <c r="F601" s="5"/>
    </row>
    <row r="602" spans="1:6" x14ac:dyDescent="0.4">
      <c r="A602" s="1"/>
      <c r="C602" s="3"/>
      <c r="D602" s="1"/>
      <c r="E602" s="4"/>
      <c r="F602" s="5"/>
    </row>
    <row r="603" spans="1:6" x14ac:dyDescent="0.4">
      <c r="A603" s="1"/>
      <c r="C603" s="1"/>
      <c r="D603" s="1"/>
      <c r="E603" s="4"/>
      <c r="F603" s="5"/>
    </row>
    <row r="604" spans="1:6" x14ac:dyDescent="0.4">
      <c r="A604" s="1"/>
      <c r="C604" s="1"/>
      <c r="D604" s="1"/>
      <c r="E604" s="4"/>
      <c r="F604" s="5"/>
    </row>
    <row r="605" spans="1:6" x14ac:dyDescent="0.4">
      <c r="A605" s="1"/>
      <c r="C605" s="1"/>
      <c r="D605" s="1"/>
      <c r="E605" s="4"/>
      <c r="F605" s="5"/>
    </row>
    <row r="606" spans="1:6" x14ac:dyDescent="0.4">
      <c r="A606" s="1"/>
      <c r="C606" s="1"/>
      <c r="D606" s="1"/>
      <c r="E606" s="4"/>
      <c r="F606" s="5"/>
    </row>
    <row r="607" spans="1:6" x14ac:dyDescent="0.4">
      <c r="A607" s="1"/>
      <c r="C607" s="1"/>
      <c r="D607" s="1"/>
      <c r="E607" s="4"/>
      <c r="F607" s="5"/>
    </row>
    <row r="608" spans="1:6" x14ac:dyDescent="0.4">
      <c r="A608" s="1"/>
      <c r="C608" s="1"/>
      <c r="D608" s="1"/>
      <c r="E608" s="4"/>
      <c r="F608" s="5"/>
    </row>
    <row r="609" spans="1:6" x14ac:dyDescent="0.4">
      <c r="A609" s="1"/>
      <c r="C609" s="1"/>
      <c r="D609" s="1"/>
      <c r="E609" s="4"/>
      <c r="F609" s="5"/>
    </row>
    <row r="610" spans="1:6" x14ac:dyDescent="0.4">
      <c r="A610" s="1"/>
      <c r="C610" s="1"/>
      <c r="D610" s="1"/>
      <c r="E610" s="4"/>
      <c r="F610" s="5"/>
    </row>
    <row r="611" spans="1:6" x14ac:dyDescent="0.4">
      <c r="A611" s="1"/>
      <c r="C611" s="1"/>
      <c r="D611" s="1"/>
      <c r="E611" s="4"/>
      <c r="F611" s="5"/>
    </row>
    <row r="612" spans="1:6" x14ac:dyDescent="0.4">
      <c r="A612" s="1"/>
      <c r="C612" s="1"/>
      <c r="D612" s="1"/>
      <c r="E612" s="4"/>
      <c r="F612" s="5"/>
    </row>
    <row r="613" spans="1:6" x14ac:dyDescent="0.4">
      <c r="A613" s="1"/>
      <c r="C613" s="1"/>
      <c r="D613" s="1"/>
      <c r="E613" s="4"/>
      <c r="F613" s="5"/>
    </row>
    <row r="614" spans="1:6" x14ac:dyDescent="0.4">
      <c r="A614" s="1"/>
      <c r="C614" s="1"/>
      <c r="D614" s="1"/>
      <c r="E614" s="4"/>
      <c r="F614" s="5"/>
    </row>
    <row r="615" spans="1:6" x14ac:dyDescent="0.4">
      <c r="A615" s="1"/>
      <c r="C615" s="1"/>
      <c r="D615" s="1"/>
      <c r="E615" s="4"/>
      <c r="F615" s="5"/>
    </row>
    <row r="616" spans="1:6" x14ac:dyDescent="0.4">
      <c r="A616" s="1"/>
      <c r="C616" s="1"/>
      <c r="D616" s="1"/>
      <c r="E616" s="4"/>
      <c r="F616" s="5"/>
    </row>
    <row r="617" spans="1:6" x14ac:dyDescent="0.4">
      <c r="A617" s="1"/>
      <c r="C617" s="1"/>
      <c r="D617" s="1"/>
      <c r="E617" s="4"/>
      <c r="F617" s="5"/>
    </row>
    <row r="618" spans="1:6" x14ac:dyDescent="0.4">
      <c r="A618" s="1"/>
      <c r="C618" s="1"/>
      <c r="D618" s="1"/>
      <c r="E618" s="4"/>
      <c r="F618" s="5"/>
    </row>
    <row r="619" spans="1:6" x14ac:dyDescent="0.4">
      <c r="A619" s="1"/>
      <c r="C619" s="1"/>
      <c r="D619" s="1"/>
      <c r="E619" s="4"/>
      <c r="F619" s="5"/>
    </row>
    <row r="620" spans="1:6" x14ac:dyDescent="0.4">
      <c r="A620" s="1"/>
      <c r="C620" s="1"/>
      <c r="D620" s="1"/>
      <c r="E620" s="4"/>
      <c r="F620" s="5"/>
    </row>
    <row r="621" spans="1:6" x14ac:dyDescent="0.4">
      <c r="A621" s="1"/>
      <c r="C621" s="1"/>
      <c r="D621" s="1"/>
      <c r="E621" s="4"/>
      <c r="F621" s="5"/>
    </row>
    <row r="622" spans="1:6" x14ac:dyDescent="0.4">
      <c r="A622" s="1"/>
      <c r="C622" s="1"/>
      <c r="D622" s="1"/>
      <c r="E622" s="4"/>
      <c r="F622" s="5"/>
    </row>
    <row r="623" spans="1:6" x14ac:dyDescent="0.4">
      <c r="A623" s="1"/>
      <c r="C623" s="1"/>
      <c r="D623" s="1"/>
      <c r="E623" s="4"/>
      <c r="F623" s="5"/>
    </row>
    <row r="624" spans="1:6" x14ac:dyDescent="0.4">
      <c r="A624" s="1"/>
      <c r="C624" s="1"/>
      <c r="D624" s="1"/>
      <c r="E624" s="4"/>
      <c r="F624" s="5"/>
    </row>
    <row r="625" spans="1:6" x14ac:dyDescent="0.4">
      <c r="A625" s="1"/>
      <c r="C625" s="1"/>
      <c r="D625" s="1"/>
      <c r="E625" s="4"/>
      <c r="F625" s="5"/>
    </row>
    <row r="626" spans="1:6" x14ac:dyDescent="0.4">
      <c r="A626" s="1"/>
      <c r="C626" s="1"/>
      <c r="D626" s="1"/>
      <c r="E626" s="4"/>
      <c r="F626" s="5"/>
    </row>
    <row r="627" spans="1:6" x14ac:dyDescent="0.4">
      <c r="A627" s="1"/>
      <c r="C627" s="1"/>
      <c r="D627" s="1"/>
      <c r="E627" s="4"/>
      <c r="F627" s="5"/>
    </row>
    <row r="628" spans="1:6" x14ac:dyDescent="0.4">
      <c r="A628" s="1"/>
      <c r="C628" s="1"/>
      <c r="D628" s="1"/>
      <c r="E628" s="4"/>
      <c r="F628" s="5"/>
    </row>
    <row r="629" spans="1:6" x14ac:dyDescent="0.4">
      <c r="A629" s="1"/>
      <c r="C629" s="1"/>
      <c r="D629" s="1"/>
      <c r="E629" s="4"/>
      <c r="F629" s="5"/>
    </row>
    <row r="630" spans="1:6" x14ac:dyDescent="0.4">
      <c r="A630" s="1"/>
      <c r="C630" s="1"/>
      <c r="D630" s="1"/>
      <c r="E630" s="4"/>
      <c r="F630" s="5"/>
    </row>
    <row r="631" spans="1:6" x14ac:dyDescent="0.4">
      <c r="A631" s="1"/>
      <c r="C631" s="1"/>
      <c r="D631" s="1"/>
      <c r="E631" s="4"/>
      <c r="F631" s="5"/>
    </row>
    <row r="632" spans="1:6" x14ac:dyDescent="0.4">
      <c r="A632" s="1"/>
      <c r="C632" s="1"/>
      <c r="D632" s="1"/>
      <c r="E632" s="4"/>
      <c r="F632" s="5"/>
    </row>
    <row r="633" spans="1:6" x14ac:dyDescent="0.4">
      <c r="A633" s="1"/>
      <c r="C633" s="1"/>
      <c r="D633" s="1"/>
      <c r="E633" s="4"/>
      <c r="F633" s="5"/>
    </row>
    <row r="634" spans="1:6" x14ac:dyDescent="0.4">
      <c r="A634" s="1"/>
      <c r="C634" s="1"/>
      <c r="D634" s="1"/>
      <c r="E634" s="4"/>
      <c r="F634" s="5"/>
    </row>
    <row r="635" spans="1:6" x14ac:dyDescent="0.4">
      <c r="A635" s="1"/>
      <c r="C635" s="1"/>
      <c r="D635" s="1"/>
      <c r="E635" s="4"/>
      <c r="F635" s="5"/>
    </row>
    <row r="636" spans="1:6" x14ac:dyDescent="0.4">
      <c r="A636" s="1"/>
      <c r="C636" s="1"/>
      <c r="D636" s="1"/>
      <c r="E636" s="4"/>
      <c r="F636" s="5"/>
    </row>
    <row r="637" spans="1:6" x14ac:dyDescent="0.4">
      <c r="A637" s="1"/>
      <c r="C637" s="1"/>
      <c r="D637" s="1"/>
      <c r="E637" s="4"/>
      <c r="F637" s="5"/>
    </row>
    <row r="638" spans="1:6" x14ac:dyDescent="0.4">
      <c r="A638" s="1"/>
      <c r="C638" s="1"/>
      <c r="D638" s="1"/>
      <c r="E638" s="4"/>
      <c r="F638" s="5"/>
    </row>
    <row r="639" spans="1:6" x14ac:dyDescent="0.4">
      <c r="A639" s="1"/>
      <c r="C639" s="1"/>
      <c r="D639" s="1"/>
      <c r="E639" s="4"/>
      <c r="F639" s="5"/>
    </row>
    <row r="640" spans="1:6" x14ac:dyDescent="0.4">
      <c r="A640" s="1"/>
      <c r="C640" s="1"/>
      <c r="D640" s="1"/>
      <c r="E640" s="4"/>
      <c r="F640" s="5"/>
    </row>
    <row r="641" spans="1:6" x14ac:dyDescent="0.4">
      <c r="A641" s="1"/>
      <c r="C641" s="1"/>
      <c r="D641" s="1"/>
      <c r="E641" s="4"/>
      <c r="F641" s="5"/>
    </row>
    <row r="642" spans="1:6" x14ac:dyDescent="0.4">
      <c r="A642" s="1"/>
      <c r="C642" s="1"/>
      <c r="D642" s="1"/>
      <c r="E642" s="4"/>
      <c r="F642" s="5"/>
    </row>
    <row r="643" spans="1:6" x14ac:dyDescent="0.4">
      <c r="A643" s="1"/>
      <c r="C643" s="1"/>
      <c r="D643" s="1"/>
      <c r="E643" s="4"/>
      <c r="F643" s="5"/>
    </row>
    <row r="644" spans="1:6" x14ac:dyDescent="0.4">
      <c r="A644" s="1"/>
      <c r="C644" s="1"/>
      <c r="D644" s="1"/>
      <c r="E644" s="4"/>
      <c r="F644" s="5"/>
    </row>
    <row r="645" spans="1:6" x14ac:dyDescent="0.4">
      <c r="A645" s="1"/>
      <c r="C645" s="1"/>
      <c r="D645" s="1"/>
      <c r="E645" s="4"/>
      <c r="F645" s="5"/>
    </row>
    <row r="646" spans="1:6" x14ac:dyDescent="0.4">
      <c r="A646" s="1"/>
      <c r="C646" s="1"/>
      <c r="D646" s="1"/>
      <c r="E646" s="4"/>
      <c r="F646" s="5"/>
    </row>
    <row r="647" spans="1:6" x14ac:dyDescent="0.4">
      <c r="A647" s="1"/>
      <c r="C647" s="1"/>
      <c r="D647" s="1"/>
      <c r="E647" s="4"/>
      <c r="F647" s="5"/>
    </row>
    <row r="648" spans="1:6" x14ac:dyDescent="0.4">
      <c r="A648" s="1"/>
      <c r="C648" s="1"/>
      <c r="D648" s="1"/>
      <c r="E648" s="4"/>
      <c r="F648" s="5"/>
    </row>
    <row r="649" spans="1:6" x14ac:dyDescent="0.4">
      <c r="A649" s="1"/>
      <c r="C649" s="1"/>
      <c r="D649" s="1"/>
      <c r="E649" s="4"/>
      <c r="F649" s="5"/>
    </row>
    <row r="650" spans="1:6" x14ac:dyDescent="0.4">
      <c r="A650" s="1"/>
      <c r="C650" s="1"/>
      <c r="D650" s="1"/>
      <c r="E650" s="4"/>
      <c r="F650" s="5"/>
    </row>
    <row r="651" spans="1:6" x14ac:dyDescent="0.4">
      <c r="A651" s="1"/>
      <c r="C651" s="1"/>
      <c r="D651" s="1"/>
      <c r="E651" s="4"/>
      <c r="F651" s="5"/>
    </row>
    <row r="652" spans="1:6" x14ac:dyDescent="0.4">
      <c r="A652" s="1"/>
      <c r="C652" s="1"/>
      <c r="D652" s="1"/>
      <c r="E652" s="4"/>
      <c r="F652" s="5"/>
    </row>
    <row r="653" spans="1:6" x14ac:dyDescent="0.4">
      <c r="A653" s="1"/>
      <c r="C653" s="1"/>
      <c r="D653" s="1"/>
      <c r="E653" s="4"/>
      <c r="F653" s="5"/>
    </row>
    <row r="654" spans="1:6" x14ac:dyDescent="0.4">
      <c r="A654" s="1"/>
      <c r="C654" s="1"/>
      <c r="D654" s="1"/>
      <c r="E654" s="4"/>
      <c r="F654" s="5"/>
    </row>
    <row r="655" spans="1:6" x14ac:dyDescent="0.4">
      <c r="A655" s="1"/>
      <c r="C655" s="1"/>
      <c r="D655" s="1"/>
      <c r="E655" s="4"/>
      <c r="F655" s="5"/>
    </row>
    <row r="656" spans="1:6" x14ac:dyDescent="0.4">
      <c r="A656" s="1"/>
      <c r="C656" s="1"/>
      <c r="D656" s="1"/>
      <c r="E656" s="4"/>
      <c r="F656" s="5"/>
    </row>
    <row r="657" spans="1:6" x14ac:dyDescent="0.4">
      <c r="A657" s="1"/>
      <c r="C657" s="1"/>
      <c r="D657" s="1"/>
      <c r="E657" s="4"/>
      <c r="F657" s="5"/>
    </row>
    <row r="658" spans="1:6" x14ac:dyDescent="0.4">
      <c r="A658" s="1"/>
      <c r="C658" s="1"/>
      <c r="D658" s="1"/>
      <c r="E658" s="4"/>
      <c r="F658" s="5"/>
    </row>
    <row r="659" spans="1:6" x14ac:dyDescent="0.4">
      <c r="A659" s="1"/>
      <c r="C659" s="1"/>
      <c r="D659" s="1"/>
      <c r="E659" s="4"/>
      <c r="F659" s="5"/>
    </row>
    <row r="660" spans="1:6" x14ac:dyDescent="0.4">
      <c r="A660" s="1"/>
      <c r="C660" s="1"/>
      <c r="D660" s="1"/>
      <c r="E660" s="4"/>
      <c r="F660" s="5"/>
    </row>
    <row r="661" spans="1:6" x14ac:dyDescent="0.4">
      <c r="A661" s="1"/>
      <c r="C661" s="1"/>
      <c r="D661" s="1"/>
      <c r="E661" s="4"/>
      <c r="F661" s="5"/>
    </row>
    <row r="662" spans="1:6" x14ac:dyDescent="0.4">
      <c r="A662" s="1"/>
      <c r="C662" s="1"/>
      <c r="D662" s="1"/>
      <c r="E662" s="4"/>
      <c r="F662" s="5"/>
    </row>
    <row r="663" spans="1:6" x14ac:dyDescent="0.4">
      <c r="A663" s="1"/>
      <c r="C663" s="1"/>
      <c r="D663" s="1"/>
      <c r="E663" s="4"/>
      <c r="F663" s="5"/>
    </row>
    <row r="664" spans="1:6" x14ac:dyDescent="0.4">
      <c r="A664" s="1"/>
      <c r="C664" s="1"/>
      <c r="D664" s="1"/>
      <c r="E664" s="4"/>
      <c r="F664" s="5"/>
    </row>
    <row r="665" spans="1:6" x14ac:dyDescent="0.4">
      <c r="A665" s="1"/>
      <c r="C665" s="1"/>
      <c r="D665" s="1"/>
      <c r="E665" s="4"/>
      <c r="F665" s="5"/>
    </row>
    <row r="666" spans="1:6" x14ac:dyDescent="0.4">
      <c r="A666" s="1"/>
      <c r="C666" s="1"/>
      <c r="D666" s="1"/>
      <c r="E666" s="4"/>
      <c r="F666" s="5"/>
    </row>
    <row r="667" spans="1:6" x14ac:dyDescent="0.4">
      <c r="A667" s="1"/>
      <c r="C667" s="1"/>
      <c r="D667" s="1"/>
      <c r="E667" s="4"/>
      <c r="F667" s="5"/>
    </row>
    <row r="668" spans="1:6" x14ac:dyDescent="0.4">
      <c r="A668" s="1"/>
      <c r="C668" s="1"/>
      <c r="D668" s="1"/>
      <c r="E668" s="4"/>
      <c r="F668" s="5"/>
    </row>
    <row r="669" spans="1:6" x14ac:dyDescent="0.4">
      <c r="A669" s="1"/>
      <c r="C669" s="1"/>
      <c r="D669" s="1"/>
      <c r="E669" s="4"/>
      <c r="F669" s="5"/>
    </row>
    <row r="670" spans="1:6" x14ac:dyDescent="0.4">
      <c r="A670" s="1"/>
      <c r="C670" s="1"/>
      <c r="D670" s="1"/>
      <c r="E670" s="4"/>
      <c r="F670" s="5"/>
    </row>
    <row r="671" spans="1:6" x14ac:dyDescent="0.4">
      <c r="A671" s="1"/>
      <c r="C671" s="1"/>
      <c r="D671" s="1"/>
      <c r="E671" s="4"/>
      <c r="F671" s="5"/>
    </row>
    <row r="672" spans="1:6" x14ac:dyDescent="0.4">
      <c r="A672" s="1"/>
      <c r="C672" s="1"/>
      <c r="D672" s="1"/>
      <c r="E672" s="4"/>
      <c r="F672" s="5"/>
    </row>
    <row r="673" spans="1:6" x14ac:dyDescent="0.4">
      <c r="A673" s="1"/>
      <c r="C673" s="1"/>
      <c r="D673" s="1"/>
      <c r="E673" s="4"/>
      <c r="F673" s="5"/>
    </row>
    <row r="674" spans="1:6" x14ac:dyDescent="0.4">
      <c r="A674" s="1"/>
      <c r="C674" s="1"/>
      <c r="D674" s="1"/>
      <c r="E674" s="4"/>
      <c r="F674" s="5"/>
    </row>
    <row r="675" spans="1:6" x14ac:dyDescent="0.4">
      <c r="A675" s="1"/>
      <c r="C675" s="1"/>
      <c r="D675" s="1"/>
      <c r="E675" s="4"/>
      <c r="F675" s="5"/>
    </row>
    <row r="676" spans="1:6" x14ac:dyDescent="0.4">
      <c r="A676" s="1"/>
      <c r="C676" s="1"/>
      <c r="D676" s="1"/>
      <c r="E676" s="4"/>
      <c r="F676" s="5"/>
    </row>
    <row r="677" spans="1:6" x14ac:dyDescent="0.4">
      <c r="A677" s="1"/>
      <c r="C677" s="1"/>
      <c r="D677" s="1"/>
      <c r="E677" s="4"/>
      <c r="F677" s="5"/>
    </row>
    <row r="678" spans="1:6" x14ac:dyDescent="0.4">
      <c r="A678" s="1"/>
      <c r="C678" s="1"/>
      <c r="D678" s="1"/>
      <c r="E678" s="4"/>
      <c r="F678" s="5"/>
    </row>
    <row r="679" spans="1:6" x14ac:dyDescent="0.4">
      <c r="A679" s="1"/>
      <c r="C679" s="1"/>
      <c r="D679" s="1"/>
      <c r="E679" s="4"/>
      <c r="F679" s="5"/>
    </row>
    <row r="680" spans="1:6" x14ac:dyDescent="0.4">
      <c r="A680" s="1"/>
      <c r="C680" s="1"/>
      <c r="D680" s="1"/>
      <c r="E680" s="4"/>
      <c r="F680" s="5"/>
    </row>
    <row r="681" spans="1:6" x14ac:dyDescent="0.4">
      <c r="A681" s="1"/>
      <c r="C681" s="1"/>
      <c r="D681" s="1"/>
      <c r="E681" s="4"/>
      <c r="F681" s="5"/>
    </row>
    <row r="682" spans="1:6" x14ac:dyDescent="0.4">
      <c r="A682" s="1"/>
      <c r="C682" s="1"/>
      <c r="D682" s="1"/>
      <c r="E682" s="4"/>
      <c r="F682" s="5"/>
    </row>
    <row r="683" spans="1:6" x14ac:dyDescent="0.4">
      <c r="A683" s="1"/>
      <c r="C683" s="1"/>
      <c r="D683" s="1"/>
      <c r="E683" s="4"/>
      <c r="F683" s="5"/>
    </row>
    <row r="684" spans="1:6" x14ac:dyDescent="0.4">
      <c r="A684" s="1"/>
      <c r="C684" s="1"/>
      <c r="D684" s="1"/>
      <c r="E684" s="4"/>
      <c r="F684" s="5"/>
    </row>
    <row r="685" spans="1:6" x14ac:dyDescent="0.4">
      <c r="A685" s="1"/>
      <c r="C685" s="1"/>
      <c r="D685" s="1"/>
      <c r="E685" s="4"/>
      <c r="F685" s="5"/>
    </row>
    <row r="686" spans="1:6" x14ac:dyDescent="0.4">
      <c r="A686" s="1"/>
      <c r="C686" s="1"/>
      <c r="D686" s="1"/>
      <c r="E686" s="4"/>
      <c r="F686" s="5"/>
    </row>
    <row r="687" spans="1:6" x14ac:dyDescent="0.4">
      <c r="A687" s="1"/>
      <c r="C687" s="1"/>
      <c r="D687" s="1"/>
      <c r="E687" s="4"/>
      <c r="F687" s="5"/>
    </row>
    <row r="688" spans="1:6" x14ac:dyDescent="0.4">
      <c r="A688" s="1"/>
      <c r="C688" s="1"/>
      <c r="D688" s="1"/>
      <c r="E688" s="4"/>
      <c r="F688" s="5"/>
    </row>
    <row r="689" spans="1:6" x14ac:dyDescent="0.4">
      <c r="A689" s="1"/>
      <c r="C689" s="1"/>
      <c r="D689" s="1"/>
      <c r="E689" s="4"/>
      <c r="F689" s="5"/>
    </row>
    <row r="690" spans="1:6" x14ac:dyDescent="0.4">
      <c r="A690" s="1"/>
      <c r="C690" s="1"/>
      <c r="D690" s="1"/>
      <c r="E690" s="4"/>
      <c r="F690" s="5"/>
    </row>
    <row r="691" spans="1:6" x14ac:dyDescent="0.4">
      <c r="A691" s="1"/>
      <c r="C691" s="1"/>
      <c r="D691" s="1"/>
      <c r="E691" s="4"/>
      <c r="F691" s="5"/>
    </row>
    <row r="692" spans="1:6" x14ac:dyDescent="0.4">
      <c r="A692" s="1"/>
      <c r="C692" s="1"/>
      <c r="D692" s="1"/>
      <c r="E692" s="4"/>
      <c r="F692" s="5"/>
    </row>
    <row r="693" spans="1:6" x14ac:dyDescent="0.4">
      <c r="A693" s="1"/>
      <c r="C693" s="1"/>
      <c r="D693" s="1"/>
      <c r="E693" s="4"/>
      <c r="F693" s="5"/>
    </row>
    <row r="694" spans="1:6" x14ac:dyDescent="0.4">
      <c r="A694" s="1"/>
      <c r="C694" s="1"/>
      <c r="D694" s="1"/>
      <c r="E694" s="4"/>
      <c r="F694" s="5"/>
    </row>
    <row r="695" spans="1:6" x14ac:dyDescent="0.4">
      <c r="A695" s="1"/>
      <c r="C695" s="1"/>
      <c r="D695" s="1"/>
      <c r="E695" s="4"/>
      <c r="F695" s="5"/>
    </row>
    <row r="696" spans="1:6" x14ac:dyDescent="0.4">
      <c r="A696" s="1"/>
      <c r="C696" s="1"/>
      <c r="D696" s="1"/>
      <c r="E696" s="4"/>
      <c r="F696" s="5"/>
    </row>
    <row r="697" spans="1:6" x14ac:dyDescent="0.4">
      <c r="A697" s="1"/>
      <c r="C697" s="1"/>
      <c r="D697" s="1"/>
      <c r="E697" s="4"/>
      <c r="F697" s="5"/>
    </row>
    <row r="698" spans="1:6" x14ac:dyDescent="0.4">
      <c r="A698" s="1"/>
      <c r="C698" s="1"/>
      <c r="D698" s="1"/>
      <c r="E698" s="4"/>
      <c r="F698" s="5"/>
    </row>
    <row r="699" spans="1:6" x14ac:dyDescent="0.4">
      <c r="A699" s="1"/>
      <c r="C699" s="1"/>
      <c r="D699" s="1"/>
      <c r="E699" s="4"/>
      <c r="F699" s="5"/>
    </row>
    <row r="700" spans="1:6" x14ac:dyDescent="0.4">
      <c r="A700" s="1"/>
      <c r="C700" s="1"/>
      <c r="D700" s="1"/>
      <c r="E700" s="4"/>
      <c r="F700" s="5"/>
    </row>
    <row r="701" spans="1:6" x14ac:dyDescent="0.4">
      <c r="A701" s="1"/>
      <c r="C701" s="1"/>
      <c r="D701" s="1"/>
      <c r="E701" s="4"/>
      <c r="F701" s="5"/>
    </row>
    <row r="702" spans="1:6" x14ac:dyDescent="0.4">
      <c r="A702" s="1"/>
      <c r="C702" s="3"/>
      <c r="D702" s="1"/>
      <c r="E702" s="4"/>
      <c r="F702" s="5"/>
    </row>
    <row r="703" spans="1:6" x14ac:dyDescent="0.4">
      <c r="A703" s="1"/>
      <c r="C703" s="1"/>
      <c r="D703" s="1"/>
      <c r="E703" s="4"/>
      <c r="F703" s="5"/>
    </row>
    <row r="704" spans="1:6" x14ac:dyDescent="0.4">
      <c r="A704" s="1"/>
      <c r="C704" s="1"/>
      <c r="D704" s="1"/>
      <c r="E704" s="4"/>
      <c r="F704" s="5"/>
    </row>
    <row r="705" spans="1:6" x14ac:dyDescent="0.4">
      <c r="A705" s="1"/>
      <c r="C705" s="1"/>
      <c r="D705" s="1"/>
      <c r="E705" s="4"/>
      <c r="F705" s="5"/>
    </row>
    <row r="706" spans="1:6" x14ac:dyDescent="0.4">
      <c r="A706" s="1"/>
      <c r="C706" s="1"/>
      <c r="D706" s="1"/>
      <c r="E706" s="4"/>
      <c r="F706" s="5"/>
    </row>
    <row r="707" spans="1:6" x14ac:dyDescent="0.4">
      <c r="A707" s="1"/>
      <c r="C707" s="1"/>
      <c r="D707" s="1"/>
      <c r="E707" s="4"/>
      <c r="F707" s="5"/>
    </row>
    <row r="708" spans="1:6" x14ac:dyDescent="0.4">
      <c r="A708" s="1"/>
      <c r="C708" s="1"/>
      <c r="D708" s="1"/>
      <c r="E708" s="4"/>
      <c r="F708" s="5"/>
    </row>
    <row r="709" spans="1:6" x14ac:dyDescent="0.4">
      <c r="A709" s="1"/>
      <c r="C709" s="1"/>
      <c r="D709" s="1"/>
      <c r="E709" s="4"/>
      <c r="F709" s="5"/>
    </row>
    <row r="710" spans="1:6" x14ac:dyDescent="0.4">
      <c r="A710" s="1"/>
      <c r="C710" s="1"/>
      <c r="D710" s="1"/>
      <c r="E710" s="4"/>
      <c r="F710" s="5"/>
    </row>
    <row r="711" spans="1:6" x14ac:dyDescent="0.4">
      <c r="A711" s="1"/>
      <c r="C711" s="1"/>
      <c r="D711" s="1"/>
      <c r="E711" s="4"/>
      <c r="F711" s="5"/>
    </row>
    <row r="712" spans="1:6" x14ac:dyDescent="0.4">
      <c r="A712" s="1"/>
      <c r="C712" s="1"/>
      <c r="D712" s="1"/>
      <c r="E712" s="4"/>
      <c r="F712" s="5"/>
    </row>
    <row r="713" spans="1:6" x14ac:dyDescent="0.4">
      <c r="A713" s="1"/>
      <c r="C713" s="1"/>
      <c r="D713" s="1"/>
      <c r="E713" s="4"/>
      <c r="F713" s="5"/>
    </row>
    <row r="714" spans="1:6" x14ac:dyDescent="0.4">
      <c r="A714" s="1"/>
      <c r="C714" s="1"/>
      <c r="D714" s="1"/>
      <c r="E714" s="4"/>
      <c r="F714" s="5"/>
    </row>
    <row r="715" spans="1:6" x14ac:dyDescent="0.4">
      <c r="A715" s="1"/>
      <c r="C715" s="1"/>
      <c r="D715" s="1"/>
      <c r="E715" s="4"/>
      <c r="F715" s="5"/>
    </row>
    <row r="716" spans="1:6" x14ac:dyDescent="0.4">
      <c r="A716" s="1"/>
      <c r="C716" s="1"/>
      <c r="D716" s="1"/>
      <c r="E716" s="4"/>
      <c r="F716" s="5"/>
    </row>
    <row r="717" spans="1:6" x14ac:dyDescent="0.4">
      <c r="A717" s="1"/>
      <c r="C717" s="1"/>
      <c r="D717" s="1"/>
      <c r="E717" s="4"/>
      <c r="F717" s="5"/>
    </row>
    <row r="718" spans="1:6" x14ac:dyDescent="0.4">
      <c r="A718" s="1"/>
      <c r="C718" s="1"/>
      <c r="D718" s="1"/>
      <c r="E718" s="4"/>
      <c r="F718" s="5"/>
    </row>
    <row r="719" spans="1:6" x14ac:dyDescent="0.4">
      <c r="A719" s="1"/>
      <c r="C719" s="1"/>
      <c r="D719" s="1"/>
      <c r="E719" s="4"/>
      <c r="F719" s="5"/>
    </row>
    <row r="720" spans="1:6" x14ac:dyDescent="0.4">
      <c r="A720" s="1"/>
      <c r="C720" s="1"/>
      <c r="D720" s="1"/>
      <c r="E720" s="4"/>
      <c r="F720" s="5"/>
    </row>
    <row r="721" spans="1:6" x14ac:dyDescent="0.4">
      <c r="A721" s="1"/>
      <c r="C721" s="1"/>
      <c r="D721" s="1"/>
      <c r="E721" s="4"/>
      <c r="F721" s="5"/>
    </row>
    <row r="722" spans="1:6" x14ac:dyDescent="0.4">
      <c r="A722" s="1"/>
      <c r="C722" s="1"/>
      <c r="D722" s="1"/>
      <c r="E722" s="4"/>
      <c r="F722" s="5"/>
    </row>
    <row r="723" spans="1:6" x14ac:dyDescent="0.4">
      <c r="A723" s="1"/>
      <c r="C723" s="1"/>
      <c r="D723" s="1"/>
      <c r="E723" s="4"/>
      <c r="F723" s="5"/>
    </row>
    <row r="724" spans="1:6" x14ac:dyDescent="0.4">
      <c r="A724" s="1"/>
      <c r="C724" s="1"/>
      <c r="D724" s="1"/>
      <c r="E724" s="4"/>
      <c r="F724" s="5"/>
    </row>
    <row r="725" spans="1:6" x14ac:dyDescent="0.4">
      <c r="A725" s="1"/>
      <c r="C725" s="1"/>
      <c r="D725" s="1"/>
      <c r="E725" s="4"/>
      <c r="F725" s="5"/>
    </row>
    <row r="726" spans="1:6" x14ac:dyDescent="0.4">
      <c r="A726" s="1"/>
      <c r="C726" s="1"/>
      <c r="D726" s="1"/>
      <c r="E726" s="4"/>
      <c r="F726" s="5"/>
    </row>
    <row r="727" spans="1:6" x14ac:dyDescent="0.4">
      <c r="A727" s="1"/>
      <c r="C727" s="1"/>
      <c r="D727" s="1"/>
      <c r="E727" s="4"/>
      <c r="F727" s="5"/>
    </row>
    <row r="728" spans="1:6" x14ac:dyDescent="0.4">
      <c r="A728" s="1"/>
      <c r="C728" s="1"/>
      <c r="D728" s="1"/>
      <c r="E728" s="4"/>
      <c r="F728" s="5"/>
    </row>
    <row r="729" spans="1:6" x14ac:dyDescent="0.4">
      <c r="A729" s="1"/>
      <c r="C729" s="1"/>
      <c r="D729" s="1"/>
      <c r="E729" s="4"/>
      <c r="F729" s="5"/>
    </row>
    <row r="730" spans="1:6" x14ac:dyDescent="0.4">
      <c r="A730" s="1"/>
      <c r="C730" s="1"/>
      <c r="D730" s="1"/>
      <c r="E730" s="4"/>
      <c r="F730" s="5"/>
    </row>
    <row r="731" spans="1:6" x14ac:dyDescent="0.4">
      <c r="A731" s="1"/>
      <c r="C731" s="1"/>
      <c r="D731" s="1"/>
      <c r="E731" s="4"/>
      <c r="F731" s="5"/>
    </row>
    <row r="732" spans="1:6" x14ac:dyDescent="0.4">
      <c r="A732" s="1"/>
      <c r="C732" s="1"/>
      <c r="D732" s="1"/>
      <c r="E732" s="4"/>
      <c r="F732" s="5"/>
    </row>
    <row r="733" spans="1:6" x14ac:dyDescent="0.4">
      <c r="A733" s="1"/>
      <c r="C733" s="1"/>
      <c r="D733" s="1"/>
      <c r="E733" s="4"/>
      <c r="F733" s="5"/>
    </row>
    <row r="734" spans="1:6" x14ac:dyDescent="0.4">
      <c r="A734" s="1"/>
      <c r="C734" s="1"/>
      <c r="D734" s="1"/>
      <c r="E734" s="4"/>
      <c r="F734" s="5"/>
    </row>
    <row r="735" spans="1:6" x14ac:dyDescent="0.4">
      <c r="A735" s="1"/>
      <c r="C735" s="1"/>
      <c r="D735" s="1"/>
      <c r="E735" s="4"/>
      <c r="F735" s="5"/>
    </row>
    <row r="736" spans="1:6" x14ac:dyDescent="0.4">
      <c r="A736" s="1"/>
      <c r="C736" s="1"/>
      <c r="D736" s="1"/>
      <c r="E736" s="4"/>
      <c r="F736" s="5"/>
    </row>
    <row r="737" spans="1:6" x14ac:dyDescent="0.4">
      <c r="A737" s="1"/>
      <c r="C737" s="1"/>
      <c r="D737" s="1"/>
      <c r="E737" s="4"/>
      <c r="F737" s="5"/>
    </row>
    <row r="738" spans="1:6" x14ac:dyDescent="0.4">
      <c r="A738" s="1"/>
      <c r="C738" s="1"/>
      <c r="D738" s="1"/>
      <c r="E738" s="4"/>
      <c r="F738" s="5"/>
    </row>
    <row r="739" spans="1:6" x14ac:dyDescent="0.4">
      <c r="A739" s="1"/>
      <c r="C739" s="1"/>
      <c r="D739" s="1"/>
      <c r="E739" s="4"/>
      <c r="F739" s="5"/>
    </row>
    <row r="740" spans="1:6" x14ac:dyDescent="0.4">
      <c r="A740" s="1"/>
      <c r="C740" s="1"/>
      <c r="D740" s="1"/>
      <c r="E740" s="4"/>
      <c r="F740" s="5"/>
    </row>
    <row r="741" spans="1:6" x14ac:dyDescent="0.4">
      <c r="A741" s="1"/>
      <c r="C741" s="1"/>
      <c r="D741" s="1"/>
      <c r="E741" s="4"/>
      <c r="F741" s="5"/>
    </row>
    <row r="742" spans="1:6" x14ac:dyDescent="0.4">
      <c r="A742" s="1"/>
      <c r="C742" s="1"/>
      <c r="D742" s="1"/>
      <c r="E742" s="4"/>
      <c r="F742" s="5"/>
    </row>
    <row r="743" spans="1:6" x14ac:dyDescent="0.4">
      <c r="A743" s="1"/>
      <c r="C743" s="1"/>
      <c r="D743" s="1"/>
      <c r="E743" s="4"/>
      <c r="F743" s="5"/>
    </row>
    <row r="744" spans="1:6" x14ac:dyDescent="0.4">
      <c r="A744" s="1"/>
      <c r="C744" s="1"/>
      <c r="D744" s="1"/>
      <c r="E744" s="4"/>
      <c r="F744" s="5"/>
    </row>
    <row r="745" spans="1:6" x14ac:dyDescent="0.4">
      <c r="A745" s="1"/>
      <c r="C745" s="1"/>
      <c r="D745" s="1"/>
      <c r="E745" s="4"/>
      <c r="F745" s="5"/>
    </row>
    <row r="746" spans="1:6" x14ac:dyDescent="0.4">
      <c r="A746" s="1"/>
      <c r="C746" s="1"/>
      <c r="D746" s="1"/>
      <c r="E746" s="4"/>
      <c r="F746" s="5"/>
    </row>
    <row r="747" spans="1:6" x14ac:dyDescent="0.4">
      <c r="A747" s="1"/>
      <c r="C747" s="1"/>
      <c r="D747" s="1"/>
      <c r="E747" s="4"/>
      <c r="F747" s="5"/>
    </row>
    <row r="748" spans="1:6" x14ac:dyDescent="0.4">
      <c r="A748" s="1"/>
      <c r="C748" s="1"/>
      <c r="D748" s="1"/>
      <c r="E748" s="4"/>
      <c r="F748" s="5"/>
    </row>
    <row r="749" spans="1:6" x14ac:dyDescent="0.4">
      <c r="A749" s="1"/>
      <c r="C749" s="1"/>
      <c r="D749" s="1"/>
      <c r="E749" s="4"/>
      <c r="F749" s="5"/>
    </row>
    <row r="750" spans="1:6" x14ac:dyDescent="0.4">
      <c r="A750" s="1"/>
      <c r="C750" s="1"/>
      <c r="D750" s="1"/>
      <c r="E750" s="4"/>
      <c r="F750" s="5"/>
    </row>
    <row r="751" spans="1:6" x14ac:dyDescent="0.4">
      <c r="A751" s="1"/>
      <c r="C751" s="1"/>
      <c r="D751" s="1"/>
      <c r="E751" s="4"/>
      <c r="F751" s="5"/>
    </row>
    <row r="752" spans="1:6" x14ac:dyDescent="0.4">
      <c r="A752" s="1"/>
      <c r="C752" s="1"/>
      <c r="D752" s="1"/>
      <c r="E752" s="4"/>
      <c r="F752" s="5"/>
    </row>
    <row r="753" spans="1:6" x14ac:dyDescent="0.4">
      <c r="A753" s="1"/>
      <c r="C753" s="1"/>
      <c r="D753" s="1"/>
      <c r="E753" s="4"/>
      <c r="F753" s="5"/>
    </row>
    <row r="754" spans="1:6" x14ac:dyDescent="0.4">
      <c r="A754" s="1"/>
      <c r="C754" s="1"/>
      <c r="D754" s="1"/>
      <c r="E754" s="4"/>
      <c r="F754" s="5"/>
    </row>
    <row r="755" spans="1:6" x14ac:dyDescent="0.4">
      <c r="A755" s="1"/>
      <c r="C755" s="1"/>
      <c r="D755" s="1"/>
      <c r="E755" s="4"/>
      <c r="F755" s="5"/>
    </row>
    <row r="756" spans="1:6" x14ac:dyDescent="0.4">
      <c r="A756" s="1"/>
      <c r="C756" s="1"/>
      <c r="D756" s="1"/>
      <c r="E756" s="4"/>
      <c r="F756" s="5"/>
    </row>
    <row r="757" spans="1:6" x14ac:dyDescent="0.4">
      <c r="A757" s="1"/>
      <c r="C757" s="1"/>
      <c r="D757" s="1"/>
      <c r="E757" s="4"/>
      <c r="F757" s="5"/>
    </row>
    <row r="758" spans="1:6" x14ac:dyDescent="0.4">
      <c r="A758" s="1"/>
      <c r="C758" s="1"/>
      <c r="D758" s="1"/>
      <c r="E758" s="4"/>
      <c r="F758" s="5"/>
    </row>
    <row r="759" spans="1:6" x14ac:dyDescent="0.4">
      <c r="A759" s="1"/>
      <c r="C759" s="1"/>
      <c r="D759" s="1"/>
      <c r="E759" s="4"/>
      <c r="F759" s="5"/>
    </row>
    <row r="760" spans="1:6" x14ac:dyDescent="0.4">
      <c r="A760" s="1"/>
      <c r="C760" s="1"/>
      <c r="D760" s="1"/>
      <c r="E760" s="4"/>
      <c r="F760" s="5"/>
    </row>
    <row r="761" spans="1:6" x14ac:dyDescent="0.4">
      <c r="A761" s="1"/>
      <c r="C761" s="1"/>
      <c r="D761" s="1"/>
      <c r="E761" s="4"/>
      <c r="F761" s="5"/>
    </row>
    <row r="762" spans="1:6" x14ac:dyDescent="0.4">
      <c r="A762" s="1"/>
      <c r="C762" s="1"/>
      <c r="D762" s="1"/>
      <c r="E762" s="4"/>
      <c r="F762" s="5"/>
    </row>
    <row r="763" spans="1:6" x14ac:dyDescent="0.4">
      <c r="A763" s="1"/>
      <c r="C763" s="1"/>
      <c r="D763" s="1"/>
      <c r="E763" s="4"/>
      <c r="F763" s="5"/>
    </row>
    <row r="764" spans="1:6" x14ac:dyDescent="0.4">
      <c r="A764" s="1"/>
      <c r="C764" s="1"/>
      <c r="D764" s="1"/>
      <c r="E764" s="4"/>
      <c r="F764" s="5"/>
    </row>
    <row r="765" spans="1:6" x14ac:dyDescent="0.4">
      <c r="A765" s="1"/>
      <c r="C765" s="1"/>
      <c r="D765" s="1"/>
      <c r="E765" s="4"/>
      <c r="F765" s="5"/>
    </row>
    <row r="766" spans="1:6" x14ac:dyDescent="0.4">
      <c r="A766" s="1"/>
      <c r="C766" s="1"/>
      <c r="D766" s="1"/>
      <c r="E766" s="4"/>
      <c r="F766" s="5"/>
    </row>
    <row r="767" spans="1:6" x14ac:dyDescent="0.4">
      <c r="A767" s="1"/>
      <c r="C767" s="1"/>
      <c r="D767" s="1"/>
      <c r="E767" s="4"/>
      <c r="F767" s="5"/>
    </row>
    <row r="768" spans="1:6" x14ac:dyDescent="0.4">
      <c r="A768" s="1"/>
      <c r="C768" s="1"/>
      <c r="D768" s="1"/>
      <c r="E768" s="4"/>
      <c r="F768" s="5"/>
    </row>
    <row r="769" spans="1:6" x14ac:dyDescent="0.4">
      <c r="A769" s="1"/>
      <c r="C769" s="1"/>
      <c r="D769" s="1"/>
      <c r="E769" s="4"/>
      <c r="F769" s="5"/>
    </row>
    <row r="770" spans="1:6" x14ac:dyDescent="0.4">
      <c r="A770" s="1"/>
      <c r="C770" s="1"/>
      <c r="D770" s="1"/>
      <c r="E770" s="4"/>
      <c r="F770" s="5"/>
    </row>
    <row r="771" spans="1:6" x14ac:dyDescent="0.4">
      <c r="A771" s="1"/>
      <c r="C771" s="1"/>
      <c r="D771" s="1"/>
      <c r="E771" s="4"/>
      <c r="F771" s="5"/>
    </row>
    <row r="772" spans="1:6" x14ac:dyDescent="0.4">
      <c r="A772" s="1"/>
      <c r="C772" s="1"/>
      <c r="D772" s="1"/>
      <c r="E772" s="4"/>
      <c r="F772" s="5"/>
    </row>
    <row r="773" spans="1:6" x14ac:dyDescent="0.4">
      <c r="A773" s="1"/>
      <c r="C773" s="1"/>
      <c r="D773" s="1"/>
      <c r="E773" s="4"/>
      <c r="F773" s="5"/>
    </row>
    <row r="774" spans="1:6" x14ac:dyDescent="0.4">
      <c r="A774" s="1"/>
      <c r="C774" s="1"/>
      <c r="D774" s="1"/>
      <c r="E774" s="4"/>
      <c r="F774" s="5"/>
    </row>
    <row r="775" spans="1:6" x14ac:dyDescent="0.4">
      <c r="A775" s="1"/>
      <c r="C775" s="1"/>
      <c r="D775" s="1"/>
      <c r="E775" s="4"/>
      <c r="F775" s="5"/>
    </row>
    <row r="776" spans="1:6" x14ac:dyDescent="0.4">
      <c r="A776" s="1"/>
      <c r="C776" s="1"/>
      <c r="D776" s="1"/>
      <c r="E776" s="4"/>
      <c r="F776" s="5"/>
    </row>
    <row r="777" spans="1:6" x14ac:dyDescent="0.4">
      <c r="A777" s="1"/>
      <c r="C777" s="1"/>
      <c r="D777" s="1"/>
      <c r="E777" s="4"/>
      <c r="F777" s="5"/>
    </row>
    <row r="778" spans="1:6" x14ac:dyDescent="0.4">
      <c r="A778" s="1"/>
      <c r="C778" s="1"/>
      <c r="D778" s="1"/>
      <c r="E778" s="4"/>
      <c r="F778" s="5"/>
    </row>
    <row r="779" spans="1:6" x14ac:dyDescent="0.4">
      <c r="A779" s="1"/>
      <c r="C779" s="1"/>
      <c r="D779" s="1"/>
      <c r="E779" s="4"/>
      <c r="F779" s="5"/>
    </row>
    <row r="780" spans="1:6" x14ac:dyDescent="0.4">
      <c r="A780" s="1"/>
      <c r="C780" s="1"/>
      <c r="D780" s="1"/>
      <c r="E780" s="4"/>
      <c r="F780" s="5"/>
    </row>
    <row r="781" spans="1:6" x14ac:dyDescent="0.4">
      <c r="A781" s="1"/>
      <c r="C781" s="1"/>
      <c r="D781" s="1"/>
      <c r="E781" s="4"/>
      <c r="F781" s="5"/>
    </row>
    <row r="782" spans="1:6" x14ac:dyDescent="0.4">
      <c r="A782" s="1"/>
      <c r="C782" s="1"/>
      <c r="D782" s="1"/>
      <c r="E782" s="4"/>
      <c r="F782" s="5"/>
    </row>
    <row r="783" spans="1:6" x14ac:dyDescent="0.4">
      <c r="A783" s="1"/>
      <c r="C783" s="1"/>
      <c r="D783" s="1"/>
      <c r="E783" s="4"/>
      <c r="F783" s="5"/>
    </row>
    <row r="784" spans="1:6" x14ac:dyDescent="0.4">
      <c r="A784" s="1"/>
      <c r="C784" s="1"/>
      <c r="D784" s="1"/>
      <c r="E784" s="4"/>
      <c r="F784" s="5"/>
    </row>
    <row r="785" spans="1:6" x14ac:dyDescent="0.4">
      <c r="A785" s="1"/>
      <c r="C785" s="1"/>
      <c r="D785" s="1"/>
      <c r="E785" s="4"/>
      <c r="F785" s="5"/>
    </row>
    <row r="786" spans="1:6" x14ac:dyDescent="0.4">
      <c r="A786" s="1"/>
      <c r="C786" s="1"/>
      <c r="D786" s="1"/>
      <c r="E786" s="4"/>
      <c r="F786" s="5"/>
    </row>
    <row r="787" spans="1:6" x14ac:dyDescent="0.4">
      <c r="A787" s="1"/>
      <c r="C787" s="1"/>
      <c r="D787" s="1"/>
      <c r="E787" s="4"/>
      <c r="F787" s="5"/>
    </row>
    <row r="788" spans="1:6" x14ac:dyDescent="0.4">
      <c r="A788" s="1"/>
      <c r="C788" s="1"/>
      <c r="D788" s="1"/>
      <c r="E788" s="4"/>
      <c r="F788" s="5"/>
    </row>
    <row r="789" spans="1:6" x14ac:dyDescent="0.4">
      <c r="A789" s="1"/>
      <c r="C789" s="1"/>
      <c r="D789" s="1"/>
      <c r="E789" s="4"/>
      <c r="F789" s="5"/>
    </row>
    <row r="790" spans="1:6" x14ac:dyDescent="0.4">
      <c r="A790" s="1"/>
      <c r="C790" s="1"/>
      <c r="D790" s="1"/>
      <c r="E790" s="4"/>
      <c r="F790" s="5"/>
    </row>
    <row r="791" spans="1:6" x14ac:dyDescent="0.4">
      <c r="A791" s="1"/>
      <c r="C791" s="1"/>
      <c r="D791" s="1"/>
      <c r="E791" s="4"/>
      <c r="F791" s="5"/>
    </row>
    <row r="792" spans="1:6" x14ac:dyDescent="0.4">
      <c r="A792" s="1"/>
      <c r="C792" s="1"/>
      <c r="D792" s="1"/>
      <c r="E792" s="4"/>
      <c r="F792" s="5"/>
    </row>
    <row r="793" spans="1:6" x14ac:dyDescent="0.4">
      <c r="A793" s="1"/>
      <c r="C793" s="1"/>
      <c r="D793" s="1"/>
      <c r="E793" s="4"/>
      <c r="F793" s="5"/>
    </row>
    <row r="794" spans="1:6" x14ac:dyDescent="0.4">
      <c r="A794" s="1"/>
      <c r="C794" s="1"/>
      <c r="D794" s="1"/>
      <c r="E794" s="4"/>
      <c r="F794" s="5"/>
    </row>
    <row r="795" spans="1:6" x14ac:dyDescent="0.4">
      <c r="A795" s="1"/>
      <c r="C795" s="1"/>
      <c r="D795" s="1"/>
      <c r="E795" s="4"/>
      <c r="F795" s="5"/>
    </row>
    <row r="796" spans="1:6" x14ac:dyDescent="0.4">
      <c r="A796" s="1"/>
      <c r="C796" s="1"/>
      <c r="D796" s="1"/>
      <c r="E796" s="4"/>
      <c r="F796" s="5"/>
    </row>
    <row r="797" spans="1:6" x14ac:dyDescent="0.4">
      <c r="A797" s="1"/>
      <c r="C797" s="1"/>
      <c r="D797" s="1"/>
      <c r="E797" s="4"/>
      <c r="F797" s="5"/>
    </row>
    <row r="798" spans="1:6" x14ac:dyDescent="0.4">
      <c r="A798" s="1"/>
      <c r="C798" s="1"/>
      <c r="D798" s="1"/>
      <c r="E798" s="4"/>
      <c r="F798" s="5"/>
    </row>
    <row r="799" spans="1:6" x14ac:dyDescent="0.4">
      <c r="A799" s="1"/>
      <c r="C799" s="1"/>
      <c r="D799" s="1"/>
      <c r="E799" s="4"/>
      <c r="F799" s="5"/>
    </row>
    <row r="800" spans="1:6" x14ac:dyDescent="0.4">
      <c r="A800" s="1"/>
      <c r="C800" s="1"/>
      <c r="D800" s="1"/>
      <c r="E800" s="4"/>
      <c r="F800" s="5"/>
    </row>
    <row r="801" spans="1:6" x14ac:dyDescent="0.4">
      <c r="A801" s="1"/>
      <c r="C801" s="1"/>
      <c r="D801" s="1"/>
      <c r="E801" s="4"/>
      <c r="F801" s="5"/>
    </row>
    <row r="802" spans="1:6" x14ac:dyDescent="0.4">
      <c r="A802" s="1"/>
      <c r="C802" s="3"/>
      <c r="D802" s="1"/>
      <c r="E802" s="4"/>
      <c r="F802" s="5"/>
    </row>
    <row r="803" spans="1:6" x14ac:dyDescent="0.4">
      <c r="A803" s="1"/>
      <c r="C803" s="1"/>
      <c r="D803" s="1"/>
      <c r="E803" s="4"/>
      <c r="F803" s="5"/>
    </row>
    <row r="804" spans="1:6" x14ac:dyDescent="0.4">
      <c r="A804" s="1"/>
      <c r="C804" s="1"/>
      <c r="D804" s="1"/>
      <c r="E804" s="4"/>
      <c r="F804" s="5"/>
    </row>
    <row r="805" spans="1:6" x14ac:dyDescent="0.4">
      <c r="A805" s="1"/>
      <c r="C805" s="1"/>
      <c r="D805" s="1"/>
      <c r="E805" s="4"/>
      <c r="F805" s="5"/>
    </row>
    <row r="806" spans="1:6" x14ac:dyDescent="0.4">
      <c r="A806" s="1"/>
      <c r="C806" s="1"/>
      <c r="D806" s="1"/>
      <c r="E806" s="4"/>
      <c r="F806" s="5"/>
    </row>
    <row r="807" spans="1:6" x14ac:dyDescent="0.4">
      <c r="A807" s="1"/>
      <c r="C807" s="1"/>
      <c r="D807" s="1"/>
      <c r="E807" s="4"/>
      <c r="F807" s="5"/>
    </row>
    <row r="808" spans="1:6" x14ac:dyDescent="0.4">
      <c r="A808" s="1"/>
      <c r="C808" s="1"/>
      <c r="D808" s="1"/>
      <c r="E808" s="4"/>
      <c r="F808" s="5"/>
    </row>
    <row r="809" spans="1:6" x14ac:dyDescent="0.4">
      <c r="A809" s="1"/>
      <c r="C809" s="1"/>
      <c r="D809" s="1"/>
      <c r="E809" s="4"/>
      <c r="F809" s="5"/>
    </row>
    <row r="810" spans="1:6" x14ac:dyDescent="0.4">
      <c r="A810" s="1"/>
      <c r="C810" s="1"/>
      <c r="D810" s="1"/>
      <c r="E810" s="4"/>
      <c r="F810" s="5"/>
    </row>
    <row r="811" spans="1:6" x14ac:dyDescent="0.4">
      <c r="A811" s="1"/>
      <c r="C811" s="1"/>
      <c r="D811" s="1"/>
      <c r="E811" s="4"/>
      <c r="F811" s="5"/>
    </row>
    <row r="812" spans="1:6" x14ac:dyDescent="0.4">
      <c r="A812" s="1"/>
      <c r="C812" s="1"/>
      <c r="D812" s="1"/>
      <c r="E812" s="4"/>
      <c r="F812" s="5"/>
    </row>
    <row r="813" spans="1:6" x14ac:dyDescent="0.4">
      <c r="A813" s="1"/>
      <c r="C813" s="1"/>
      <c r="D813" s="1"/>
      <c r="E813" s="4"/>
      <c r="F813" s="5"/>
    </row>
    <row r="814" spans="1:6" x14ac:dyDescent="0.4">
      <c r="A814" s="1"/>
      <c r="C814" s="1"/>
      <c r="D814" s="1"/>
      <c r="E814" s="4"/>
      <c r="F814" s="5"/>
    </row>
    <row r="815" spans="1:6" x14ac:dyDescent="0.4">
      <c r="A815" s="1"/>
      <c r="C815" s="1"/>
      <c r="D815" s="1"/>
      <c r="E815" s="4"/>
      <c r="F815" s="5"/>
    </row>
    <row r="816" spans="1:6" x14ac:dyDescent="0.4">
      <c r="A816" s="1"/>
      <c r="C816" s="1"/>
      <c r="D816" s="1"/>
      <c r="E816" s="4"/>
      <c r="F816" s="5"/>
    </row>
    <row r="817" spans="1:6" x14ac:dyDescent="0.4">
      <c r="A817" s="1"/>
      <c r="C817" s="1"/>
      <c r="D817" s="1"/>
      <c r="E817" s="4"/>
      <c r="F817" s="5"/>
    </row>
    <row r="818" spans="1:6" x14ac:dyDescent="0.4">
      <c r="A818" s="1"/>
      <c r="C818" s="1"/>
      <c r="D818" s="1"/>
      <c r="E818" s="4"/>
      <c r="F818" s="5"/>
    </row>
    <row r="819" spans="1:6" x14ac:dyDescent="0.4">
      <c r="A819" s="1"/>
      <c r="C819" s="1"/>
      <c r="D819" s="1"/>
      <c r="E819" s="4"/>
      <c r="F819" s="5"/>
    </row>
    <row r="820" spans="1:6" x14ac:dyDescent="0.4">
      <c r="A820" s="1"/>
      <c r="C820" s="1"/>
      <c r="D820" s="1"/>
      <c r="E820" s="4"/>
      <c r="F820" s="5"/>
    </row>
    <row r="821" spans="1:6" x14ac:dyDescent="0.4">
      <c r="A821" s="1"/>
      <c r="C821" s="1"/>
      <c r="D821" s="1"/>
      <c r="E821" s="4"/>
      <c r="F821" s="5"/>
    </row>
    <row r="822" spans="1:6" x14ac:dyDescent="0.4">
      <c r="A822" s="1"/>
      <c r="C822" s="1"/>
      <c r="D822" s="1"/>
      <c r="E822" s="4"/>
      <c r="F822" s="5"/>
    </row>
    <row r="823" spans="1:6" x14ac:dyDescent="0.4">
      <c r="A823" s="1"/>
      <c r="C823" s="1"/>
      <c r="D823" s="1"/>
      <c r="E823" s="4"/>
      <c r="F823" s="5"/>
    </row>
    <row r="824" spans="1:6" x14ac:dyDescent="0.4">
      <c r="A824" s="1"/>
      <c r="C824" s="1"/>
      <c r="D824" s="1"/>
      <c r="E824" s="4"/>
      <c r="F824" s="5"/>
    </row>
    <row r="825" spans="1:6" x14ac:dyDescent="0.4">
      <c r="A825" s="1"/>
      <c r="C825" s="1"/>
      <c r="D825" s="1"/>
      <c r="E825" s="4"/>
      <c r="F825" s="5"/>
    </row>
    <row r="826" spans="1:6" x14ac:dyDescent="0.4">
      <c r="A826" s="1"/>
      <c r="C826" s="1"/>
      <c r="D826" s="1"/>
      <c r="E826" s="4"/>
      <c r="F826" s="5"/>
    </row>
    <row r="827" spans="1:6" x14ac:dyDescent="0.4">
      <c r="A827" s="1"/>
      <c r="C827" s="1"/>
      <c r="D827" s="1"/>
      <c r="E827" s="4"/>
      <c r="F827" s="5"/>
    </row>
    <row r="828" spans="1:6" x14ac:dyDescent="0.4">
      <c r="A828" s="1"/>
      <c r="C828" s="1"/>
      <c r="D828" s="1"/>
      <c r="E828" s="4"/>
      <c r="F828" s="5"/>
    </row>
    <row r="829" spans="1:6" x14ac:dyDescent="0.4">
      <c r="A829" s="1"/>
      <c r="C829" s="1"/>
      <c r="D829" s="1"/>
      <c r="E829" s="4"/>
      <c r="F829" s="5"/>
    </row>
    <row r="830" spans="1:6" x14ac:dyDescent="0.4">
      <c r="A830" s="1"/>
      <c r="C830" s="1"/>
      <c r="D830" s="1"/>
      <c r="E830" s="4"/>
      <c r="F830" s="5"/>
    </row>
    <row r="831" spans="1:6" x14ac:dyDescent="0.4">
      <c r="A831" s="1"/>
      <c r="C831" s="1"/>
      <c r="D831" s="1"/>
      <c r="E831" s="4"/>
      <c r="F831" s="5"/>
    </row>
    <row r="832" spans="1:6" x14ac:dyDescent="0.4">
      <c r="A832" s="1"/>
      <c r="C832" s="1"/>
      <c r="D832" s="1"/>
      <c r="E832" s="4"/>
      <c r="F832" s="5"/>
    </row>
    <row r="833" spans="1:6" x14ac:dyDescent="0.4">
      <c r="A833" s="1"/>
      <c r="C833" s="1"/>
      <c r="D833" s="1"/>
      <c r="E833" s="4"/>
      <c r="F833" s="5"/>
    </row>
    <row r="834" spans="1:6" x14ac:dyDescent="0.4">
      <c r="A834" s="1"/>
      <c r="C834" s="1"/>
      <c r="D834" s="1"/>
      <c r="E834" s="4"/>
      <c r="F834" s="5"/>
    </row>
    <row r="835" spans="1:6" x14ac:dyDescent="0.4">
      <c r="A835" s="1"/>
      <c r="C835" s="1"/>
      <c r="D835" s="1"/>
      <c r="E835" s="4"/>
      <c r="F835" s="5"/>
    </row>
    <row r="836" spans="1:6" x14ac:dyDescent="0.4">
      <c r="A836" s="1"/>
      <c r="C836" s="1"/>
      <c r="D836" s="1"/>
      <c r="E836" s="4"/>
      <c r="F836" s="5"/>
    </row>
    <row r="837" spans="1:6" x14ac:dyDescent="0.4">
      <c r="A837" s="1"/>
      <c r="C837" s="1"/>
      <c r="D837" s="1"/>
      <c r="E837" s="4"/>
      <c r="F837" s="5"/>
    </row>
    <row r="838" spans="1:6" x14ac:dyDescent="0.4">
      <c r="A838" s="1"/>
      <c r="C838" s="1"/>
      <c r="D838" s="1"/>
      <c r="E838" s="4"/>
      <c r="F838" s="5"/>
    </row>
    <row r="839" spans="1:6" x14ac:dyDescent="0.4">
      <c r="A839" s="1"/>
      <c r="C839" s="1"/>
      <c r="D839" s="1"/>
      <c r="E839" s="4"/>
      <c r="F839" s="5"/>
    </row>
    <row r="840" spans="1:6" x14ac:dyDescent="0.4">
      <c r="A840" s="1"/>
      <c r="C840" s="1"/>
      <c r="D840" s="1"/>
      <c r="E840" s="4"/>
      <c r="F840" s="5"/>
    </row>
    <row r="841" spans="1:6" x14ac:dyDescent="0.4">
      <c r="A841" s="1"/>
      <c r="C841" s="1"/>
      <c r="D841" s="1"/>
      <c r="E841" s="4"/>
      <c r="F841" s="5"/>
    </row>
    <row r="842" spans="1:6" x14ac:dyDescent="0.4">
      <c r="A842" s="1"/>
      <c r="C842" s="1"/>
      <c r="D842" s="1"/>
      <c r="E842" s="4"/>
      <c r="F842" s="5"/>
    </row>
    <row r="843" spans="1:6" x14ac:dyDescent="0.4">
      <c r="A843" s="1"/>
      <c r="C843" s="1"/>
      <c r="D843" s="1"/>
      <c r="E843" s="4"/>
      <c r="F843" s="5"/>
    </row>
    <row r="844" spans="1:6" x14ac:dyDescent="0.4">
      <c r="A844" s="1"/>
      <c r="C844" s="1"/>
      <c r="D844" s="1"/>
      <c r="E844" s="4"/>
      <c r="F844" s="5"/>
    </row>
    <row r="845" spans="1:6" x14ac:dyDescent="0.4">
      <c r="A845" s="1"/>
      <c r="C845" s="1"/>
      <c r="D845" s="1"/>
      <c r="E845" s="4"/>
      <c r="F845" s="5"/>
    </row>
    <row r="846" spans="1:6" x14ac:dyDescent="0.4">
      <c r="A846" s="1"/>
      <c r="C846" s="1"/>
      <c r="D846" s="1"/>
      <c r="E846" s="4"/>
      <c r="F846" s="5"/>
    </row>
    <row r="847" spans="1:6" x14ac:dyDescent="0.4">
      <c r="A847" s="1"/>
      <c r="C847" s="1"/>
      <c r="D847" s="1"/>
      <c r="E847" s="4"/>
      <c r="F847" s="5"/>
    </row>
    <row r="848" spans="1:6" x14ac:dyDescent="0.4">
      <c r="A848" s="1"/>
      <c r="C848" s="1"/>
      <c r="D848" s="1"/>
      <c r="E848" s="4"/>
      <c r="F848" s="5"/>
    </row>
    <row r="849" spans="1:6" x14ac:dyDescent="0.4">
      <c r="A849" s="1"/>
      <c r="C849" s="1"/>
      <c r="D849" s="1"/>
      <c r="E849" s="4"/>
      <c r="F849" s="5"/>
    </row>
    <row r="850" spans="1:6" x14ac:dyDescent="0.4">
      <c r="A850" s="1"/>
      <c r="C850" s="1"/>
      <c r="D850" s="1"/>
      <c r="E850" s="4"/>
      <c r="F850" s="5"/>
    </row>
    <row r="851" spans="1:6" x14ac:dyDescent="0.4">
      <c r="A851" s="1"/>
      <c r="C851" s="1"/>
      <c r="D851" s="1"/>
      <c r="E851" s="4"/>
      <c r="F851" s="5"/>
    </row>
    <row r="852" spans="1:6" x14ac:dyDescent="0.4">
      <c r="A852" s="1"/>
      <c r="C852" s="1"/>
      <c r="D852" s="1"/>
      <c r="E852" s="4"/>
      <c r="F852" s="5"/>
    </row>
    <row r="853" spans="1:6" x14ac:dyDescent="0.4">
      <c r="A853" s="1"/>
      <c r="C853" s="1"/>
      <c r="D853" s="1"/>
      <c r="E853" s="4"/>
      <c r="F853" s="5"/>
    </row>
    <row r="854" spans="1:6" x14ac:dyDescent="0.4">
      <c r="A854" s="1"/>
      <c r="C854" s="1"/>
      <c r="D854" s="1"/>
      <c r="E854" s="4"/>
      <c r="F854" s="5"/>
    </row>
    <row r="855" spans="1:6" x14ac:dyDescent="0.4">
      <c r="A855" s="1"/>
      <c r="C855" s="1"/>
      <c r="D855" s="1"/>
      <c r="E855" s="4"/>
      <c r="F855" s="5"/>
    </row>
    <row r="856" spans="1:6" x14ac:dyDescent="0.4">
      <c r="A856" s="1"/>
      <c r="C856" s="1"/>
      <c r="D856" s="1"/>
      <c r="E856" s="4"/>
      <c r="F856" s="5"/>
    </row>
    <row r="857" spans="1:6" x14ac:dyDescent="0.4">
      <c r="A857" s="1"/>
      <c r="C857" s="1"/>
      <c r="D857" s="1"/>
      <c r="E857" s="4"/>
      <c r="F857" s="5"/>
    </row>
    <row r="858" spans="1:6" x14ac:dyDescent="0.4">
      <c r="A858" s="1"/>
      <c r="C858" s="1"/>
      <c r="D858" s="1"/>
      <c r="E858" s="4"/>
      <c r="F858" s="5"/>
    </row>
    <row r="859" spans="1:6" x14ac:dyDescent="0.4">
      <c r="A859" s="1"/>
      <c r="C859" s="1"/>
      <c r="D859" s="1"/>
      <c r="E859" s="4"/>
      <c r="F859" s="5"/>
    </row>
    <row r="860" spans="1:6" x14ac:dyDescent="0.4">
      <c r="A860" s="1"/>
      <c r="C860" s="1"/>
      <c r="D860" s="1"/>
      <c r="E860" s="4"/>
      <c r="F860" s="5"/>
    </row>
    <row r="861" spans="1:6" x14ac:dyDescent="0.4">
      <c r="A861" s="1"/>
      <c r="C861" s="1"/>
      <c r="D861" s="1"/>
      <c r="E861" s="4"/>
      <c r="F861" s="5"/>
    </row>
    <row r="862" spans="1:6" x14ac:dyDescent="0.4">
      <c r="A862" s="1"/>
      <c r="C862" s="1"/>
      <c r="D862" s="1"/>
      <c r="E862" s="4"/>
      <c r="F862" s="5"/>
    </row>
    <row r="863" spans="1:6" x14ac:dyDescent="0.4">
      <c r="A863" s="1"/>
      <c r="C863" s="1"/>
      <c r="D863" s="1"/>
      <c r="E863" s="4"/>
      <c r="F863" s="5"/>
    </row>
    <row r="864" spans="1:6" x14ac:dyDescent="0.4">
      <c r="A864" s="1"/>
      <c r="C864" s="1"/>
      <c r="D864" s="1"/>
      <c r="E864" s="4"/>
      <c r="F864" s="5"/>
    </row>
    <row r="865" spans="1:6" x14ac:dyDescent="0.4">
      <c r="A865" s="1"/>
      <c r="C865" s="1"/>
      <c r="D865" s="1"/>
      <c r="E865" s="4"/>
      <c r="F865" s="5"/>
    </row>
    <row r="866" spans="1:6" x14ac:dyDescent="0.4">
      <c r="A866" s="1"/>
      <c r="C866" s="1"/>
      <c r="D866" s="1"/>
      <c r="E866" s="4"/>
      <c r="F866" s="5"/>
    </row>
    <row r="867" spans="1:6" x14ac:dyDescent="0.4">
      <c r="A867" s="1"/>
      <c r="C867" s="1"/>
      <c r="D867" s="1"/>
      <c r="E867" s="4"/>
      <c r="F867" s="5"/>
    </row>
    <row r="868" spans="1:6" x14ac:dyDescent="0.4">
      <c r="A868" s="1"/>
      <c r="C868" s="1"/>
      <c r="D868" s="1"/>
      <c r="E868" s="4"/>
      <c r="F868" s="5"/>
    </row>
    <row r="869" spans="1:6" x14ac:dyDescent="0.4">
      <c r="A869" s="1"/>
      <c r="C869" s="1"/>
      <c r="D869" s="1"/>
      <c r="E869" s="4"/>
      <c r="F869" s="5"/>
    </row>
    <row r="870" spans="1:6" x14ac:dyDescent="0.4">
      <c r="A870" s="1"/>
      <c r="C870" s="1"/>
      <c r="D870" s="1"/>
      <c r="E870" s="4"/>
      <c r="F870" s="5"/>
    </row>
    <row r="871" spans="1:6" x14ac:dyDescent="0.4">
      <c r="A871" s="1"/>
      <c r="C871" s="1"/>
      <c r="D871" s="1"/>
      <c r="E871" s="4"/>
      <c r="F871" s="5"/>
    </row>
    <row r="872" spans="1:6" x14ac:dyDescent="0.4">
      <c r="A872" s="1"/>
      <c r="C872" s="1"/>
      <c r="D872" s="1"/>
      <c r="E872" s="4"/>
      <c r="F872" s="5"/>
    </row>
    <row r="873" spans="1:6" x14ac:dyDescent="0.4">
      <c r="A873" s="1"/>
      <c r="C873" s="1"/>
      <c r="D873" s="1"/>
      <c r="E873" s="4"/>
      <c r="F873" s="5"/>
    </row>
    <row r="874" spans="1:6" x14ac:dyDescent="0.4">
      <c r="A874" s="1"/>
      <c r="C874" s="1"/>
      <c r="D874" s="1"/>
      <c r="E874" s="4"/>
      <c r="F874" s="5"/>
    </row>
    <row r="875" spans="1:6" x14ac:dyDescent="0.4">
      <c r="A875" s="1"/>
      <c r="C875" s="1"/>
      <c r="D875" s="1"/>
      <c r="E875" s="4"/>
      <c r="F875" s="5"/>
    </row>
    <row r="876" spans="1:6" x14ac:dyDescent="0.4">
      <c r="A876" s="1"/>
      <c r="C876" s="1"/>
      <c r="D876" s="1"/>
      <c r="E876" s="4"/>
      <c r="F876" s="5"/>
    </row>
    <row r="877" spans="1:6" x14ac:dyDescent="0.4">
      <c r="A877" s="1"/>
      <c r="C877" s="1"/>
      <c r="D877" s="1"/>
      <c r="E877" s="4"/>
      <c r="F877" s="5"/>
    </row>
    <row r="878" spans="1:6" x14ac:dyDescent="0.4">
      <c r="A878" s="1"/>
      <c r="C878" s="1"/>
      <c r="D878" s="1"/>
      <c r="E878" s="4"/>
      <c r="F878" s="5"/>
    </row>
    <row r="879" spans="1:6" x14ac:dyDescent="0.4">
      <c r="A879" s="1"/>
      <c r="C879" s="1"/>
      <c r="D879" s="1"/>
      <c r="E879" s="4"/>
      <c r="F879" s="5"/>
    </row>
    <row r="880" spans="1:6" x14ac:dyDescent="0.4">
      <c r="A880" s="1"/>
      <c r="C880" s="1"/>
      <c r="D880" s="1"/>
      <c r="E880" s="4"/>
      <c r="F880" s="5"/>
    </row>
    <row r="881" spans="1:6" x14ac:dyDescent="0.4">
      <c r="A881" s="1"/>
      <c r="C881" s="1"/>
      <c r="D881" s="1"/>
      <c r="E881" s="4"/>
      <c r="F881" s="5"/>
    </row>
    <row r="882" spans="1:6" x14ac:dyDescent="0.4">
      <c r="A882" s="1"/>
      <c r="C882" s="1"/>
      <c r="D882" s="1"/>
      <c r="E882" s="4"/>
      <c r="F882" s="5"/>
    </row>
    <row r="883" spans="1:6" x14ac:dyDescent="0.4">
      <c r="A883" s="1"/>
      <c r="C883" s="1"/>
      <c r="D883" s="1"/>
      <c r="E883" s="4"/>
      <c r="F883" s="5"/>
    </row>
    <row r="884" spans="1:6" x14ac:dyDescent="0.4">
      <c r="A884" s="1"/>
      <c r="C884" s="1"/>
      <c r="D884" s="1"/>
      <c r="E884" s="4"/>
      <c r="F884" s="5"/>
    </row>
    <row r="885" spans="1:6" x14ac:dyDescent="0.4">
      <c r="A885" s="1"/>
      <c r="C885" s="1"/>
      <c r="D885" s="1"/>
      <c r="E885" s="4"/>
      <c r="F885" s="5"/>
    </row>
    <row r="886" spans="1:6" x14ac:dyDescent="0.4">
      <c r="A886" s="1"/>
      <c r="C886" s="1"/>
      <c r="D886" s="1"/>
      <c r="E886" s="4"/>
      <c r="F886" s="5"/>
    </row>
    <row r="887" spans="1:6" x14ac:dyDescent="0.4">
      <c r="A887" s="1"/>
      <c r="C887" s="1"/>
      <c r="D887" s="1"/>
      <c r="E887" s="4"/>
      <c r="F887" s="5"/>
    </row>
    <row r="888" spans="1:6" x14ac:dyDescent="0.4">
      <c r="A888" s="1"/>
      <c r="C888" s="1"/>
      <c r="D888" s="1"/>
      <c r="E888" s="4"/>
      <c r="F888" s="5"/>
    </row>
    <row r="889" spans="1:6" x14ac:dyDescent="0.4">
      <c r="A889" s="1"/>
      <c r="C889" s="1"/>
      <c r="D889" s="1"/>
      <c r="E889" s="4"/>
      <c r="F889" s="5"/>
    </row>
    <row r="890" spans="1:6" x14ac:dyDescent="0.4">
      <c r="A890" s="1"/>
      <c r="C890" s="1"/>
      <c r="D890" s="1"/>
      <c r="E890" s="4"/>
      <c r="F890" s="5"/>
    </row>
    <row r="891" spans="1:6" x14ac:dyDescent="0.4">
      <c r="A891" s="1"/>
      <c r="C891" s="1"/>
      <c r="D891" s="1"/>
      <c r="E891" s="4"/>
      <c r="F891" s="5"/>
    </row>
    <row r="892" spans="1:6" x14ac:dyDescent="0.4">
      <c r="A892" s="1"/>
      <c r="C892" s="1"/>
      <c r="D892" s="1"/>
      <c r="E892" s="4"/>
      <c r="F892" s="5"/>
    </row>
    <row r="893" spans="1:6" x14ac:dyDescent="0.4">
      <c r="A893" s="1"/>
      <c r="C893" s="1"/>
      <c r="D893" s="1"/>
      <c r="E893" s="4"/>
      <c r="F893" s="5"/>
    </row>
    <row r="894" spans="1:6" x14ac:dyDescent="0.4">
      <c r="A894" s="1"/>
      <c r="C894" s="1"/>
      <c r="D894" s="1"/>
      <c r="E894" s="4"/>
      <c r="F894" s="5"/>
    </row>
    <row r="895" spans="1:6" x14ac:dyDescent="0.4">
      <c r="A895" s="1"/>
      <c r="C895" s="1"/>
      <c r="D895" s="1"/>
      <c r="E895" s="4"/>
      <c r="F895" s="5"/>
    </row>
    <row r="896" spans="1:6" x14ac:dyDescent="0.4">
      <c r="A896" s="1"/>
      <c r="C896" s="1"/>
      <c r="D896" s="1"/>
      <c r="E896" s="4"/>
      <c r="F896" s="5"/>
    </row>
    <row r="897" spans="1:6" x14ac:dyDescent="0.4">
      <c r="A897" s="1"/>
      <c r="C897" s="1"/>
      <c r="D897" s="1"/>
      <c r="E897" s="4"/>
      <c r="F897" s="5"/>
    </row>
    <row r="898" spans="1:6" x14ac:dyDescent="0.4">
      <c r="A898" s="1"/>
      <c r="C898" s="1"/>
      <c r="D898" s="1"/>
      <c r="E898" s="4"/>
      <c r="F898" s="5"/>
    </row>
    <row r="899" spans="1:6" x14ac:dyDescent="0.4">
      <c r="A899" s="1"/>
      <c r="C899" s="1"/>
      <c r="D899" s="1"/>
      <c r="E899" s="4"/>
      <c r="F899" s="5"/>
    </row>
    <row r="900" spans="1:6" x14ac:dyDescent="0.4">
      <c r="A900" s="1"/>
      <c r="C900" s="1"/>
      <c r="D900" s="1"/>
      <c r="E900" s="4"/>
      <c r="F900" s="5"/>
    </row>
    <row r="901" spans="1:6" x14ac:dyDescent="0.4">
      <c r="A901" s="1"/>
      <c r="C901" s="1"/>
      <c r="D901" s="1"/>
      <c r="E901" s="4"/>
      <c r="F901" s="5"/>
    </row>
    <row r="902" spans="1:6" x14ac:dyDescent="0.4">
      <c r="A902" s="1"/>
      <c r="C902" s="3"/>
      <c r="D902" s="1"/>
      <c r="E902" s="4"/>
      <c r="F902" s="5"/>
    </row>
    <row r="903" spans="1:6" x14ac:dyDescent="0.4">
      <c r="A903" s="1"/>
      <c r="C903" s="1"/>
      <c r="D903" s="1"/>
      <c r="E903" s="4"/>
      <c r="F903" s="5"/>
    </row>
    <row r="904" spans="1:6" x14ac:dyDescent="0.4">
      <c r="A904" s="1"/>
      <c r="C904" s="1"/>
      <c r="D904" s="1"/>
      <c r="E904" s="4"/>
      <c r="F904" s="5"/>
    </row>
    <row r="905" spans="1:6" x14ac:dyDescent="0.4">
      <c r="A905" s="1"/>
      <c r="C905" s="1"/>
      <c r="D905" s="1"/>
      <c r="E905" s="4"/>
      <c r="F905" s="5"/>
    </row>
    <row r="906" spans="1:6" x14ac:dyDescent="0.4">
      <c r="A906" s="1"/>
      <c r="C906" s="1"/>
      <c r="D906" s="1"/>
      <c r="E906" s="4"/>
      <c r="F906" s="5"/>
    </row>
    <row r="907" spans="1:6" x14ac:dyDescent="0.4">
      <c r="A907" s="1"/>
      <c r="C907" s="1"/>
      <c r="D907" s="1"/>
      <c r="E907" s="4"/>
      <c r="F907" s="5"/>
    </row>
    <row r="908" spans="1:6" x14ac:dyDescent="0.4">
      <c r="A908" s="1"/>
      <c r="C908" s="1"/>
      <c r="D908" s="1"/>
      <c r="E908" s="4"/>
      <c r="F908" s="5"/>
    </row>
    <row r="909" spans="1:6" x14ac:dyDescent="0.4">
      <c r="A909" s="1"/>
      <c r="C909" s="1"/>
      <c r="D909" s="1"/>
      <c r="E909" s="4"/>
      <c r="F909" s="5"/>
    </row>
    <row r="910" spans="1:6" x14ac:dyDescent="0.4">
      <c r="A910" s="1"/>
      <c r="C910" s="1"/>
      <c r="D910" s="1"/>
      <c r="E910" s="4"/>
      <c r="F910" s="5"/>
    </row>
    <row r="911" spans="1:6" x14ac:dyDescent="0.4">
      <c r="A911" s="1"/>
      <c r="C911" s="1"/>
      <c r="D911" s="1"/>
      <c r="E911" s="4"/>
      <c r="F911" s="5"/>
    </row>
    <row r="912" spans="1:6" x14ac:dyDescent="0.4">
      <c r="A912" s="1"/>
      <c r="C912" s="1"/>
      <c r="D912" s="1"/>
      <c r="E912" s="4"/>
      <c r="F912" s="5"/>
    </row>
    <row r="913" spans="1:6" x14ac:dyDescent="0.4">
      <c r="A913" s="1"/>
      <c r="C913" s="1"/>
      <c r="D913" s="1"/>
      <c r="E913" s="4"/>
      <c r="F913" s="5"/>
    </row>
    <row r="914" spans="1:6" x14ac:dyDescent="0.4">
      <c r="A914" s="1"/>
      <c r="C914" s="1"/>
      <c r="D914" s="1"/>
      <c r="E914" s="4"/>
      <c r="F914" s="5"/>
    </row>
    <row r="915" spans="1:6" x14ac:dyDescent="0.4">
      <c r="A915" s="1"/>
      <c r="C915" s="1"/>
      <c r="D915" s="1"/>
      <c r="E915" s="4"/>
      <c r="F915" s="5"/>
    </row>
    <row r="916" spans="1:6" x14ac:dyDescent="0.4">
      <c r="A916" s="1"/>
      <c r="C916" s="1"/>
      <c r="D916" s="1"/>
      <c r="E916" s="4"/>
      <c r="F916" s="5"/>
    </row>
    <row r="917" spans="1:6" x14ac:dyDescent="0.4">
      <c r="A917" s="1"/>
      <c r="C917" s="1"/>
      <c r="D917" s="1"/>
      <c r="E917" s="4"/>
      <c r="F917" s="5"/>
    </row>
    <row r="918" spans="1:6" x14ac:dyDescent="0.4">
      <c r="A918" s="1"/>
      <c r="C918" s="1"/>
      <c r="D918" s="1"/>
      <c r="E918" s="4"/>
      <c r="F918" s="5"/>
    </row>
    <row r="919" spans="1:6" x14ac:dyDescent="0.4">
      <c r="A919" s="1"/>
      <c r="C919" s="1"/>
      <c r="D919" s="1"/>
      <c r="E919" s="4"/>
      <c r="F919" s="5"/>
    </row>
    <row r="920" spans="1:6" x14ac:dyDescent="0.4">
      <c r="A920" s="1"/>
      <c r="C920" s="1"/>
      <c r="D920" s="1"/>
      <c r="E920" s="4"/>
      <c r="F920" s="5"/>
    </row>
    <row r="921" spans="1:6" x14ac:dyDescent="0.4">
      <c r="A921" s="1"/>
      <c r="C921" s="1"/>
      <c r="D921" s="1"/>
      <c r="E921" s="4"/>
      <c r="F921" s="5"/>
    </row>
    <row r="922" spans="1:6" x14ac:dyDescent="0.4">
      <c r="A922" s="1"/>
      <c r="C922" s="1"/>
      <c r="D922" s="1"/>
      <c r="E922" s="4"/>
      <c r="F922" s="5"/>
    </row>
    <row r="923" spans="1:6" x14ac:dyDescent="0.4">
      <c r="A923" s="1"/>
      <c r="C923" s="1"/>
      <c r="D923" s="1"/>
      <c r="E923" s="4"/>
      <c r="F923" s="5"/>
    </row>
    <row r="924" spans="1:6" x14ac:dyDescent="0.4">
      <c r="A924" s="1"/>
      <c r="C924" s="1"/>
      <c r="D924" s="1"/>
      <c r="E924" s="4"/>
      <c r="F924" s="5"/>
    </row>
    <row r="925" spans="1:6" x14ac:dyDescent="0.4">
      <c r="A925" s="1"/>
      <c r="C925" s="1"/>
      <c r="D925" s="1"/>
      <c r="E925" s="4"/>
      <c r="F925" s="5"/>
    </row>
    <row r="926" spans="1:6" x14ac:dyDescent="0.4">
      <c r="A926" s="1"/>
      <c r="C926" s="1"/>
      <c r="D926" s="1"/>
      <c r="E926" s="4"/>
      <c r="F926" s="5"/>
    </row>
    <row r="927" spans="1:6" x14ac:dyDescent="0.4">
      <c r="A927" s="1"/>
      <c r="C927" s="1"/>
      <c r="D927" s="1"/>
      <c r="E927" s="4"/>
      <c r="F927" s="5"/>
    </row>
    <row r="928" spans="1:6" x14ac:dyDescent="0.4">
      <c r="A928" s="1"/>
      <c r="C928" s="1"/>
      <c r="D928" s="1"/>
      <c r="E928" s="4"/>
      <c r="F928" s="5"/>
    </row>
    <row r="929" spans="1:6" x14ac:dyDescent="0.4">
      <c r="A929" s="1"/>
      <c r="C929" s="1"/>
      <c r="D929" s="1"/>
      <c r="E929" s="4"/>
      <c r="F929" s="5"/>
    </row>
    <row r="930" spans="1:6" x14ac:dyDescent="0.4">
      <c r="A930" s="1"/>
      <c r="C930" s="1"/>
      <c r="D930" s="1"/>
      <c r="E930" s="4"/>
      <c r="F930" s="5"/>
    </row>
    <row r="931" spans="1:6" x14ac:dyDescent="0.4">
      <c r="A931" s="1"/>
      <c r="C931" s="1"/>
      <c r="D931" s="1"/>
      <c r="E931" s="4"/>
      <c r="F931" s="5"/>
    </row>
    <row r="932" spans="1:6" x14ac:dyDescent="0.4">
      <c r="A932" s="1"/>
      <c r="C932" s="1"/>
      <c r="D932" s="1"/>
      <c r="E932" s="4"/>
      <c r="F932" s="5"/>
    </row>
    <row r="933" spans="1:6" x14ac:dyDescent="0.4">
      <c r="A933" s="1"/>
      <c r="C933" s="1"/>
      <c r="D933" s="1"/>
      <c r="E933" s="4"/>
      <c r="F933" s="5"/>
    </row>
    <row r="934" spans="1:6" x14ac:dyDescent="0.4">
      <c r="A934" s="1"/>
      <c r="C934" s="1"/>
      <c r="D934" s="1"/>
      <c r="E934" s="4"/>
      <c r="F934" s="5"/>
    </row>
    <row r="935" spans="1:6" x14ac:dyDescent="0.4">
      <c r="A935" s="1"/>
      <c r="C935" s="1"/>
      <c r="D935" s="1"/>
      <c r="E935" s="4"/>
      <c r="F935" s="5"/>
    </row>
    <row r="936" spans="1:6" x14ac:dyDescent="0.4">
      <c r="A936" s="1"/>
      <c r="C936" s="1"/>
      <c r="D936" s="1"/>
      <c r="E936" s="4"/>
      <c r="F936" s="5"/>
    </row>
    <row r="937" spans="1:6" x14ac:dyDescent="0.4">
      <c r="A937" s="1"/>
      <c r="C937" s="1"/>
      <c r="D937" s="1"/>
      <c r="E937" s="4"/>
      <c r="F937" s="5"/>
    </row>
    <row r="938" spans="1:6" x14ac:dyDescent="0.4">
      <c r="A938" s="1"/>
      <c r="C938" s="1"/>
      <c r="D938" s="1"/>
      <c r="E938" s="4"/>
      <c r="F938" s="5"/>
    </row>
    <row r="939" spans="1:6" x14ac:dyDescent="0.4">
      <c r="A939" s="1"/>
      <c r="C939" s="1"/>
      <c r="D939" s="1"/>
      <c r="E939" s="4"/>
      <c r="F939" s="5"/>
    </row>
    <row r="940" spans="1:6" x14ac:dyDescent="0.4">
      <c r="A940" s="1"/>
      <c r="C940" s="1"/>
      <c r="D940" s="1"/>
      <c r="E940" s="4"/>
      <c r="F940" s="5"/>
    </row>
    <row r="941" spans="1:6" x14ac:dyDescent="0.4">
      <c r="A941" s="1"/>
      <c r="C941" s="1"/>
      <c r="D941" s="1"/>
      <c r="E941" s="4"/>
      <c r="F941" s="5"/>
    </row>
    <row r="942" spans="1:6" x14ac:dyDescent="0.4">
      <c r="A942" s="1"/>
      <c r="C942" s="1"/>
      <c r="D942" s="1"/>
      <c r="E942" s="4"/>
      <c r="F942" s="5"/>
    </row>
    <row r="943" spans="1:6" x14ac:dyDescent="0.4">
      <c r="A943" s="1"/>
      <c r="C943" s="1"/>
      <c r="D943" s="1"/>
      <c r="E943" s="4"/>
      <c r="F943" s="5"/>
    </row>
    <row r="944" spans="1:6" x14ac:dyDescent="0.4">
      <c r="A944" s="1"/>
      <c r="C944" s="1"/>
      <c r="D944" s="1"/>
      <c r="E944" s="4"/>
      <c r="F944" s="5"/>
    </row>
    <row r="945" spans="1:6" x14ac:dyDescent="0.4">
      <c r="A945" s="1"/>
      <c r="C945" s="1"/>
      <c r="D945" s="1"/>
      <c r="E945" s="4"/>
      <c r="F945" s="5"/>
    </row>
    <row r="946" spans="1:6" x14ac:dyDescent="0.4">
      <c r="A946" s="1"/>
      <c r="C946" s="1"/>
      <c r="D946" s="1"/>
      <c r="E946" s="4"/>
      <c r="F946" s="5"/>
    </row>
    <row r="947" spans="1:6" x14ac:dyDescent="0.4">
      <c r="A947" s="1"/>
      <c r="C947" s="1"/>
      <c r="D947" s="1"/>
      <c r="E947" s="4"/>
      <c r="F947" s="5"/>
    </row>
    <row r="948" spans="1:6" x14ac:dyDescent="0.4">
      <c r="A948" s="1"/>
      <c r="C948" s="1"/>
      <c r="D948" s="1"/>
      <c r="E948" s="4"/>
      <c r="F948" s="5"/>
    </row>
    <row r="949" spans="1:6" x14ac:dyDescent="0.4">
      <c r="A949" s="1"/>
      <c r="C949" s="1"/>
      <c r="D949" s="1"/>
      <c r="E949" s="4"/>
      <c r="F949" s="5"/>
    </row>
    <row r="950" spans="1:6" x14ac:dyDescent="0.4">
      <c r="A950" s="1"/>
      <c r="C950" s="1"/>
      <c r="D950" s="1"/>
      <c r="E950" s="4"/>
      <c r="F950" s="5"/>
    </row>
    <row r="951" spans="1:6" x14ac:dyDescent="0.4">
      <c r="A951" s="1"/>
      <c r="C951" s="1"/>
      <c r="D951" s="1"/>
      <c r="E951" s="4"/>
      <c r="F951" s="5"/>
    </row>
    <row r="952" spans="1:6" x14ac:dyDescent="0.4">
      <c r="A952" s="1"/>
      <c r="C952" s="1"/>
      <c r="D952" s="1"/>
      <c r="E952" s="4"/>
      <c r="F952" s="5"/>
    </row>
    <row r="953" spans="1:6" x14ac:dyDescent="0.4">
      <c r="A953" s="1"/>
      <c r="C953" s="1"/>
      <c r="D953" s="1"/>
      <c r="E953" s="4"/>
      <c r="F953" s="5"/>
    </row>
    <row r="954" spans="1:6" x14ac:dyDescent="0.4">
      <c r="A954" s="1"/>
      <c r="C954" s="1"/>
      <c r="D954" s="1"/>
      <c r="E954" s="4"/>
      <c r="F954" s="5"/>
    </row>
    <row r="955" spans="1:6" x14ac:dyDescent="0.4">
      <c r="A955" s="1"/>
      <c r="C955" s="1"/>
      <c r="D955" s="1"/>
      <c r="E955" s="4"/>
      <c r="F955" s="5"/>
    </row>
    <row r="956" spans="1:6" x14ac:dyDescent="0.4">
      <c r="A956" s="1"/>
      <c r="C956" s="1"/>
      <c r="D956" s="1"/>
      <c r="E956" s="4"/>
      <c r="F956" s="5"/>
    </row>
    <row r="957" spans="1:6" x14ac:dyDescent="0.4">
      <c r="A957" s="1"/>
      <c r="C957" s="1"/>
      <c r="D957" s="1"/>
      <c r="E957" s="4"/>
      <c r="F957" s="5"/>
    </row>
    <row r="958" spans="1:6" x14ac:dyDescent="0.4">
      <c r="A958" s="1"/>
      <c r="C958" s="1"/>
      <c r="D958" s="1"/>
      <c r="E958" s="4"/>
      <c r="F958" s="5"/>
    </row>
    <row r="959" spans="1:6" x14ac:dyDescent="0.4">
      <c r="A959" s="1"/>
      <c r="C959" s="1"/>
      <c r="D959" s="1"/>
      <c r="E959" s="4"/>
      <c r="F959" s="5"/>
    </row>
    <row r="960" spans="1:6" x14ac:dyDescent="0.4">
      <c r="A960" s="1"/>
      <c r="C960" s="1"/>
      <c r="D960" s="1"/>
      <c r="E960" s="4"/>
      <c r="F960" s="5"/>
    </row>
    <row r="961" spans="1:6" x14ac:dyDescent="0.4">
      <c r="A961" s="1"/>
      <c r="C961" s="1"/>
      <c r="D961" s="1"/>
      <c r="E961" s="4"/>
      <c r="F961" s="5"/>
    </row>
    <row r="962" spans="1:6" x14ac:dyDescent="0.4">
      <c r="A962" s="1"/>
      <c r="C962" s="1"/>
      <c r="D962" s="1"/>
      <c r="E962" s="4"/>
      <c r="F962" s="5"/>
    </row>
    <row r="963" spans="1:6" x14ac:dyDescent="0.4">
      <c r="A963" s="1"/>
      <c r="C963" s="1"/>
      <c r="D963" s="1"/>
      <c r="E963" s="4"/>
      <c r="F963" s="5"/>
    </row>
    <row r="964" spans="1:6" x14ac:dyDescent="0.4">
      <c r="A964" s="1"/>
      <c r="C964" s="1"/>
      <c r="D964" s="1"/>
      <c r="E964" s="4"/>
      <c r="F964" s="5"/>
    </row>
    <row r="965" spans="1:6" x14ac:dyDescent="0.4">
      <c r="A965" s="1"/>
      <c r="C965" s="1"/>
      <c r="D965" s="1"/>
      <c r="E965" s="4"/>
      <c r="F965" s="5"/>
    </row>
    <row r="966" spans="1:6" x14ac:dyDescent="0.4">
      <c r="A966" s="1"/>
      <c r="C966" s="1"/>
      <c r="D966" s="1"/>
      <c r="E966" s="4"/>
      <c r="F966" s="5"/>
    </row>
    <row r="967" spans="1:6" x14ac:dyDescent="0.4">
      <c r="A967" s="1"/>
      <c r="C967" s="1"/>
      <c r="D967" s="1"/>
      <c r="E967" s="4"/>
      <c r="F967" s="5"/>
    </row>
    <row r="968" spans="1:6" x14ac:dyDescent="0.4">
      <c r="A968" s="1"/>
      <c r="C968" s="1"/>
      <c r="D968" s="1"/>
      <c r="E968" s="4"/>
      <c r="F968" s="5"/>
    </row>
    <row r="969" spans="1:6" x14ac:dyDescent="0.4">
      <c r="A969" s="1"/>
      <c r="C969" s="1"/>
      <c r="D969" s="1"/>
      <c r="E969" s="4"/>
      <c r="F969" s="5"/>
    </row>
    <row r="970" spans="1:6" x14ac:dyDescent="0.4">
      <c r="A970" s="1"/>
      <c r="C970" s="1"/>
      <c r="D970" s="1"/>
      <c r="E970" s="4"/>
      <c r="F970" s="5"/>
    </row>
    <row r="971" spans="1:6" x14ac:dyDescent="0.4">
      <c r="A971" s="1"/>
      <c r="C971" s="1"/>
      <c r="D971" s="1"/>
      <c r="E971" s="4"/>
      <c r="F971" s="5"/>
    </row>
    <row r="972" spans="1:6" x14ac:dyDescent="0.4">
      <c r="A972" s="1"/>
      <c r="C972" s="1"/>
      <c r="D972" s="1"/>
      <c r="E972" s="4"/>
      <c r="F972" s="5"/>
    </row>
    <row r="973" spans="1:6" x14ac:dyDescent="0.4">
      <c r="A973" s="1"/>
      <c r="C973" s="1"/>
      <c r="D973" s="1"/>
      <c r="E973" s="4"/>
      <c r="F973" s="5"/>
    </row>
    <row r="974" spans="1:6" x14ac:dyDescent="0.4">
      <c r="A974" s="1"/>
      <c r="C974" s="1"/>
      <c r="D974" s="1"/>
      <c r="E974" s="4"/>
      <c r="F974" s="5"/>
    </row>
    <row r="975" spans="1:6" x14ac:dyDescent="0.4">
      <c r="A975" s="1"/>
      <c r="C975" s="1"/>
      <c r="D975" s="1"/>
      <c r="E975" s="4"/>
      <c r="F975" s="5"/>
    </row>
    <row r="976" spans="1:6" x14ac:dyDescent="0.4">
      <c r="A976" s="1"/>
      <c r="C976" s="1"/>
      <c r="D976" s="1"/>
      <c r="E976" s="4"/>
      <c r="F976" s="5"/>
    </row>
    <row r="977" spans="1:6" x14ac:dyDescent="0.4">
      <c r="A977" s="1"/>
      <c r="C977" s="1"/>
      <c r="D977" s="1"/>
      <c r="E977" s="4"/>
      <c r="F977" s="5"/>
    </row>
    <row r="978" spans="1:6" x14ac:dyDescent="0.4">
      <c r="A978" s="1"/>
      <c r="C978" s="1"/>
      <c r="D978" s="1"/>
      <c r="E978" s="4"/>
      <c r="F978" s="5"/>
    </row>
    <row r="979" spans="1:6" x14ac:dyDescent="0.4">
      <c r="A979" s="1"/>
      <c r="C979" s="1"/>
      <c r="D979" s="1"/>
      <c r="E979" s="4"/>
      <c r="F979" s="5"/>
    </row>
    <row r="980" spans="1:6" x14ac:dyDescent="0.4">
      <c r="A980" s="1"/>
      <c r="C980" s="1"/>
      <c r="D980" s="1"/>
      <c r="E980" s="4"/>
      <c r="F980" s="5"/>
    </row>
    <row r="981" spans="1:6" x14ac:dyDescent="0.4">
      <c r="A981" s="1"/>
      <c r="C981" s="1"/>
      <c r="D981" s="1"/>
      <c r="E981" s="4"/>
      <c r="F981" s="5"/>
    </row>
    <row r="982" spans="1:6" x14ac:dyDescent="0.4">
      <c r="A982" s="1"/>
      <c r="C982" s="1"/>
      <c r="D982" s="1"/>
      <c r="E982" s="4"/>
      <c r="F982" s="5"/>
    </row>
    <row r="983" spans="1:6" x14ac:dyDescent="0.4">
      <c r="A983" s="1"/>
      <c r="C983" s="1"/>
      <c r="D983" s="1"/>
      <c r="E983" s="4"/>
      <c r="F983" s="5"/>
    </row>
    <row r="984" spans="1:6" x14ac:dyDescent="0.4">
      <c r="A984" s="1"/>
      <c r="C984" s="1"/>
      <c r="D984" s="1"/>
      <c r="E984" s="4"/>
      <c r="F984" s="5"/>
    </row>
    <row r="985" spans="1:6" x14ac:dyDescent="0.4">
      <c r="A985" s="1"/>
      <c r="C985" s="1"/>
      <c r="D985" s="1"/>
      <c r="E985" s="4"/>
      <c r="F985" s="5"/>
    </row>
    <row r="986" spans="1:6" x14ac:dyDescent="0.4">
      <c r="A986" s="1"/>
      <c r="C986" s="1"/>
      <c r="D986" s="1"/>
      <c r="E986" s="4"/>
      <c r="F986" s="5"/>
    </row>
    <row r="987" spans="1:6" x14ac:dyDescent="0.4">
      <c r="A987" s="1"/>
      <c r="C987" s="1"/>
      <c r="D987" s="1"/>
      <c r="E987" s="4"/>
      <c r="F987" s="5"/>
    </row>
    <row r="988" spans="1:6" x14ac:dyDescent="0.4">
      <c r="A988" s="1"/>
      <c r="C988" s="1"/>
      <c r="D988" s="1"/>
      <c r="E988" s="4"/>
      <c r="F988" s="5"/>
    </row>
    <row r="989" spans="1:6" x14ac:dyDescent="0.4">
      <c r="A989" s="1"/>
      <c r="C989" s="1"/>
      <c r="D989" s="1"/>
      <c r="E989" s="4"/>
      <c r="F989" s="5"/>
    </row>
    <row r="990" spans="1:6" x14ac:dyDescent="0.4">
      <c r="A990" s="1"/>
      <c r="C990" s="1"/>
      <c r="D990" s="1"/>
      <c r="E990" s="4"/>
      <c r="F990" s="5"/>
    </row>
    <row r="991" spans="1:6" x14ac:dyDescent="0.4">
      <c r="A991" s="1"/>
      <c r="C991" s="1"/>
      <c r="D991" s="1"/>
      <c r="E991" s="4"/>
      <c r="F991" s="5"/>
    </row>
    <row r="992" spans="1:6" x14ac:dyDescent="0.4">
      <c r="A992" s="1"/>
      <c r="C992" s="1"/>
      <c r="D992" s="1"/>
      <c r="E992" s="4"/>
      <c r="F992" s="5"/>
    </row>
    <row r="993" spans="1:6" x14ac:dyDescent="0.4">
      <c r="A993" s="1"/>
      <c r="C993" s="1"/>
      <c r="D993" s="1"/>
      <c r="E993" s="4"/>
      <c r="F993" s="5"/>
    </row>
    <row r="994" spans="1:6" x14ac:dyDescent="0.4">
      <c r="A994" s="1"/>
      <c r="C994" s="1"/>
      <c r="D994" s="1"/>
      <c r="E994" s="4"/>
      <c r="F994" s="5"/>
    </row>
    <row r="995" spans="1:6" x14ac:dyDescent="0.4">
      <c r="A995" s="1"/>
      <c r="C995" s="1"/>
      <c r="D995" s="1"/>
      <c r="E995" s="4"/>
      <c r="F995" s="5"/>
    </row>
    <row r="996" spans="1:6" x14ac:dyDescent="0.4">
      <c r="A996" s="1"/>
      <c r="C996" s="1"/>
      <c r="D996" s="1"/>
      <c r="E996" s="4"/>
      <c r="F996" s="5"/>
    </row>
    <row r="997" spans="1:6" x14ac:dyDescent="0.4">
      <c r="A997" s="1"/>
      <c r="C997" s="1"/>
      <c r="D997" s="1"/>
      <c r="E997" s="4"/>
      <c r="F997" s="5"/>
    </row>
    <row r="998" spans="1:6" x14ac:dyDescent="0.4">
      <c r="A998" s="1"/>
      <c r="C998" s="1"/>
      <c r="D998" s="1"/>
      <c r="E998" s="4"/>
      <c r="F998" s="5"/>
    </row>
    <row r="999" spans="1:6" x14ac:dyDescent="0.4">
      <c r="A999" s="1"/>
      <c r="C999" s="1"/>
      <c r="D999" s="1"/>
      <c r="E999" s="4"/>
      <c r="F999" s="5"/>
    </row>
    <row r="1000" spans="1:6" x14ac:dyDescent="0.4">
      <c r="A1000" s="1"/>
      <c r="C1000" s="1"/>
      <c r="D1000" s="1"/>
      <c r="E1000" s="4"/>
      <c r="F1000" s="5"/>
    </row>
    <row r="1001" spans="1:6" x14ac:dyDescent="0.4">
      <c r="A1001" s="1"/>
      <c r="C1001" s="1"/>
      <c r="D1001" s="1"/>
      <c r="E1001" s="4"/>
      <c r="F1001" s="5"/>
    </row>
    <row r="1002" spans="1:6" x14ac:dyDescent="0.4">
      <c r="A1002" s="1"/>
      <c r="B1002" s="2"/>
      <c r="C1002" s="3"/>
      <c r="D1002" s="1"/>
      <c r="E1002" s="4"/>
      <c r="F1002" s="5"/>
    </row>
    <row r="1003" spans="1:6" x14ac:dyDescent="0.4">
      <c r="A1003" s="1"/>
      <c r="B1003" s="2"/>
      <c r="C1003" s="1"/>
      <c r="D1003" s="1"/>
      <c r="E1003" s="4"/>
      <c r="F1003" s="5"/>
    </row>
    <row r="1004" spans="1:6" x14ac:dyDescent="0.4">
      <c r="A1004" s="1"/>
      <c r="B1004" s="2"/>
      <c r="C1004" s="1"/>
      <c r="D1004" s="1"/>
      <c r="E1004" s="4"/>
      <c r="F1004" s="5"/>
    </row>
    <row r="1005" spans="1:6" x14ac:dyDescent="0.4">
      <c r="A1005" s="1"/>
      <c r="B1005" s="2"/>
      <c r="C1005" s="1"/>
      <c r="D1005" s="1"/>
      <c r="E1005" s="4"/>
      <c r="F1005" s="5"/>
    </row>
    <row r="1006" spans="1:6" x14ac:dyDescent="0.4">
      <c r="A1006" s="1"/>
      <c r="B1006" s="2"/>
      <c r="C1006" s="1"/>
      <c r="D1006" s="1"/>
      <c r="E1006" s="4"/>
      <c r="F1006" s="5"/>
    </row>
    <row r="1007" spans="1:6" x14ac:dyDescent="0.4">
      <c r="A1007" s="1"/>
      <c r="B1007" s="2"/>
      <c r="C1007" s="1"/>
      <c r="D1007" s="1"/>
      <c r="E1007" s="4"/>
      <c r="F1007" s="5"/>
    </row>
    <row r="1008" spans="1:6" x14ac:dyDescent="0.4">
      <c r="A1008" s="1"/>
      <c r="B1008" s="2"/>
      <c r="C1008" s="1"/>
      <c r="D1008" s="1"/>
      <c r="E1008" s="4"/>
      <c r="F1008" s="5"/>
    </row>
    <row r="1009" spans="1:6" x14ac:dyDescent="0.4">
      <c r="A1009" s="1"/>
      <c r="B1009" s="2"/>
      <c r="C1009" s="1"/>
      <c r="D1009" s="1"/>
      <c r="E1009" s="4"/>
      <c r="F1009" s="5"/>
    </row>
    <row r="1010" spans="1:6" x14ac:dyDescent="0.4">
      <c r="A1010" s="1"/>
      <c r="B1010" s="2"/>
      <c r="C1010" s="1"/>
      <c r="D1010" s="1"/>
      <c r="E1010" s="4"/>
      <c r="F1010" s="5"/>
    </row>
    <row r="1011" spans="1:6" x14ac:dyDescent="0.4">
      <c r="A1011" s="1"/>
      <c r="B1011" s="2"/>
      <c r="C1011" s="1"/>
      <c r="D1011" s="1"/>
      <c r="E1011" s="4"/>
      <c r="F1011" s="5"/>
    </row>
    <row r="1012" spans="1:6" x14ac:dyDescent="0.4">
      <c r="A1012" s="1"/>
      <c r="B1012" s="2"/>
      <c r="C1012" s="1"/>
      <c r="D1012" s="1"/>
      <c r="E1012" s="4"/>
      <c r="F1012" s="5"/>
    </row>
    <row r="1013" spans="1:6" x14ac:dyDescent="0.4">
      <c r="A1013" s="1"/>
      <c r="B1013" s="2"/>
      <c r="C1013" s="1"/>
      <c r="D1013" s="1"/>
      <c r="E1013" s="4"/>
      <c r="F1013" s="5"/>
    </row>
    <row r="1014" spans="1:6" x14ac:dyDescent="0.4">
      <c r="A1014" s="1"/>
      <c r="B1014" s="2"/>
      <c r="C1014" s="1"/>
      <c r="D1014" s="1"/>
      <c r="E1014" s="4"/>
      <c r="F1014" s="5"/>
    </row>
    <row r="1015" spans="1:6" x14ac:dyDescent="0.4">
      <c r="A1015" s="1"/>
      <c r="B1015" s="2"/>
      <c r="C1015" s="1"/>
      <c r="D1015" s="1"/>
      <c r="E1015" s="4"/>
      <c r="F1015" s="5"/>
    </row>
    <row r="1016" spans="1:6" x14ac:dyDescent="0.4">
      <c r="A1016" s="1"/>
      <c r="B1016" s="2"/>
      <c r="C1016" s="1"/>
      <c r="D1016" s="1"/>
      <c r="E1016" s="4"/>
      <c r="F1016" s="5"/>
    </row>
    <row r="1017" spans="1:6" x14ac:dyDescent="0.4">
      <c r="A1017" s="1"/>
      <c r="B1017" s="2"/>
      <c r="C1017" s="1"/>
      <c r="D1017" s="1"/>
      <c r="E1017" s="4"/>
      <c r="F1017" s="5"/>
    </row>
    <row r="1018" spans="1:6" x14ac:dyDescent="0.4">
      <c r="A1018" s="1"/>
      <c r="B1018" s="2"/>
      <c r="C1018" s="1"/>
      <c r="D1018" s="1"/>
      <c r="E1018" s="4"/>
      <c r="F1018" s="5"/>
    </row>
    <row r="1019" spans="1:6" x14ac:dyDescent="0.4">
      <c r="A1019" s="1"/>
      <c r="B1019" s="2"/>
      <c r="C1019" s="1"/>
      <c r="D1019" s="1"/>
      <c r="E1019" s="4"/>
      <c r="F1019" s="5"/>
    </row>
    <row r="1020" spans="1:6" x14ac:dyDescent="0.4">
      <c r="A1020" s="1"/>
      <c r="B1020" s="2"/>
      <c r="C1020" s="1"/>
      <c r="D1020" s="1"/>
      <c r="E1020" s="4"/>
      <c r="F1020" s="5"/>
    </row>
    <row r="1021" spans="1:6" x14ac:dyDescent="0.4">
      <c r="A1021" s="1"/>
      <c r="B1021" s="2"/>
      <c r="C1021" s="1"/>
      <c r="D1021" s="1"/>
      <c r="E1021" s="4"/>
      <c r="F1021" s="5"/>
    </row>
    <row r="1022" spans="1:6" x14ac:dyDescent="0.4">
      <c r="A1022" s="1"/>
      <c r="B1022" s="2"/>
      <c r="C1022" s="1"/>
      <c r="D1022" s="1"/>
      <c r="E1022" s="4"/>
      <c r="F1022" s="5"/>
    </row>
    <row r="1023" spans="1:6" x14ac:dyDescent="0.4">
      <c r="A1023" s="1"/>
      <c r="B1023" s="2"/>
      <c r="C1023" s="1"/>
      <c r="D1023" s="1"/>
      <c r="E1023" s="4"/>
      <c r="F1023" s="5"/>
    </row>
    <row r="1024" spans="1:6" x14ac:dyDescent="0.4">
      <c r="A1024" s="1"/>
      <c r="B1024" s="2"/>
      <c r="C1024" s="1"/>
      <c r="D1024" s="1"/>
      <c r="E1024" s="4"/>
      <c r="F1024" s="5"/>
    </row>
    <row r="1025" spans="1:6" x14ac:dyDescent="0.4">
      <c r="A1025" s="1"/>
      <c r="B1025" s="2"/>
      <c r="C1025" s="1"/>
      <c r="D1025" s="1"/>
      <c r="E1025" s="4"/>
      <c r="F1025" s="5"/>
    </row>
    <row r="1026" spans="1:6" x14ac:dyDescent="0.4">
      <c r="A1026" s="1"/>
      <c r="B1026" s="2"/>
      <c r="C1026" s="1"/>
      <c r="D1026" s="1"/>
      <c r="E1026" s="4"/>
      <c r="F1026" s="5"/>
    </row>
    <row r="1027" spans="1:6" x14ac:dyDescent="0.4">
      <c r="A1027" s="1"/>
      <c r="B1027" s="2"/>
      <c r="C1027" s="1"/>
      <c r="D1027" s="1"/>
      <c r="E1027" s="4"/>
      <c r="F1027" s="5"/>
    </row>
    <row r="1028" spans="1:6" x14ac:dyDescent="0.4">
      <c r="A1028" s="1"/>
      <c r="B1028" s="2"/>
      <c r="C1028" s="1"/>
      <c r="D1028" s="1"/>
      <c r="E1028" s="4"/>
      <c r="F1028" s="5"/>
    </row>
    <row r="1029" spans="1:6" x14ac:dyDescent="0.4">
      <c r="A1029" s="1"/>
      <c r="B1029" s="2"/>
      <c r="C1029" s="1"/>
      <c r="D1029" s="1"/>
      <c r="E1029" s="4"/>
      <c r="F1029" s="5"/>
    </row>
    <row r="1030" spans="1:6" x14ac:dyDescent="0.4">
      <c r="A1030" s="1"/>
      <c r="B1030" s="2"/>
      <c r="C1030" s="1"/>
      <c r="D1030" s="1"/>
      <c r="E1030" s="4"/>
      <c r="F1030" s="5"/>
    </row>
    <row r="1031" spans="1:6" x14ac:dyDescent="0.4">
      <c r="A1031" s="1"/>
      <c r="B1031" s="2"/>
      <c r="C1031" s="1"/>
      <c r="D1031" s="1"/>
      <c r="E1031" s="4"/>
      <c r="F1031" s="5"/>
    </row>
    <row r="1032" spans="1:6" x14ac:dyDescent="0.4">
      <c r="A1032" s="1"/>
      <c r="B1032" s="2"/>
      <c r="C1032" s="1"/>
      <c r="D1032" s="1"/>
      <c r="E1032" s="4"/>
      <c r="F1032" s="5"/>
    </row>
    <row r="1033" spans="1:6" x14ac:dyDescent="0.4">
      <c r="A1033" s="1"/>
      <c r="B1033" s="2"/>
      <c r="C1033" s="1"/>
      <c r="D1033" s="1"/>
      <c r="E1033" s="4"/>
      <c r="F1033" s="5"/>
    </row>
    <row r="1034" spans="1:6" x14ac:dyDescent="0.4">
      <c r="A1034" s="1"/>
      <c r="B1034" s="2"/>
      <c r="C1034" s="1"/>
      <c r="D1034" s="1"/>
      <c r="E1034" s="4"/>
      <c r="F1034" s="5"/>
    </row>
    <row r="1035" spans="1:6" x14ac:dyDescent="0.4">
      <c r="A1035" s="1"/>
      <c r="B1035" s="2"/>
      <c r="C1035" s="1"/>
      <c r="D1035" s="1"/>
      <c r="E1035" s="4"/>
      <c r="F1035" s="5"/>
    </row>
    <row r="1036" spans="1:6" x14ac:dyDescent="0.4">
      <c r="A1036" s="1"/>
      <c r="B1036" s="2"/>
      <c r="C1036" s="1"/>
      <c r="D1036" s="1"/>
      <c r="E1036" s="4"/>
      <c r="F1036" s="5"/>
    </row>
    <row r="1037" spans="1:6" x14ac:dyDescent="0.4">
      <c r="A1037" s="1"/>
      <c r="B1037" s="2"/>
      <c r="C1037" s="1"/>
      <c r="D1037" s="1"/>
      <c r="E1037" s="4"/>
      <c r="F1037" s="5"/>
    </row>
    <row r="1038" spans="1:6" x14ac:dyDescent="0.4">
      <c r="A1038" s="1"/>
      <c r="B1038" s="2"/>
      <c r="C1038" s="1"/>
      <c r="D1038" s="1"/>
      <c r="E1038" s="4"/>
      <c r="F1038" s="5"/>
    </row>
    <row r="1039" spans="1:6" x14ac:dyDescent="0.4">
      <c r="A1039" s="1"/>
      <c r="B1039" s="2"/>
      <c r="C1039" s="1"/>
      <c r="D1039" s="1"/>
      <c r="E1039" s="4"/>
      <c r="F1039" s="5"/>
    </row>
    <row r="1040" spans="1:6" x14ac:dyDescent="0.4">
      <c r="A1040" s="1"/>
      <c r="B1040" s="2"/>
      <c r="C1040" s="1"/>
      <c r="D1040" s="1"/>
      <c r="E1040" s="4"/>
      <c r="F1040" s="5"/>
    </row>
    <row r="1041" spans="1:6" x14ac:dyDescent="0.4">
      <c r="A1041" s="1"/>
      <c r="B1041" s="2"/>
      <c r="C1041" s="1"/>
      <c r="D1041" s="1"/>
      <c r="E1041" s="4"/>
      <c r="F1041" s="5"/>
    </row>
    <row r="1042" spans="1:6" x14ac:dyDescent="0.4">
      <c r="A1042" s="1"/>
      <c r="B1042" s="2"/>
      <c r="C1042" s="1"/>
      <c r="D1042" s="1"/>
      <c r="E1042" s="4"/>
      <c r="F1042" s="5"/>
    </row>
    <row r="1043" spans="1:6" x14ac:dyDescent="0.4">
      <c r="A1043" s="1"/>
      <c r="B1043" s="2"/>
      <c r="C1043" s="1"/>
      <c r="D1043" s="1"/>
      <c r="E1043" s="4"/>
      <c r="F1043" s="5"/>
    </row>
    <row r="1044" spans="1:6" x14ac:dyDescent="0.4">
      <c r="A1044" s="1"/>
      <c r="B1044" s="2"/>
      <c r="C1044" s="1"/>
      <c r="D1044" s="1"/>
      <c r="E1044" s="4"/>
      <c r="F1044" s="5"/>
    </row>
    <row r="1045" spans="1:6" x14ac:dyDescent="0.4">
      <c r="A1045" s="1"/>
      <c r="B1045" s="2"/>
      <c r="C1045" s="1"/>
      <c r="D1045" s="1"/>
      <c r="E1045" s="4"/>
      <c r="F1045" s="5"/>
    </row>
    <row r="1046" spans="1:6" x14ac:dyDescent="0.4">
      <c r="A1046" s="1"/>
      <c r="B1046" s="2"/>
      <c r="C1046" s="1"/>
      <c r="D1046" s="1"/>
      <c r="E1046" s="4"/>
      <c r="F1046" s="5"/>
    </row>
    <row r="1047" spans="1:6" x14ac:dyDescent="0.4">
      <c r="A1047" s="1"/>
      <c r="B1047" s="2"/>
      <c r="C1047" s="1"/>
      <c r="D1047" s="1"/>
      <c r="E1047" s="4"/>
      <c r="F1047" s="5"/>
    </row>
    <row r="1048" spans="1:6" x14ac:dyDescent="0.4">
      <c r="A1048" s="1"/>
      <c r="B1048" s="2"/>
      <c r="C1048" s="1"/>
      <c r="D1048" s="1"/>
      <c r="E1048" s="4"/>
      <c r="F1048" s="5"/>
    </row>
    <row r="1049" spans="1:6" x14ac:dyDescent="0.4">
      <c r="A1049" s="1"/>
      <c r="B1049" s="2"/>
      <c r="C1049" s="1"/>
      <c r="D1049" s="1"/>
      <c r="E1049" s="4"/>
      <c r="F1049" s="5"/>
    </row>
    <row r="1050" spans="1:6" x14ac:dyDescent="0.4">
      <c r="A1050" s="1"/>
      <c r="B1050" s="2"/>
      <c r="C1050" s="1"/>
      <c r="D1050" s="1"/>
      <c r="E1050" s="4"/>
      <c r="F1050" s="5"/>
    </row>
    <row r="1051" spans="1:6" x14ac:dyDescent="0.4">
      <c r="A1051" s="1"/>
      <c r="B1051" s="2"/>
      <c r="C1051" s="1"/>
      <c r="D1051" s="1"/>
      <c r="E1051" s="4"/>
      <c r="F1051" s="5"/>
    </row>
    <row r="1052" spans="1:6" x14ac:dyDescent="0.4">
      <c r="A1052" s="1"/>
      <c r="B1052" s="2"/>
      <c r="C1052" s="1"/>
      <c r="D1052" s="1"/>
      <c r="E1052" s="4"/>
      <c r="F1052" s="5"/>
    </row>
    <row r="1053" spans="1:6" x14ac:dyDescent="0.4">
      <c r="A1053" s="1"/>
      <c r="B1053" s="2"/>
      <c r="C1053" s="1"/>
      <c r="D1053" s="1"/>
      <c r="E1053" s="4"/>
      <c r="F1053" s="5"/>
    </row>
    <row r="1054" spans="1:6" x14ac:dyDescent="0.4">
      <c r="A1054" s="1"/>
      <c r="B1054" s="2"/>
      <c r="C1054" s="1"/>
      <c r="D1054" s="1"/>
      <c r="E1054" s="4"/>
      <c r="F1054" s="5"/>
    </row>
    <row r="1055" spans="1:6" x14ac:dyDescent="0.4">
      <c r="A1055" s="1"/>
      <c r="B1055" s="2"/>
      <c r="C1055" s="1"/>
      <c r="D1055" s="1"/>
      <c r="E1055" s="4"/>
      <c r="F1055" s="5"/>
    </row>
    <row r="1056" spans="1:6" x14ac:dyDescent="0.4">
      <c r="A1056" s="1"/>
      <c r="B1056" s="2"/>
      <c r="C1056" s="1"/>
      <c r="D1056" s="1"/>
      <c r="E1056" s="4"/>
      <c r="F1056" s="5"/>
    </row>
    <row r="1057" spans="1:6" x14ac:dyDescent="0.4">
      <c r="A1057" s="1"/>
      <c r="B1057" s="2"/>
      <c r="C1057" s="1"/>
      <c r="D1057" s="1"/>
      <c r="E1057" s="4"/>
      <c r="F1057" s="5"/>
    </row>
    <row r="1058" spans="1:6" x14ac:dyDescent="0.4">
      <c r="A1058" s="1"/>
      <c r="B1058" s="2"/>
      <c r="C1058" s="1"/>
      <c r="D1058" s="1"/>
      <c r="E1058" s="4"/>
      <c r="F1058" s="5"/>
    </row>
    <row r="1059" spans="1:6" x14ac:dyDescent="0.4">
      <c r="A1059" s="1"/>
      <c r="B1059" s="2"/>
      <c r="C1059" s="1"/>
      <c r="D1059" s="1"/>
      <c r="E1059" s="4"/>
      <c r="F1059" s="5"/>
    </row>
    <row r="1060" spans="1:6" x14ac:dyDescent="0.4">
      <c r="A1060" s="1"/>
      <c r="B1060" s="2"/>
      <c r="C1060" s="1"/>
      <c r="D1060" s="1"/>
      <c r="E1060" s="4"/>
      <c r="F1060" s="5"/>
    </row>
    <row r="1061" spans="1:6" x14ac:dyDescent="0.4">
      <c r="A1061" s="1"/>
      <c r="B1061" s="2"/>
      <c r="C1061" s="1"/>
      <c r="D1061" s="1"/>
      <c r="E1061" s="4"/>
      <c r="F1061" s="5"/>
    </row>
    <row r="1062" spans="1:6" x14ac:dyDescent="0.4">
      <c r="A1062" s="1"/>
      <c r="B1062" s="2"/>
      <c r="C1062" s="1"/>
      <c r="D1062" s="1"/>
      <c r="E1062" s="4"/>
      <c r="F1062" s="5"/>
    </row>
    <row r="1063" spans="1:6" x14ac:dyDescent="0.4">
      <c r="A1063" s="1"/>
      <c r="B1063" s="2"/>
      <c r="C1063" s="1"/>
      <c r="D1063" s="1"/>
      <c r="E1063" s="4"/>
      <c r="F1063" s="5"/>
    </row>
    <row r="1064" spans="1:6" x14ac:dyDescent="0.4">
      <c r="A1064" s="1"/>
      <c r="B1064" s="2"/>
      <c r="C1064" s="1"/>
      <c r="D1064" s="1"/>
      <c r="E1064" s="4"/>
      <c r="F1064" s="5"/>
    </row>
    <row r="1065" spans="1:6" x14ac:dyDescent="0.4">
      <c r="A1065" s="1"/>
      <c r="B1065" s="2"/>
      <c r="C1065" s="1"/>
      <c r="D1065" s="1"/>
      <c r="E1065" s="4"/>
      <c r="F1065" s="5"/>
    </row>
    <row r="1066" spans="1:6" x14ac:dyDescent="0.4">
      <c r="A1066" s="1"/>
      <c r="B1066" s="2"/>
      <c r="C1066" s="1"/>
      <c r="D1066" s="1"/>
      <c r="E1066" s="4"/>
      <c r="F1066" s="5"/>
    </row>
    <row r="1067" spans="1:6" x14ac:dyDescent="0.4">
      <c r="A1067" s="1"/>
      <c r="B1067" s="2"/>
      <c r="C1067" s="1"/>
      <c r="D1067" s="1"/>
      <c r="E1067" s="4"/>
      <c r="F1067" s="5"/>
    </row>
    <row r="1068" spans="1:6" x14ac:dyDescent="0.4">
      <c r="A1068" s="1"/>
      <c r="B1068" s="2"/>
      <c r="C1068" s="1"/>
      <c r="D1068" s="1"/>
      <c r="E1068" s="4"/>
      <c r="F1068" s="5"/>
    </row>
    <row r="1069" spans="1:6" x14ac:dyDescent="0.4">
      <c r="A1069" s="1"/>
      <c r="B1069" s="2"/>
      <c r="C1069" s="1"/>
      <c r="D1069" s="1"/>
      <c r="E1069" s="4"/>
      <c r="F1069" s="5"/>
    </row>
    <row r="1070" spans="1:6" x14ac:dyDescent="0.4">
      <c r="A1070" s="1"/>
      <c r="B1070" s="2"/>
      <c r="C1070" s="1"/>
      <c r="D1070" s="1"/>
      <c r="E1070" s="4"/>
      <c r="F1070" s="5"/>
    </row>
    <row r="1071" spans="1:6" x14ac:dyDescent="0.4">
      <c r="A1071" s="1"/>
      <c r="B1071" s="2"/>
      <c r="C1071" s="1"/>
      <c r="D1071" s="1"/>
      <c r="E1071" s="4"/>
      <c r="F1071" s="5"/>
    </row>
    <row r="1072" spans="1:6" x14ac:dyDescent="0.4">
      <c r="A1072" s="1"/>
      <c r="B1072" s="2"/>
      <c r="C1072" s="1"/>
      <c r="D1072" s="1"/>
      <c r="E1072" s="4"/>
      <c r="F1072" s="5"/>
    </row>
    <row r="1073" spans="1:6" x14ac:dyDescent="0.4">
      <c r="A1073" s="1"/>
      <c r="B1073" s="2"/>
      <c r="C1073" s="1"/>
      <c r="D1073" s="1"/>
      <c r="E1073" s="4"/>
      <c r="F1073" s="5"/>
    </row>
    <row r="1074" spans="1:6" x14ac:dyDescent="0.4">
      <c r="A1074" s="1"/>
      <c r="B1074" s="2"/>
      <c r="C1074" s="1"/>
      <c r="D1074" s="1"/>
      <c r="E1074" s="4"/>
      <c r="F1074" s="5"/>
    </row>
    <row r="1075" spans="1:6" x14ac:dyDescent="0.4">
      <c r="A1075" s="1"/>
      <c r="B1075" s="2"/>
      <c r="C1075" s="1"/>
      <c r="D1075" s="1"/>
      <c r="E1075" s="4"/>
      <c r="F1075" s="5"/>
    </row>
    <row r="1076" spans="1:6" x14ac:dyDescent="0.4">
      <c r="A1076" s="1"/>
      <c r="B1076" s="2"/>
      <c r="C1076" s="1"/>
      <c r="D1076" s="1"/>
      <c r="E1076" s="4"/>
      <c r="F1076" s="5"/>
    </row>
    <row r="1077" spans="1:6" x14ac:dyDescent="0.4">
      <c r="A1077" s="1"/>
      <c r="B1077" s="2"/>
      <c r="C1077" s="1"/>
      <c r="D1077" s="1"/>
      <c r="E1077" s="4"/>
      <c r="F1077" s="5"/>
    </row>
    <row r="1078" spans="1:6" x14ac:dyDescent="0.4">
      <c r="A1078" s="1"/>
      <c r="B1078" s="2"/>
      <c r="C1078" s="1"/>
      <c r="D1078" s="1"/>
      <c r="E1078" s="4"/>
      <c r="F1078" s="5"/>
    </row>
    <row r="1079" spans="1:6" x14ac:dyDescent="0.4">
      <c r="A1079" s="1"/>
      <c r="B1079" s="2"/>
      <c r="C1079" s="1"/>
      <c r="D1079" s="1"/>
      <c r="E1079" s="4"/>
      <c r="F1079" s="5"/>
    </row>
    <row r="1080" spans="1:6" x14ac:dyDescent="0.4">
      <c r="A1080" s="1"/>
      <c r="B1080" s="2"/>
      <c r="C1080" s="1"/>
      <c r="D1080" s="1"/>
      <c r="E1080" s="4"/>
      <c r="F1080" s="5"/>
    </row>
    <row r="1081" spans="1:6" x14ac:dyDescent="0.4">
      <c r="A1081" s="1"/>
      <c r="B1081" s="2"/>
      <c r="C1081" s="1"/>
      <c r="D1081" s="1"/>
      <c r="E1081" s="4"/>
      <c r="F1081" s="5"/>
    </row>
    <row r="1082" spans="1:6" x14ac:dyDescent="0.4">
      <c r="A1082" s="1"/>
      <c r="B1082" s="2"/>
      <c r="C1082" s="1"/>
      <c r="D1082" s="1"/>
      <c r="E1082" s="4"/>
      <c r="F1082" s="5"/>
    </row>
    <row r="1083" spans="1:6" x14ac:dyDescent="0.4">
      <c r="A1083" s="1"/>
      <c r="B1083" s="2"/>
      <c r="C1083" s="1"/>
      <c r="D1083" s="1"/>
      <c r="E1083" s="4"/>
      <c r="F1083" s="5"/>
    </row>
    <row r="1084" spans="1:6" x14ac:dyDescent="0.4">
      <c r="A1084" s="1"/>
      <c r="B1084" s="2"/>
      <c r="C1084" s="1"/>
      <c r="D1084" s="1"/>
      <c r="E1084" s="4"/>
      <c r="F1084" s="5"/>
    </row>
    <row r="1085" spans="1:6" x14ac:dyDescent="0.4">
      <c r="A1085" s="1"/>
      <c r="B1085" s="2"/>
      <c r="C1085" s="1"/>
      <c r="D1085" s="1"/>
      <c r="E1085" s="4"/>
      <c r="F1085" s="5"/>
    </row>
    <row r="1086" spans="1:6" x14ac:dyDescent="0.4">
      <c r="A1086" s="1"/>
      <c r="B1086" s="2"/>
      <c r="C1086" s="1"/>
      <c r="D1086" s="1"/>
      <c r="E1086" s="4"/>
      <c r="F1086" s="5"/>
    </row>
    <row r="1087" spans="1:6" x14ac:dyDescent="0.4">
      <c r="A1087" s="1"/>
      <c r="B1087" s="2"/>
      <c r="C1087" s="1"/>
      <c r="D1087" s="1"/>
      <c r="E1087" s="4"/>
      <c r="F1087" s="5"/>
    </row>
    <row r="1088" spans="1:6" x14ac:dyDescent="0.4">
      <c r="A1088" s="1"/>
      <c r="B1088" s="2"/>
      <c r="C1088" s="1"/>
      <c r="D1088" s="1"/>
      <c r="E1088" s="4"/>
      <c r="F1088" s="5"/>
    </row>
    <row r="1089" spans="1:6" x14ac:dyDescent="0.4">
      <c r="A1089" s="1"/>
      <c r="B1089" s="2"/>
      <c r="C1089" s="1"/>
      <c r="D1089" s="1"/>
      <c r="E1089" s="4"/>
      <c r="F1089" s="5"/>
    </row>
    <row r="1090" spans="1:6" x14ac:dyDescent="0.4">
      <c r="A1090" s="1"/>
      <c r="B1090" s="2"/>
      <c r="C1090" s="1"/>
      <c r="D1090" s="1"/>
      <c r="E1090" s="4"/>
      <c r="F1090" s="5"/>
    </row>
    <row r="1091" spans="1:6" x14ac:dyDescent="0.4">
      <c r="A1091" s="1"/>
      <c r="B1091" s="2"/>
      <c r="C1091" s="1"/>
      <c r="D1091" s="1"/>
      <c r="E1091" s="4"/>
      <c r="F1091" s="5"/>
    </row>
    <row r="1092" spans="1:6" x14ac:dyDescent="0.4">
      <c r="A1092" s="1"/>
      <c r="B1092" s="2"/>
      <c r="C1092" s="1"/>
      <c r="D1092" s="1"/>
      <c r="E1092" s="4"/>
      <c r="F1092" s="5"/>
    </row>
    <row r="1093" spans="1:6" x14ac:dyDescent="0.4">
      <c r="A1093" s="1"/>
      <c r="B1093" s="2"/>
      <c r="C1093" s="1"/>
      <c r="D1093" s="1"/>
      <c r="E1093" s="4"/>
      <c r="F1093" s="5"/>
    </row>
    <row r="1094" spans="1:6" x14ac:dyDescent="0.4">
      <c r="A1094" s="1"/>
      <c r="B1094" s="2"/>
      <c r="C1094" s="1"/>
      <c r="D1094" s="1"/>
      <c r="E1094" s="4"/>
      <c r="F1094" s="5"/>
    </row>
    <row r="1095" spans="1:6" x14ac:dyDescent="0.4">
      <c r="A1095" s="1"/>
      <c r="B1095" s="2"/>
      <c r="C1095" s="1"/>
      <c r="D1095" s="1"/>
      <c r="E1095" s="4"/>
      <c r="F1095" s="5"/>
    </row>
    <row r="1096" spans="1:6" x14ac:dyDescent="0.4">
      <c r="A1096" s="1"/>
      <c r="B1096" s="2"/>
      <c r="C1096" s="1"/>
      <c r="D1096" s="1"/>
      <c r="E1096" s="4"/>
      <c r="F1096" s="5"/>
    </row>
    <row r="1097" spans="1:6" x14ac:dyDescent="0.4">
      <c r="A1097" s="1"/>
      <c r="B1097" s="2"/>
      <c r="C1097" s="1"/>
      <c r="D1097" s="1"/>
      <c r="E1097" s="4"/>
      <c r="F1097" s="5"/>
    </row>
    <row r="1098" spans="1:6" x14ac:dyDescent="0.4">
      <c r="A1098" s="1"/>
      <c r="B1098" s="2"/>
      <c r="C1098" s="1"/>
      <c r="D1098" s="1"/>
      <c r="E1098" s="4"/>
      <c r="F1098" s="5"/>
    </row>
    <row r="1099" spans="1:6" x14ac:dyDescent="0.4">
      <c r="A1099" s="1"/>
      <c r="B1099" s="2"/>
      <c r="C1099" s="1"/>
      <c r="D1099" s="1"/>
      <c r="E1099" s="4"/>
      <c r="F1099" s="5"/>
    </row>
    <row r="1100" spans="1:6" x14ac:dyDescent="0.4">
      <c r="A1100" s="1"/>
      <c r="B1100" s="2"/>
      <c r="C1100" s="1"/>
      <c r="D1100" s="1"/>
      <c r="E1100" s="4"/>
      <c r="F1100" s="5"/>
    </row>
    <row r="1101" spans="1:6" x14ac:dyDescent="0.4">
      <c r="A1101" s="1"/>
      <c r="B1101" s="2"/>
      <c r="C1101" s="1"/>
      <c r="D1101" s="1"/>
      <c r="E1101" s="4"/>
      <c r="F1101" s="5"/>
    </row>
  </sheetData>
  <autoFilter ref="A1:I1101"/>
  <dataConsolidate/>
  <hyperlinks>
    <hyperlink ref="I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7</xdr:col>
                    <xdr:colOff>157843</xdr:colOff>
                    <xdr:row>99</xdr:row>
                    <xdr:rowOff>130629</xdr:rowOff>
                  </from>
                  <to>
                    <xdr:col>9</xdr:col>
                    <xdr:colOff>92529</xdr:colOff>
                    <xdr:row>100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465"/>
  <sheetViews>
    <sheetView topLeftCell="A7" workbookViewId="0">
      <selection activeCell="C9" sqref="C9"/>
    </sheetView>
  </sheetViews>
  <sheetFormatPr defaultRowHeight="14.6" x14ac:dyDescent="0.4"/>
  <cols>
    <col min="1" max="1" width="99.61328125" customWidth="1"/>
    <col min="2" max="2" width="14.61328125" customWidth="1"/>
    <col min="3" max="4" width="10.07421875" bestFit="1" customWidth="1"/>
    <col min="5" max="5" width="12.3828125" bestFit="1" customWidth="1"/>
    <col min="6" max="6" width="20.921875" bestFit="1" customWidth="1"/>
    <col min="7" max="7" width="10.07421875" bestFit="1" customWidth="1"/>
    <col min="8" max="8" width="10.69140625" bestFit="1" customWidth="1"/>
  </cols>
  <sheetData>
    <row r="3" spans="1:6" x14ac:dyDescent="0.4">
      <c r="A3" s="12" t="s">
        <v>469</v>
      </c>
      <c r="B3" t="s">
        <v>471</v>
      </c>
    </row>
    <row r="4" spans="1:6" x14ac:dyDescent="0.4">
      <c r="A4" s="13" t="s">
        <v>21</v>
      </c>
      <c r="B4" s="14">
        <v>1</v>
      </c>
      <c r="E4" s="12" t="s">
        <v>469</v>
      </c>
      <c r="F4" t="s">
        <v>472</v>
      </c>
    </row>
    <row r="5" spans="1:6" x14ac:dyDescent="0.4">
      <c r="A5" s="13" t="s">
        <v>286</v>
      </c>
      <c r="B5" s="14">
        <v>1</v>
      </c>
      <c r="E5" s="13">
        <v>1</v>
      </c>
      <c r="F5" s="14">
        <v>354</v>
      </c>
    </row>
    <row r="6" spans="1:6" x14ac:dyDescent="0.4">
      <c r="A6" s="13" t="s">
        <v>295</v>
      </c>
      <c r="B6" s="14">
        <v>1</v>
      </c>
      <c r="E6" s="13">
        <v>2</v>
      </c>
      <c r="F6" s="14">
        <v>154</v>
      </c>
    </row>
    <row r="7" spans="1:6" x14ac:dyDescent="0.4">
      <c r="A7" s="13" t="s">
        <v>449</v>
      </c>
      <c r="B7" s="14">
        <v>1</v>
      </c>
      <c r="E7" s="13">
        <v>3</v>
      </c>
      <c r="F7" s="14">
        <v>84</v>
      </c>
    </row>
    <row r="8" spans="1:6" x14ac:dyDescent="0.4">
      <c r="A8" s="13" t="s">
        <v>419</v>
      </c>
      <c r="B8" s="14">
        <v>1</v>
      </c>
      <c r="E8" s="13">
        <v>4</v>
      </c>
      <c r="F8" s="14">
        <v>8</v>
      </c>
    </row>
    <row r="9" spans="1:6" x14ac:dyDescent="0.4">
      <c r="A9" s="13" t="s">
        <v>144</v>
      </c>
      <c r="B9" s="14">
        <v>3</v>
      </c>
      <c r="E9" s="13" t="s">
        <v>470</v>
      </c>
      <c r="F9" s="14">
        <v>600</v>
      </c>
    </row>
    <row r="10" spans="1:6" x14ac:dyDescent="0.4">
      <c r="A10" s="13" t="s">
        <v>239</v>
      </c>
      <c r="B10" s="14">
        <v>1</v>
      </c>
    </row>
    <row r="11" spans="1:6" x14ac:dyDescent="0.4">
      <c r="A11" s="13" t="s">
        <v>40</v>
      </c>
      <c r="B11" s="14">
        <v>1</v>
      </c>
    </row>
    <row r="12" spans="1:6" x14ac:dyDescent="0.4">
      <c r="A12" s="13" t="s">
        <v>63</v>
      </c>
      <c r="B12" s="14">
        <v>1</v>
      </c>
    </row>
    <row r="13" spans="1:6" x14ac:dyDescent="0.4">
      <c r="A13" s="13" t="s">
        <v>384</v>
      </c>
      <c r="B13" s="14">
        <v>1</v>
      </c>
    </row>
    <row r="14" spans="1:6" x14ac:dyDescent="0.4">
      <c r="A14" s="13" t="s">
        <v>327</v>
      </c>
      <c r="B14" s="14">
        <v>2</v>
      </c>
    </row>
    <row r="15" spans="1:6" x14ac:dyDescent="0.4">
      <c r="A15" s="13" t="s">
        <v>291</v>
      </c>
      <c r="B15" s="14">
        <v>1</v>
      </c>
    </row>
    <row r="16" spans="1:6" x14ac:dyDescent="0.4">
      <c r="A16" s="13" t="s">
        <v>281</v>
      </c>
      <c r="B16" s="14">
        <v>1</v>
      </c>
    </row>
    <row r="17" spans="1:2" x14ac:dyDescent="0.4">
      <c r="A17" s="13" t="s">
        <v>401</v>
      </c>
      <c r="B17" s="14">
        <v>1</v>
      </c>
    </row>
    <row r="18" spans="1:2" x14ac:dyDescent="0.4">
      <c r="A18" s="13" t="s">
        <v>218</v>
      </c>
      <c r="B18" s="14">
        <v>1</v>
      </c>
    </row>
    <row r="19" spans="1:2" x14ac:dyDescent="0.4">
      <c r="A19" s="13" t="s">
        <v>238</v>
      </c>
      <c r="B19" s="14">
        <v>1</v>
      </c>
    </row>
    <row r="20" spans="1:2" x14ac:dyDescent="0.4">
      <c r="A20" s="13" t="s">
        <v>468</v>
      </c>
      <c r="B20" s="14">
        <v>1</v>
      </c>
    </row>
    <row r="21" spans="1:2" x14ac:dyDescent="0.4">
      <c r="A21" s="13" t="s">
        <v>448</v>
      </c>
      <c r="B21" s="14">
        <v>1</v>
      </c>
    </row>
    <row r="22" spans="1:2" x14ac:dyDescent="0.4">
      <c r="A22" s="13" t="s">
        <v>328</v>
      </c>
      <c r="B22" s="14">
        <v>1</v>
      </c>
    </row>
    <row r="23" spans="1:2" x14ac:dyDescent="0.4">
      <c r="A23" s="13" t="s">
        <v>308</v>
      </c>
      <c r="B23" s="14">
        <v>1</v>
      </c>
    </row>
    <row r="24" spans="1:2" x14ac:dyDescent="0.4">
      <c r="A24" s="13" t="s">
        <v>426</v>
      </c>
      <c r="B24" s="14">
        <v>1</v>
      </c>
    </row>
    <row r="25" spans="1:2" x14ac:dyDescent="0.4">
      <c r="A25" s="13" t="s">
        <v>165</v>
      </c>
      <c r="B25" s="14">
        <v>1</v>
      </c>
    </row>
    <row r="26" spans="1:2" x14ac:dyDescent="0.4">
      <c r="A26" s="13" t="s">
        <v>443</v>
      </c>
      <c r="B26" s="14">
        <v>1</v>
      </c>
    </row>
    <row r="27" spans="1:2" x14ac:dyDescent="0.4">
      <c r="A27" s="13" t="s">
        <v>418</v>
      </c>
      <c r="B27" s="14">
        <v>1</v>
      </c>
    </row>
    <row r="28" spans="1:2" x14ac:dyDescent="0.4">
      <c r="A28" s="13" t="s">
        <v>150</v>
      </c>
      <c r="B28" s="14">
        <v>1</v>
      </c>
    </row>
    <row r="29" spans="1:2" x14ac:dyDescent="0.4">
      <c r="A29" s="13" t="s">
        <v>19</v>
      </c>
      <c r="B29" s="14">
        <v>3</v>
      </c>
    </row>
    <row r="30" spans="1:2" x14ac:dyDescent="0.4">
      <c r="A30" s="13" t="s">
        <v>321</v>
      </c>
      <c r="B30" s="14">
        <v>1</v>
      </c>
    </row>
    <row r="31" spans="1:2" x14ac:dyDescent="0.4">
      <c r="A31" s="13" t="s">
        <v>305</v>
      </c>
      <c r="B31" s="14">
        <v>1</v>
      </c>
    </row>
    <row r="32" spans="1:2" x14ac:dyDescent="0.4">
      <c r="A32" s="13" t="s">
        <v>117</v>
      </c>
      <c r="B32" s="14">
        <v>1</v>
      </c>
    </row>
    <row r="33" spans="1:2" x14ac:dyDescent="0.4">
      <c r="A33" s="13" t="s">
        <v>149</v>
      </c>
      <c r="B33" s="14">
        <v>2</v>
      </c>
    </row>
    <row r="34" spans="1:2" x14ac:dyDescent="0.4">
      <c r="A34" s="13" t="s">
        <v>14</v>
      </c>
      <c r="B34" s="14">
        <v>1</v>
      </c>
    </row>
    <row r="35" spans="1:2" x14ac:dyDescent="0.4">
      <c r="A35" s="13" t="s">
        <v>176</v>
      </c>
      <c r="B35" s="14">
        <v>1</v>
      </c>
    </row>
    <row r="36" spans="1:2" x14ac:dyDescent="0.4">
      <c r="A36" s="13" t="s">
        <v>252</v>
      </c>
      <c r="B36" s="14">
        <v>1</v>
      </c>
    </row>
    <row r="37" spans="1:2" x14ac:dyDescent="0.4">
      <c r="A37" s="13" t="s">
        <v>323</v>
      </c>
      <c r="B37" s="14">
        <v>1</v>
      </c>
    </row>
    <row r="38" spans="1:2" x14ac:dyDescent="0.4">
      <c r="A38" s="13" t="s">
        <v>304</v>
      </c>
      <c r="B38" s="14">
        <v>1</v>
      </c>
    </row>
    <row r="39" spans="1:2" x14ac:dyDescent="0.4">
      <c r="A39" s="13" t="s">
        <v>0</v>
      </c>
      <c r="B39" s="14">
        <v>1</v>
      </c>
    </row>
    <row r="40" spans="1:2" x14ac:dyDescent="0.4">
      <c r="A40" s="13" t="s">
        <v>3</v>
      </c>
      <c r="B40" s="14">
        <v>1</v>
      </c>
    </row>
    <row r="41" spans="1:2" x14ac:dyDescent="0.4">
      <c r="A41" s="13" t="s">
        <v>72</v>
      </c>
      <c r="B41" s="14">
        <v>2</v>
      </c>
    </row>
    <row r="42" spans="1:2" x14ac:dyDescent="0.4">
      <c r="A42" s="13" t="s">
        <v>211</v>
      </c>
      <c r="B42" s="14">
        <v>1</v>
      </c>
    </row>
    <row r="43" spans="1:2" x14ac:dyDescent="0.4">
      <c r="A43" s="13" t="s">
        <v>445</v>
      </c>
      <c r="B43" s="14">
        <v>1</v>
      </c>
    </row>
    <row r="44" spans="1:2" x14ac:dyDescent="0.4">
      <c r="A44" s="13" t="s">
        <v>269</v>
      </c>
      <c r="B44" s="14">
        <v>3</v>
      </c>
    </row>
    <row r="45" spans="1:2" x14ac:dyDescent="0.4">
      <c r="A45" s="13" t="s">
        <v>425</v>
      </c>
      <c r="B45" s="14">
        <v>1</v>
      </c>
    </row>
    <row r="46" spans="1:2" x14ac:dyDescent="0.4">
      <c r="A46" s="13" t="s">
        <v>382</v>
      </c>
      <c r="B46" s="14">
        <v>1</v>
      </c>
    </row>
    <row r="47" spans="1:2" x14ac:dyDescent="0.4">
      <c r="A47" s="13" t="s">
        <v>465</v>
      </c>
      <c r="B47" s="14">
        <v>1</v>
      </c>
    </row>
    <row r="48" spans="1:2" x14ac:dyDescent="0.4">
      <c r="A48" s="13" t="s">
        <v>457</v>
      </c>
      <c r="B48" s="14">
        <v>1</v>
      </c>
    </row>
    <row r="49" spans="1:2" x14ac:dyDescent="0.4">
      <c r="A49" s="13" t="s">
        <v>141</v>
      </c>
      <c r="B49" s="14">
        <v>1</v>
      </c>
    </row>
    <row r="50" spans="1:2" x14ac:dyDescent="0.4">
      <c r="A50" s="13" t="s">
        <v>415</v>
      </c>
      <c r="B50" s="14">
        <v>1</v>
      </c>
    </row>
    <row r="51" spans="1:2" x14ac:dyDescent="0.4">
      <c r="A51" s="13" t="s">
        <v>193</v>
      </c>
      <c r="B51" s="14">
        <v>2</v>
      </c>
    </row>
    <row r="52" spans="1:2" x14ac:dyDescent="0.4">
      <c r="A52" s="13" t="s">
        <v>116</v>
      </c>
      <c r="B52" s="14">
        <v>1</v>
      </c>
    </row>
    <row r="53" spans="1:2" x14ac:dyDescent="0.4">
      <c r="A53" s="13" t="s">
        <v>112</v>
      </c>
      <c r="B53" s="14">
        <v>2</v>
      </c>
    </row>
    <row r="54" spans="1:2" x14ac:dyDescent="0.4">
      <c r="A54" s="13" t="s">
        <v>365</v>
      </c>
      <c r="B54" s="14">
        <v>1</v>
      </c>
    </row>
    <row r="55" spans="1:2" x14ac:dyDescent="0.4">
      <c r="A55" s="13" t="s">
        <v>88</v>
      </c>
      <c r="B55" s="14">
        <v>1</v>
      </c>
    </row>
    <row r="56" spans="1:2" x14ac:dyDescent="0.4">
      <c r="A56" s="13" t="s">
        <v>212</v>
      </c>
      <c r="B56" s="14">
        <v>3</v>
      </c>
    </row>
    <row r="57" spans="1:2" x14ac:dyDescent="0.4">
      <c r="A57" s="13" t="s">
        <v>129</v>
      </c>
      <c r="B57" s="14">
        <v>2</v>
      </c>
    </row>
    <row r="58" spans="1:2" x14ac:dyDescent="0.4">
      <c r="A58" s="13" t="s">
        <v>372</v>
      </c>
      <c r="B58" s="14">
        <v>1</v>
      </c>
    </row>
    <row r="59" spans="1:2" x14ac:dyDescent="0.4">
      <c r="A59" s="13" t="s">
        <v>313</v>
      </c>
      <c r="B59" s="14">
        <v>1</v>
      </c>
    </row>
    <row r="60" spans="1:2" x14ac:dyDescent="0.4">
      <c r="A60" s="13" t="s">
        <v>5</v>
      </c>
      <c r="B60" s="14">
        <v>1</v>
      </c>
    </row>
    <row r="61" spans="1:2" x14ac:dyDescent="0.4">
      <c r="A61" s="13" t="s">
        <v>311</v>
      </c>
      <c r="B61" s="14">
        <v>1</v>
      </c>
    </row>
    <row r="62" spans="1:2" x14ac:dyDescent="0.4">
      <c r="A62" s="13" t="s">
        <v>414</v>
      </c>
      <c r="B62" s="14">
        <v>1</v>
      </c>
    </row>
    <row r="63" spans="1:2" x14ac:dyDescent="0.4">
      <c r="A63" s="13" t="s">
        <v>179</v>
      </c>
      <c r="B63" s="14">
        <v>1</v>
      </c>
    </row>
    <row r="64" spans="1:2" x14ac:dyDescent="0.4">
      <c r="A64" s="13" t="s">
        <v>463</v>
      </c>
      <c r="B64" s="14">
        <v>1</v>
      </c>
    </row>
    <row r="65" spans="1:2" x14ac:dyDescent="0.4">
      <c r="A65" s="13" t="s">
        <v>446</v>
      </c>
      <c r="B65" s="14">
        <v>1</v>
      </c>
    </row>
    <row r="66" spans="1:2" x14ac:dyDescent="0.4">
      <c r="A66" s="13" t="s">
        <v>296</v>
      </c>
      <c r="B66" s="14">
        <v>1</v>
      </c>
    </row>
    <row r="67" spans="1:2" x14ac:dyDescent="0.4">
      <c r="A67" s="13" t="s">
        <v>275</v>
      </c>
      <c r="B67" s="14">
        <v>1</v>
      </c>
    </row>
    <row r="68" spans="1:2" x14ac:dyDescent="0.4">
      <c r="A68" s="13" t="s">
        <v>54</v>
      </c>
      <c r="B68" s="14">
        <v>1</v>
      </c>
    </row>
    <row r="69" spans="1:2" x14ac:dyDescent="0.4">
      <c r="A69" s="13" t="s">
        <v>452</v>
      </c>
      <c r="B69" s="14">
        <v>1</v>
      </c>
    </row>
    <row r="70" spans="1:2" x14ac:dyDescent="0.4">
      <c r="A70" s="13" t="s">
        <v>420</v>
      </c>
      <c r="B70" s="14">
        <v>1</v>
      </c>
    </row>
    <row r="71" spans="1:2" x14ac:dyDescent="0.4">
      <c r="A71" s="13" t="s">
        <v>285</v>
      </c>
      <c r="B71" s="14">
        <v>1</v>
      </c>
    </row>
    <row r="72" spans="1:2" x14ac:dyDescent="0.4">
      <c r="A72" s="13" t="s">
        <v>383</v>
      </c>
      <c r="B72" s="14">
        <v>1</v>
      </c>
    </row>
    <row r="73" spans="1:2" x14ac:dyDescent="0.4">
      <c r="A73" s="13" t="s">
        <v>342</v>
      </c>
      <c r="B73" s="14">
        <v>2</v>
      </c>
    </row>
    <row r="74" spans="1:2" x14ac:dyDescent="0.4">
      <c r="A74" s="13" t="s">
        <v>55</v>
      </c>
      <c r="B74" s="14">
        <v>1</v>
      </c>
    </row>
    <row r="75" spans="1:2" x14ac:dyDescent="0.4">
      <c r="A75" s="13" t="s">
        <v>375</v>
      </c>
      <c r="B75" s="14">
        <v>1</v>
      </c>
    </row>
    <row r="76" spans="1:2" x14ac:dyDescent="0.4">
      <c r="A76" s="13" t="s">
        <v>197</v>
      </c>
      <c r="B76" s="14">
        <v>3</v>
      </c>
    </row>
    <row r="77" spans="1:2" x14ac:dyDescent="0.4">
      <c r="A77" s="13" t="s">
        <v>228</v>
      </c>
      <c r="B77" s="14">
        <v>1</v>
      </c>
    </row>
    <row r="78" spans="1:2" x14ac:dyDescent="0.4">
      <c r="A78" s="13" t="s">
        <v>36</v>
      </c>
      <c r="B78" s="14">
        <v>2</v>
      </c>
    </row>
    <row r="79" spans="1:2" x14ac:dyDescent="0.4">
      <c r="A79" s="13" t="s">
        <v>155</v>
      </c>
      <c r="B79" s="14">
        <v>1</v>
      </c>
    </row>
    <row r="80" spans="1:2" x14ac:dyDescent="0.4">
      <c r="A80" s="13" t="s">
        <v>41</v>
      </c>
      <c r="B80" s="14">
        <v>3</v>
      </c>
    </row>
    <row r="81" spans="1:2" x14ac:dyDescent="0.4">
      <c r="A81" s="13" t="s">
        <v>431</v>
      </c>
      <c r="B81" s="14">
        <v>1</v>
      </c>
    </row>
    <row r="82" spans="1:2" x14ac:dyDescent="0.4">
      <c r="A82" s="13" t="s">
        <v>367</v>
      </c>
      <c r="B82" s="14">
        <v>1</v>
      </c>
    </row>
    <row r="83" spans="1:2" x14ac:dyDescent="0.4">
      <c r="A83" s="13" t="s">
        <v>392</v>
      </c>
      <c r="B83" s="14">
        <v>1</v>
      </c>
    </row>
    <row r="84" spans="1:2" x14ac:dyDescent="0.4">
      <c r="A84" s="13" t="s">
        <v>208</v>
      </c>
      <c r="B84" s="14">
        <v>1</v>
      </c>
    </row>
    <row r="85" spans="1:2" x14ac:dyDescent="0.4">
      <c r="A85" s="13" t="s">
        <v>417</v>
      </c>
      <c r="B85" s="14">
        <v>1</v>
      </c>
    </row>
    <row r="86" spans="1:2" x14ac:dyDescent="0.4">
      <c r="A86" s="13" t="s">
        <v>466</v>
      </c>
      <c r="B86" s="14">
        <v>1</v>
      </c>
    </row>
    <row r="87" spans="1:2" x14ac:dyDescent="0.4">
      <c r="A87" s="13" t="s">
        <v>229</v>
      </c>
      <c r="B87" s="14">
        <v>2</v>
      </c>
    </row>
    <row r="88" spans="1:2" x14ac:dyDescent="0.4">
      <c r="A88" s="13" t="s">
        <v>188</v>
      </c>
      <c r="B88" s="14">
        <v>1</v>
      </c>
    </row>
    <row r="89" spans="1:2" x14ac:dyDescent="0.4">
      <c r="A89" s="13" t="s">
        <v>191</v>
      </c>
      <c r="B89" s="14">
        <v>1</v>
      </c>
    </row>
    <row r="90" spans="1:2" x14ac:dyDescent="0.4">
      <c r="A90" s="13" t="s">
        <v>96</v>
      </c>
      <c r="B90" s="14">
        <v>1</v>
      </c>
    </row>
    <row r="91" spans="1:2" x14ac:dyDescent="0.4">
      <c r="A91" s="13" t="s">
        <v>230</v>
      </c>
      <c r="B91" s="14">
        <v>2</v>
      </c>
    </row>
    <row r="92" spans="1:2" x14ac:dyDescent="0.4">
      <c r="A92" s="13" t="s">
        <v>242</v>
      </c>
      <c r="B92" s="14">
        <v>1</v>
      </c>
    </row>
    <row r="93" spans="1:2" x14ac:dyDescent="0.4">
      <c r="A93" s="13" t="s">
        <v>331</v>
      </c>
      <c r="B93" s="14">
        <v>1</v>
      </c>
    </row>
    <row r="94" spans="1:2" x14ac:dyDescent="0.4">
      <c r="A94" s="13" t="s">
        <v>356</v>
      </c>
      <c r="B94" s="14">
        <v>1</v>
      </c>
    </row>
    <row r="95" spans="1:2" x14ac:dyDescent="0.4">
      <c r="A95" s="13" t="s">
        <v>330</v>
      </c>
      <c r="B95" s="14">
        <v>1</v>
      </c>
    </row>
    <row r="96" spans="1:2" x14ac:dyDescent="0.4">
      <c r="A96" s="13" t="s">
        <v>128</v>
      </c>
      <c r="B96" s="14">
        <v>1</v>
      </c>
    </row>
    <row r="97" spans="1:2" x14ac:dyDescent="0.4">
      <c r="A97" s="13" t="s">
        <v>168</v>
      </c>
      <c r="B97" s="14">
        <v>1</v>
      </c>
    </row>
    <row r="98" spans="1:2" x14ac:dyDescent="0.4">
      <c r="A98" s="13" t="s">
        <v>408</v>
      </c>
      <c r="B98" s="14">
        <v>1</v>
      </c>
    </row>
    <row r="99" spans="1:2" x14ac:dyDescent="0.4">
      <c r="A99" s="13" t="s">
        <v>455</v>
      </c>
      <c r="B99" s="14">
        <v>1</v>
      </c>
    </row>
    <row r="100" spans="1:2" x14ac:dyDescent="0.4">
      <c r="A100" s="13" t="s">
        <v>91</v>
      </c>
      <c r="B100" s="14">
        <v>1</v>
      </c>
    </row>
    <row r="101" spans="1:2" x14ac:dyDescent="0.4">
      <c r="A101" s="13" t="s">
        <v>433</v>
      </c>
      <c r="B101" s="14">
        <v>1</v>
      </c>
    </row>
    <row r="102" spans="1:2" x14ac:dyDescent="0.4">
      <c r="A102" s="13" t="s">
        <v>272</v>
      </c>
      <c r="B102" s="14">
        <v>1</v>
      </c>
    </row>
    <row r="103" spans="1:2" x14ac:dyDescent="0.4">
      <c r="A103" s="13" t="s">
        <v>276</v>
      </c>
      <c r="B103" s="14">
        <v>1</v>
      </c>
    </row>
    <row r="104" spans="1:2" x14ac:dyDescent="0.4">
      <c r="A104" s="13" t="s">
        <v>326</v>
      </c>
      <c r="B104" s="14">
        <v>1</v>
      </c>
    </row>
    <row r="105" spans="1:2" x14ac:dyDescent="0.4">
      <c r="A105" s="13" t="s">
        <v>196</v>
      </c>
      <c r="B105" s="14">
        <v>1</v>
      </c>
    </row>
    <row r="106" spans="1:2" x14ac:dyDescent="0.4">
      <c r="A106" s="13" t="s">
        <v>393</v>
      </c>
      <c r="B106" s="14">
        <v>1</v>
      </c>
    </row>
    <row r="107" spans="1:2" x14ac:dyDescent="0.4">
      <c r="A107" s="13" t="s">
        <v>405</v>
      </c>
      <c r="B107" s="14">
        <v>1</v>
      </c>
    </row>
    <row r="108" spans="1:2" x14ac:dyDescent="0.4">
      <c r="A108" s="13" t="s">
        <v>1</v>
      </c>
      <c r="B108" s="14">
        <v>1</v>
      </c>
    </row>
    <row r="109" spans="1:2" x14ac:dyDescent="0.4">
      <c r="A109" s="13" t="s">
        <v>435</v>
      </c>
      <c r="B109" s="14">
        <v>1</v>
      </c>
    </row>
    <row r="110" spans="1:2" x14ac:dyDescent="0.4">
      <c r="A110" s="13" t="s">
        <v>89</v>
      </c>
      <c r="B110" s="14">
        <v>1</v>
      </c>
    </row>
    <row r="111" spans="1:2" x14ac:dyDescent="0.4">
      <c r="A111" s="13" t="s">
        <v>309</v>
      </c>
      <c r="B111" s="14">
        <v>1</v>
      </c>
    </row>
    <row r="112" spans="1:2" x14ac:dyDescent="0.4">
      <c r="A112" s="13" t="s">
        <v>467</v>
      </c>
      <c r="B112" s="14">
        <v>1</v>
      </c>
    </row>
    <row r="113" spans="1:2" x14ac:dyDescent="0.4">
      <c r="A113" s="13" t="s">
        <v>25</v>
      </c>
      <c r="B113" s="14">
        <v>2</v>
      </c>
    </row>
    <row r="114" spans="1:2" x14ac:dyDescent="0.4">
      <c r="A114" s="13" t="s">
        <v>227</v>
      </c>
      <c r="B114" s="14">
        <v>1</v>
      </c>
    </row>
    <row r="115" spans="1:2" x14ac:dyDescent="0.4">
      <c r="A115" s="13" t="s">
        <v>396</v>
      </c>
      <c r="B115" s="14">
        <v>1</v>
      </c>
    </row>
    <row r="116" spans="1:2" x14ac:dyDescent="0.4">
      <c r="A116" s="13" t="s">
        <v>380</v>
      </c>
      <c r="B116" s="14">
        <v>1</v>
      </c>
    </row>
    <row r="117" spans="1:2" x14ac:dyDescent="0.4">
      <c r="A117" s="13" t="s">
        <v>411</v>
      </c>
      <c r="B117" s="14">
        <v>1</v>
      </c>
    </row>
    <row r="118" spans="1:2" x14ac:dyDescent="0.4">
      <c r="A118" s="13" t="s">
        <v>29</v>
      </c>
      <c r="B118" s="14">
        <v>1</v>
      </c>
    </row>
    <row r="119" spans="1:2" x14ac:dyDescent="0.4">
      <c r="A119" s="13" t="s">
        <v>132</v>
      </c>
      <c r="B119" s="14">
        <v>2</v>
      </c>
    </row>
    <row r="120" spans="1:2" x14ac:dyDescent="0.4">
      <c r="A120" s="13" t="s">
        <v>147</v>
      </c>
      <c r="B120" s="14">
        <v>3</v>
      </c>
    </row>
    <row r="121" spans="1:2" x14ac:dyDescent="0.4">
      <c r="A121" s="13" t="s">
        <v>70</v>
      </c>
      <c r="B121" s="14">
        <v>1</v>
      </c>
    </row>
    <row r="122" spans="1:2" x14ac:dyDescent="0.4">
      <c r="A122" s="13" t="s">
        <v>125</v>
      </c>
      <c r="B122" s="14">
        <v>3</v>
      </c>
    </row>
    <row r="123" spans="1:2" x14ac:dyDescent="0.4">
      <c r="A123" s="13" t="s">
        <v>122</v>
      </c>
      <c r="B123" s="14">
        <v>2</v>
      </c>
    </row>
    <row r="124" spans="1:2" x14ac:dyDescent="0.4">
      <c r="A124" s="13" t="s">
        <v>183</v>
      </c>
      <c r="B124" s="14">
        <v>3</v>
      </c>
    </row>
    <row r="125" spans="1:2" x14ac:dyDescent="0.4">
      <c r="A125" s="13" t="s">
        <v>90</v>
      </c>
      <c r="B125" s="14">
        <v>2</v>
      </c>
    </row>
    <row r="126" spans="1:2" x14ac:dyDescent="0.4">
      <c r="A126" s="13" t="s">
        <v>42</v>
      </c>
      <c r="B126" s="14">
        <v>1</v>
      </c>
    </row>
    <row r="127" spans="1:2" x14ac:dyDescent="0.4">
      <c r="A127" s="13" t="s">
        <v>213</v>
      </c>
      <c r="B127" s="14">
        <v>2</v>
      </c>
    </row>
    <row r="128" spans="1:2" x14ac:dyDescent="0.4">
      <c r="A128" s="13" t="s">
        <v>46</v>
      </c>
      <c r="B128" s="14">
        <v>1</v>
      </c>
    </row>
    <row r="129" spans="1:2" x14ac:dyDescent="0.4">
      <c r="A129" s="13" t="s">
        <v>142</v>
      </c>
      <c r="B129" s="14">
        <v>2</v>
      </c>
    </row>
    <row r="130" spans="1:2" x14ac:dyDescent="0.4">
      <c r="A130" s="13" t="s">
        <v>48</v>
      </c>
      <c r="B130" s="14">
        <v>1</v>
      </c>
    </row>
    <row r="131" spans="1:2" x14ac:dyDescent="0.4">
      <c r="A131" s="13" t="s">
        <v>332</v>
      </c>
      <c r="B131" s="14">
        <v>1</v>
      </c>
    </row>
    <row r="132" spans="1:2" x14ac:dyDescent="0.4">
      <c r="A132" s="13" t="s">
        <v>146</v>
      </c>
      <c r="B132" s="14">
        <v>3</v>
      </c>
    </row>
    <row r="133" spans="1:2" x14ac:dyDescent="0.4">
      <c r="A133" s="13" t="s">
        <v>156</v>
      </c>
      <c r="B133" s="14">
        <v>2</v>
      </c>
    </row>
    <row r="134" spans="1:2" x14ac:dyDescent="0.4">
      <c r="A134" s="13" t="s">
        <v>407</v>
      </c>
      <c r="B134" s="14">
        <v>1</v>
      </c>
    </row>
    <row r="135" spans="1:2" x14ac:dyDescent="0.4">
      <c r="A135" s="13" t="s">
        <v>151</v>
      </c>
      <c r="B135" s="14">
        <v>1</v>
      </c>
    </row>
    <row r="136" spans="1:2" x14ac:dyDescent="0.4">
      <c r="A136" s="13" t="s">
        <v>69</v>
      </c>
      <c r="B136" s="14">
        <v>1</v>
      </c>
    </row>
    <row r="137" spans="1:2" x14ac:dyDescent="0.4">
      <c r="A137" s="13" t="s">
        <v>152</v>
      </c>
      <c r="B137" s="14">
        <v>2</v>
      </c>
    </row>
    <row r="138" spans="1:2" x14ac:dyDescent="0.4">
      <c r="A138" s="13" t="s">
        <v>130</v>
      </c>
      <c r="B138" s="14">
        <v>2</v>
      </c>
    </row>
    <row r="139" spans="1:2" x14ac:dyDescent="0.4">
      <c r="A139" s="13" t="s">
        <v>138</v>
      </c>
      <c r="B139" s="14">
        <v>4</v>
      </c>
    </row>
    <row r="140" spans="1:2" x14ac:dyDescent="0.4">
      <c r="A140" s="13" t="s">
        <v>82</v>
      </c>
      <c r="B140" s="14">
        <v>1</v>
      </c>
    </row>
    <row r="141" spans="1:2" x14ac:dyDescent="0.4">
      <c r="A141" s="13" t="s">
        <v>148</v>
      </c>
      <c r="B141" s="14">
        <v>3</v>
      </c>
    </row>
    <row r="142" spans="1:2" x14ac:dyDescent="0.4">
      <c r="A142" s="13" t="s">
        <v>119</v>
      </c>
      <c r="B142" s="14">
        <v>3</v>
      </c>
    </row>
    <row r="143" spans="1:2" x14ac:dyDescent="0.4">
      <c r="A143" s="13" t="s">
        <v>49</v>
      </c>
      <c r="B143" s="14">
        <v>1</v>
      </c>
    </row>
    <row r="144" spans="1:2" x14ac:dyDescent="0.4">
      <c r="A144" s="13" t="s">
        <v>137</v>
      </c>
      <c r="B144" s="14">
        <v>2</v>
      </c>
    </row>
    <row r="145" spans="1:2" x14ac:dyDescent="0.4">
      <c r="A145" s="13" t="s">
        <v>27</v>
      </c>
      <c r="B145" s="14">
        <v>1</v>
      </c>
    </row>
    <row r="146" spans="1:2" x14ac:dyDescent="0.4">
      <c r="A146" s="13" t="s">
        <v>139</v>
      </c>
      <c r="B146" s="14">
        <v>2</v>
      </c>
    </row>
    <row r="147" spans="1:2" x14ac:dyDescent="0.4">
      <c r="A147" s="13" t="s">
        <v>80</v>
      </c>
      <c r="B147" s="14">
        <v>1</v>
      </c>
    </row>
    <row r="148" spans="1:2" x14ac:dyDescent="0.4">
      <c r="A148" s="13" t="s">
        <v>388</v>
      </c>
      <c r="B148" s="14">
        <v>1</v>
      </c>
    </row>
    <row r="149" spans="1:2" x14ac:dyDescent="0.4">
      <c r="A149" s="13" t="s">
        <v>78</v>
      </c>
      <c r="B149" s="14">
        <v>1</v>
      </c>
    </row>
    <row r="150" spans="1:2" x14ac:dyDescent="0.4">
      <c r="A150" s="13" t="s">
        <v>338</v>
      </c>
      <c r="B150" s="14">
        <v>1</v>
      </c>
    </row>
    <row r="151" spans="1:2" x14ac:dyDescent="0.4">
      <c r="A151" s="13" t="s">
        <v>232</v>
      </c>
      <c r="B151" s="14">
        <v>1</v>
      </c>
    </row>
    <row r="152" spans="1:2" x14ac:dyDescent="0.4">
      <c r="A152" s="13" t="s">
        <v>347</v>
      </c>
      <c r="B152" s="14">
        <v>1</v>
      </c>
    </row>
    <row r="153" spans="1:2" x14ac:dyDescent="0.4">
      <c r="A153" s="13" t="s">
        <v>264</v>
      </c>
      <c r="B153" s="14">
        <v>1</v>
      </c>
    </row>
    <row r="154" spans="1:2" x14ac:dyDescent="0.4">
      <c r="A154" s="13" t="s">
        <v>299</v>
      </c>
      <c r="B154" s="14">
        <v>1</v>
      </c>
    </row>
    <row r="155" spans="1:2" x14ac:dyDescent="0.4">
      <c r="A155" s="13" t="s">
        <v>85</v>
      </c>
      <c r="B155" s="14">
        <v>1</v>
      </c>
    </row>
    <row r="156" spans="1:2" x14ac:dyDescent="0.4">
      <c r="A156" s="13" t="s">
        <v>378</v>
      </c>
      <c r="B156" s="14">
        <v>1</v>
      </c>
    </row>
    <row r="157" spans="1:2" x14ac:dyDescent="0.4">
      <c r="A157" s="13" t="s">
        <v>381</v>
      </c>
      <c r="B157" s="14">
        <v>1</v>
      </c>
    </row>
    <row r="158" spans="1:2" x14ac:dyDescent="0.4">
      <c r="A158" s="13" t="s">
        <v>440</v>
      </c>
      <c r="B158" s="14">
        <v>1</v>
      </c>
    </row>
    <row r="159" spans="1:2" x14ac:dyDescent="0.4">
      <c r="A159" s="13" t="s">
        <v>307</v>
      </c>
      <c r="B159" s="14">
        <v>2</v>
      </c>
    </row>
    <row r="160" spans="1:2" x14ac:dyDescent="0.4">
      <c r="A160" s="13" t="s">
        <v>436</v>
      </c>
      <c r="B160" s="14">
        <v>1</v>
      </c>
    </row>
    <row r="161" spans="1:2" x14ac:dyDescent="0.4">
      <c r="A161" s="13" t="s">
        <v>364</v>
      </c>
      <c r="B161" s="14">
        <v>1</v>
      </c>
    </row>
    <row r="162" spans="1:2" x14ac:dyDescent="0.4">
      <c r="A162" s="13" t="s">
        <v>421</v>
      </c>
      <c r="B162" s="14">
        <v>1</v>
      </c>
    </row>
    <row r="163" spans="1:2" x14ac:dyDescent="0.4">
      <c r="A163" s="13" t="s">
        <v>245</v>
      </c>
      <c r="B163" s="14">
        <v>1</v>
      </c>
    </row>
    <row r="164" spans="1:2" x14ac:dyDescent="0.4">
      <c r="A164" s="13" t="s">
        <v>219</v>
      </c>
      <c r="B164" s="14">
        <v>2</v>
      </c>
    </row>
    <row r="165" spans="1:2" x14ac:dyDescent="0.4">
      <c r="A165" s="13" t="s">
        <v>140</v>
      </c>
      <c r="B165" s="14">
        <v>2</v>
      </c>
    </row>
    <row r="166" spans="1:2" x14ac:dyDescent="0.4">
      <c r="A166" s="13" t="s">
        <v>266</v>
      </c>
      <c r="B166" s="14">
        <v>1</v>
      </c>
    </row>
    <row r="167" spans="1:2" x14ac:dyDescent="0.4">
      <c r="A167" s="13" t="s">
        <v>274</v>
      </c>
      <c r="B167" s="14">
        <v>1</v>
      </c>
    </row>
    <row r="168" spans="1:2" x14ac:dyDescent="0.4">
      <c r="A168" s="13" t="s">
        <v>57</v>
      </c>
      <c r="B168" s="14">
        <v>1</v>
      </c>
    </row>
    <row r="169" spans="1:2" x14ac:dyDescent="0.4">
      <c r="A169" s="13" t="s">
        <v>402</v>
      </c>
      <c r="B169" s="14">
        <v>2</v>
      </c>
    </row>
    <row r="170" spans="1:2" x14ac:dyDescent="0.4">
      <c r="A170" s="13" t="s">
        <v>422</v>
      </c>
      <c r="B170" s="14">
        <v>1</v>
      </c>
    </row>
    <row r="171" spans="1:2" x14ac:dyDescent="0.4">
      <c r="A171" s="13" t="s">
        <v>263</v>
      </c>
      <c r="B171" s="14">
        <v>1</v>
      </c>
    </row>
    <row r="172" spans="1:2" x14ac:dyDescent="0.4">
      <c r="A172" s="13" t="s">
        <v>4</v>
      </c>
      <c r="B172" s="14">
        <v>1</v>
      </c>
    </row>
    <row r="173" spans="1:2" x14ac:dyDescent="0.4">
      <c r="A173" s="13" t="s">
        <v>294</v>
      </c>
      <c r="B173" s="14">
        <v>1</v>
      </c>
    </row>
    <row r="174" spans="1:2" x14ac:dyDescent="0.4">
      <c r="A174" s="13" t="s">
        <v>95</v>
      </c>
      <c r="B174" s="14">
        <v>1</v>
      </c>
    </row>
    <row r="175" spans="1:2" x14ac:dyDescent="0.4">
      <c r="A175" s="13" t="s">
        <v>394</v>
      </c>
      <c r="B175" s="14">
        <v>1</v>
      </c>
    </row>
    <row r="176" spans="1:2" x14ac:dyDescent="0.4">
      <c r="A176" s="13" t="s">
        <v>47</v>
      </c>
      <c r="B176" s="14">
        <v>1</v>
      </c>
    </row>
    <row r="177" spans="1:2" x14ac:dyDescent="0.4">
      <c r="A177" s="13" t="s">
        <v>37</v>
      </c>
      <c r="B177" s="14">
        <v>1</v>
      </c>
    </row>
    <row r="178" spans="1:2" x14ac:dyDescent="0.4">
      <c r="A178" s="13" t="s">
        <v>284</v>
      </c>
      <c r="B178" s="14">
        <v>2</v>
      </c>
    </row>
    <row r="179" spans="1:2" x14ac:dyDescent="0.4">
      <c r="A179" s="13" t="s">
        <v>427</v>
      </c>
      <c r="B179" s="14">
        <v>1</v>
      </c>
    </row>
    <row r="180" spans="1:2" x14ac:dyDescent="0.4">
      <c r="A180" s="13" t="s">
        <v>28</v>
      </c>
      <c r="B180" s="14">
        <v>1</v>
      </c>
    </row>
    <row r="181" spans="1:2" x14ac:dyDescent="0.4">
      <c r="A181" s="13" t="s">
        <v>209</v>
      </c>
      <c r="B181" s="14">
        <v>1</v>
      </c>
    </row>
    <row r="182" spans="1:2" x14ac:dyDescent="0.4">
      <c r="A182" s="13" t="s">
        <v>52</v>
      </c>
      <c r="B182" s="14">
        <v>2</v>
      </c>
    </row>
    <row r="183" spans="1:2" x14ac:dyDescent="0.4">
      <c r="A183" s="13" t="s">
        <v>189</v>
      </c>
      <c r="B183" s="14">
        <v>1</v>
      </c>
    </row>
    <row r="184" spans="1:2" x14ac:dyDescent="0.4">
      <c r="A184" s="13" t="s">
        <v>302</v>
      </c>
      <c r="B184" s="14">
        <v>1</v>
      </c>
    </row>
    <row r="185" spans="1:2" x14ac:dyDescent="0.4">
      <c r="A185" s="13" t="s">
        <v>289</v>
      </c>
      <c r="B185" s="14">
        <v>2</v>
      </c>
    </row>
    <row r="186" spans="1:2" x14ac:dyDescent="0.4">
      <c r="A186" s="13" t="s">
        <v>97</v>
      </c>
      <c r="B186" s="14">
        <v>1</v>
      </c>
    </row>
    <row r="187" spans="1:2" x14ac:dyDescent="0.4">
      <c r="A187" s="13" t="s">
        <v>255</v>
      </c>
      <c r="B187" s="14">
        <v>2</v>
      </c>
    </row>
    <row r="188" spans="1:2" x14ac:dyDescent="0.4">
      <c r="A188" s="13" t="s">
        <v>343</v>
      </c>
      <c r="B188" s="14">
        <v>1</v>
      </c>
    </row>
    <row r="189" spans="1:2" x14ac:dyDescent="0.4">
      <c r="A189" s="13" t="s">
        <v>319</v>
      </c>
      <c r="B189" s="14">
        <v>1</v>
      </c>
    </row>
    <row r="190" spans="1:2" x14ac:dyDescent="0.4">
      <c r="A190" s="13" t="s">
        <v>293</v>
      </c>
      <c r="B190" s="14">
        <v>1</v>
      </c>
    </row>
    <row r="191" spans="1:2" x14ac:dyDescent="0.4">
      <c r="A191" s="13" t="s">
        <v>303</v>
      </c>
      <c r="B191" s="14">
        <v>2</v>
      </c>
    </row>
    <row r="192" spans="1:2" x14ac:dyDescent="0.4">
      <c r="A192" s="13" t="s">
        <v>145</v>
      </c>
      <c r="B192" s="14">
        <v>1</v>
      </c>
    </row>
    <row r="193" spans="1:2" x14ac:dyDescent="0.4">
      <c r="A193" s="13" t="s">
        <v>423</v>
      </c>
      <c r="B193" s="14">
        <v>1</v>
      </c>
    </row>
    <row r="194" spans="1:2" x14ac:dyDescent="0.4">
      <c r="A194" s="13" t="s">
        <v>410</v>
      </c>
      <c r="B194" s="14">
        <v>1</v>
      </c>
    </row>
    <row r="195" spans="1:2" x14ac:dyDescent="0.4">
      <c r="A195" s="13" t="s">
        <v>61</v>
      </c>
      <c r="B195" s="14">
        <v>1</v>
      </c>
    </row>
    <row r="196" spans="1:2" x14ac:dyDescent="0.4">
      <c r="A196" s="13" t="s">
        <v>178</v>
      </c>
      <c r="B196" s="14">
        <v>1</v>
      </c>
    </row>
    <row r="197" spans="1:2" x14ac:dyDescent="0.4">
      <c r="A197" s="13" t="s">
        <v>437</v>
      </c>
      <c r="B197" s="14">
        <v>1</v>
      </c>
    </row>
    <row r="198" spans="1:2" x14ac:dyDescent="0.4">
      <c r="A198" s="13" t="s">
        <v>458</v>
      </c>
      <c r="B198" s="14">
        <v>1</v>
      </c>
    </row>
    <row r="199" spans="1:2" x14ac:dyDescent="0.4">
      <c r="A199" s="13" t="s">
        <v>202</v>
      </c>
      <c r="B199" s="14">
        <v>1</v>
      </c>
    </row>
    <row r="200" spans="1:2" x14ac:dyDescent="0.4">
      <c r="A200" s="13" t="s">
        <v>344</v>
      </c>
      <c r="B200" s="14">
        <v>2</v>
      </c>
    </row>
    <row r="201" spans="1:2" x14ac:dyDescent="0.4">
      <c r="A201" s="13" t="s">
        <v>234</v>
      </c>
      <c r="B201" s="14">
        <v>1</v>
      </c>
    </row>
    <row r="202" spans="1:2" x14ac:dyDescent="0.4">
      <c r="A202" s="13" t="s">
        <v>120</v>
      </c>
      <c r="B202" s="14">
        <v>1</v>
      </c>
    </row>
    <row r="203" spans="1:2" x14ac:dyDescent="0.4">
      <c r="A203" s="13" t="s">
        <v>429</v>
      </c>
      <c r="B203" s="14">
        <v>1</v>
      </c>
    </row>
    <row r="204" spans="1:2" x14ac:dyDescent="0.4">
      <c r="A204" s="13" t="s">
        <v>256</v>
      </c>
      <c r="B204" s="14">
        <v>1</v>
      </c>
    </row>
    <row r="205" spans="1:2" x14ac:dyDescent="0.4">
      <c r="A205" s="13" t="s">
        <v>280</v>
      </c>
      <c r="B205" s="14">
        <v>1</v>
      </c>
    </row>
    <row r="206" spans="1:2" x14ac:dyDescent="0.4">
      <c r="A206" s="13" t="s">
        <v>86</v>
      </c>
      <c r="B206" s="14">
        <v>1</v>
      </c>
    </row>
    <row r="207" spans="1:2" x14ac:dyDescent="0.4">
      <c r="A207" s="13" t="s">
        <v>333</v>
      </c>
      <c r="B207" s="14">
        <v>2</v>
      </c>
    </row>
    <row r="208" spans="1:2" x14ac:dyDescent="0.4">
      <c r="A208" s="13" t="s">
        <v>360</v>
      </c>
      <c r="B208" s="14">
        <v>1</v>
      </c>
    </row>
    <row r="209" spans="1:2" x14ac:dyDescent="0.4">
      <c r="A209" s="13" t="s">
        <v>355</v>
      </c>
      <c r="B209" s="14">
        <v>2</v>
      </c>
    </row>
    <row r="210" spans="1:2" x14ac:dyDescent="0.4">
      <c r="A210" s="13" t="s">
        <v>62</v>
      </c>
      <c r="B210" s="14">
        <v>1</v>
      </c>
    </row>
    <row r="211" spans="1:2" x14ac:dyDescent="0.4">
      <c r="A211" s="13" t="s">
        <v>403</v>
      </c>
      <c r="B211" s="14">
        <v>1</v>
      </c>
    </row>
    <row r="212" spans="1:2" x14ac:dyDescent="0.4">
      <c r="A212" s="13" t="s">
        <v>35</v>
      </c>
      <c r="B212" s="14">
        <v>1</v>
      </c>
    </row>
    <row r="213" spans="1:2" x14ac:dyDescent="0.4">
      <c r="A213" s="13" t="s">
        <v>192</v>
      </c>
      <c r="B213" s="14">
        <v>1</v>
      </c>
    </row>
    <row r="214" spans="1:2" x14ac:dyDescent="0.4">
      <c r="A214" s="13" t="s">
        <v>260</v>
      </c>
      <c r="B214" s="14">
        <v>1</v>
      </c>
    </row>
    <row r="215" spans="1:2" x14ac:dyDescent="0.4">
      <c r="A215" s="13" t="s">
        <v>81</v>
      </c>
      <c r="B215" s="14">
        <v>1</v>
      </c>
    </row>
    <row r="216" spans="1:2" x14ac:dyDescent="0.4">
      <c r="A216" s="13" t="s">
        <v>83</v>
      </c>
      <c r="B216" s="14">
        <v>1</v>
      </c>
    </row>
    <row r="217" spans="1:2" x14ac:dyDescent="0.4">
      <c r="A217" s="13" t="s">
        <v>56</v>
      </c>
      <c r="B217" s="14">
        <v>1</v>
      </c>
    </row>
    <row r="218" spans="1:2" x14ac:dyDescent="0.4">
      <c r="A218" s="13" t="s">
        <v>315</v>
      </c>
      <c r="B218" s="14">
        <v>1</v>
      </c>
    </row>
    <row r="219" spans="1:2" x14ac:dyDescent="0.4">
      <c r="A219" s="13" t="s">
        <v>99</v>
      </c>
      <c r="B219" s="14">
        <v>2</v>
      </c>
    </row>
    <row r="220" spans="1:2" x14ac:dyDescent="0.4">
      <c r="A220" s="13" t="s">
        <v>253</v>
      </c>
      <c r="B220" s="14">
        <v>1</v>
      </c>
    </row>
    <row r="221" spans="1:2" x14ac:dyDescent="0.4">
      <c r="A221" s="13" t="s">
        <v>398</v>
      </c>
      <c r="B221" s="14">
        <v>1</v>
      </c>
    </row>
    <row r="222" spans="1:2" x14ac:dyDescent="0.4">
      <c r="A222" s="13" t="s">
        <v>205</v>
      </c>
      <c r="B222" s="14">
        <v>1</v>
      </c>
    </row>
    <row r="223" spans="1:2" x14ac:dyDescent="0.4">
      <c r="A223" s="13" t="s">
        <v>167</v>
      </c>
      <c r="B223" s="14">
        <v>2</v>
      </c>
    </row>
    <row r="224" spans="1:2" x14ac:dyDescent="0.4">
      <c r="A224" s="13" t="s">
        <v>31</v>
      </c>
      <c r="B224" s="14">
        <v>1</v>
      </c>
    </row>
    <row r="225" spans="1:2" x14ac:dyDescent="0.4">
      <c r="A225" s="13" t="s">
        <v>413</v>
      </c>
      <c r="B225" s="14">
        <v>1</v>
      </c>
    </row>
    <row r="226" spans="1:2" x14ac:dyDescent="0.4">
      <c r="A226" s="13" t="s">
        <v>391</v>
      </c>
      <c r="B226" s="14">
        <v>2</v>
      </c>
    </row>
    <row r="227" spans="1:2" x14ac:dyDescent="0.4">
      <c r="A227" s="13" t="s">
        <v>325</v>
      </c>
      <c r="B227" s="14">
        <v>2</v>
      </c>
    </row>
    <row r="228" spans="1:2" x14ac:dyDescent="0.4">
      <c r="A228" s="13" t="s">
        <v>349</v>
      </c>
      <c r="B228" s="14">
        <v>1</v>
      </c>
    </row>
    <row r="229" spans="1:2" x14ac:dyDescent="0.4">
      <c r="A229" s="13" t="s">
        <v>363</v>
      </c>
      <c r="B229" s="14">
        <v>1</v>
      </c>
    </row>
    <row r="230" spans="1:2" x14ac:dyDescent="0.4">
      <c r="A230" s="13" t="s">
        <v>224</v>
      </c>
      <c r="B230" s="14">
        <v>1</v>
      </c>
    </row>
    <row r="231" spans="1:2" x14ac:dyDescent="0.4">
      <c r="A231" s="13" t="s">
        <v>254</v>
      </c>
      <c r="B231" s="14">
        <v>1</v>
      </c>
    </row>
    <row r="232" spans="1:2" x14ac:dyDescent="0.4">
      <c r="A232" s="13" t="s">
        <v>71</v>
      </c>
      <c r="B232" s="14">
        <v>2</v>
      </c>
    </row>
    <row r="233" spans="1:2" x14ac:dyDescent="0.4">
      <c r="A233" s="13" t="s">
        <v>10</v>
      </c>
      <c r="B233" s="14">
        <v>2</v>
      </c>
    </row>
    <row r="234" spans="1:2" x14ac:dyDescent="0.4">
      <c r="A234" s="13" t="s">
        <v>258</v>
      </c>
      <c r="B234" s="14">
        <v>1</v>
      </c>
    </row>
    <row r="235" spans="1:2" x14ac:dyDescent="0.4">
      <c r="A235" s="13" t="s">
        <v>30</v>
      </c>
      <c r="B235" s="14">
        <v>1</v>
      </c>
    </row>
    <row r="236" spans="1:2" x14ac:dyDescent="0.4">
      <c r="A236" s="13" t="s">
        <v>362</v>
      </c>
      <c r="B236" s="14">
        <v>1</v>
      </c>
    </row>
    <row r="237" spans="1:2" x14ac:dyDescent="0.4">
      <c r="A237" s="13" t="s">
        <v>44</v>
      </c>
      <c r="B237" s="14">
        <v>1</v>
      </c>
    </row>
    <row r="238" spans="1:2" x14ac:dyDescent="0.4">
      <c r="A238" s="13" t="s">
        <v>412</v>
      </c>
      <c r="B238" s="14">
        <v>1</v>
      </c>
    </row>
    <row r="239" spans="1:2" x14ac:dyDescent="0.4">
      <c r="A239" s="13" t="s">
        <v>368</v>
      </c>
      <c r="B239" s="14">
        <v>1</v>
      </c>
    </row>
    <row r="240" spans="1:2" x14ac:dyDescent="0.4">
      <c r="A240" s="13" t="s">
        <v>6</v>
      </c>
      <c r="B240" s="14">
        <v>1</v>
      </c>
    </row>
    <row r="241" spans="1:2" x14ac:dyDescent="0.4">
      <c r="A241" s="13" t="s">
        <v>395</v>
      </c>
      <c r="B241" s="14">
        <v>2</v>
      </c>
    </row>
    <row r="242" spans="1:2" x14ac:dyDescent="0.4">
      <c r="A242" s="13" t="s">
        <v>441</v>
      </c>
      <c r="B242" s="14">
        <v>1</v>
      </c>
    </row>
    <row r="243" spans="1:2" x14ac:dyDescent="0.4">
      <c r="A243" s="13" t="s">
        <v>51</v>
      </c>
      <c r="B243" s="14">
        <v>2</v>
      </c>
    </row>
    <row r="244" spans="1:2" x14ac:dyDescent="0.4">
      <c r="A244" s="13" t="s">
        <v>233</v>
      </c>
      <c r="B244" s="14">
        <v>1</v>
      </c>
    </row>
    <row r="245" spans="1:2" x14ac:dyDescent="0.4">
      <c r="A245" s="13" t="s">
        <v>222</v>
      </c>
      <c r="B245" s="14">
        <v>1</v>
      </c>
    </row>
    <row r="246" spans="1:2" x14ac:dyDescent="0.4">
      <c r="A246" s="13" t="s">
        <v>225</v>
      </c>
      <c r="B246" s="14">
        <v>1</v>
      </c>
    </row>
    <row r="247" spans="1:2" x14ac:dyDescent="0.4">
      <c r="A247" s="13" t="s">
        <v>200</v>
      </c>
      <c r="B247" s="14">
        <v>1</v>
      </c>
    </row>
    <row r="248" spans="1:2" x14ac:dyDescent="0.4">
      <c r="A248" s="13" t="s">
        <v>16</v>
      </c>
      <c r="B248" s="14">
        <v>3</v>
      </c>
    </row>
    <row r="249" spans="1:2" x14ac:dyDescent="0.4">
      <c r="A249" s="13" t="s">
        <v>18</v>
      </c>
      <c r="B249" s="14">
        <v>3</v>
      </c>
    </row>
    <row r="250" spans="1:2" x14ac:dyDescent="0.4">
      <c r="A250" s="13" t="s">
        <v>329</v>
      </c>
      <c r="B250" s="14">
        <v>1</v>
      </c>
    </row>
    <row r="251" spans="1:2" x14ac:dyDescent="0.4">
      <c r="A251" s="13" t="s">
        <v>320</v>
      </c>
      <c r="B251" s="14">
        <v>1</v>
      </c>
    </row>
    <row r="252" spans="1:2" x14ac:dyDescent="0.4">
      <c r="A252" s="13" t="s">
        <v>279</v>
      </c>
      <c r="B252" s="14">
        <v>2</v>
      </c>
    </row>
    <row r="253" spans="1:2" x14ac:dyDescent="0.4">
      <c r="A253" s="13" t="s">
        <v>337</v>
      </c>
      <c r="B253" s="14">
        <v>2</v>
      </c>
    </row>
    <row r="254" spans="1:2" x14ac:dyDescent="0.4">
      <c r="A254" s="13" t="s">
        <v>350</v>
      </c>
      <c r="B254" s="14">
        <v>1</v>
      </c>
    </row>
    <row r="255" spans="1:2" x14ac:dyDescent="0.4">
      <c r="A255" s="13" t="s">
        <v>389</v>
      </c>
      <c r="B255" s="14">
        <v>1</v>
      </c>
    </row>
    <row r="256" spans="1:2" x14ac:dyDescent="0.4">
      <c r="A256" s="13" t="s">
        <v>351</v>
      </c>
      <c r="B256" s="14">
        <v>1</v>
      </c>
    </row>
    <row r="257" spans="1:2" x14ac:dyDescent="0.4">
      <c r="A257" s="13" t="s">
        <v>34</v>
      </c>
      <c r="B257" s="14">
        <v>1</v>
      </c>
    </row>
    <row r="258" spans="1:2" x14ac:dyDescent="0.4">
      <c r="A258" s="13" t="s">
        <v>223</v>
      </c>
      <c r="B258" s="14">
        <v>3</v>
      </c>
    </row>
    <row r="259" spans="1:2" x14ac:dyDescent="0.4">
      <c r="A259" s="13" t="s">
        <v>43</v>
      </c>
      <c r="B259" s="14">
        <v>1</v>
      </c>
    </row>
    <row r="260" spans="1:2" x14ac:dyDescent="0.4">
      <c r="A260" s="13" t="s">
        <v>250</v>
      </c>
      <c r="B260" s="14">
        <v>2</v>
      </c>
    </row>
    <row r="261" spans="1:2" x14ac:dyDescent="0.4">
      <c r="A261" s="13" t="s">
        <v>300</v>
      </c>
      <c r="B261" s="14">
        <v>1</v>
      </c>
    </row>
    <row r="262" spans="1:2" x14ac:dyDescent="0.4">
      <c r="A262" s="13" t="s">
        <v>215</v>
      </c>
      <c r="B262" s="14">
        <v>1</v>
      </c>
    </row>
    <row r="263" spans="1:2" x14ac:dyDescent="0.4">
      <c r="A263" s="13" t="s">
        <v>430</v>
      </c>
      <c r="B263" s="14">
        <v>1</v>
      </c>
    </row>
    <row r="264" spans="1:2" x14ac:dyDescent="0.4">
      <c r="A264" s="13" t="s">
        <v>451</v>
      </c>
      <c r="B264" s="14">
        <v>1</v>
      </c>
    </row>
    <row r="265" spans="1:2" x14ac:dyDescent="0.4">
      <c r="A265" s="13" t="s">
        <v>248</v>
      </c>
      <c r="B265" s="14">
        <v>1</v>
      </c>
    </row>
    <row r="266" spans="1:2" x14ac:dyDescent="0.4">
      <c r="A266" s="13" t="s">
        <v>310</v>
      </c>
      <c r="B266" s="14">
        <v>1</v>
      </c>
    </row>
    <row r="267" spans="1:2" x14ac:dyDescent="0.4">
      <c r="A267" s="13" t="s">
        <v>438</v>
      </c>
      <c r="B267" s="14">
        <v>1</v>
      </c>
    </row>
    <row r="268" spans="1:2" x14ac:dyDescent="0.4">
      <c r="A268" s="13" t="s">
        <v>376</v>
      </c>
      <c r="B268" s="14">
        <v>1</v>
      </c>
    </row>
    <row r="269" spans="1:2" x14ac:dyDescent="0.4">
      <c r="A269" s="13" t="s">
        <v>400</v>
      </c>
      <c r="B269" s="14">
        <v>1</v>
      </c>
    </row>
    <row r="270" spans="1:2" x14ac:dyDescent="0.4">
      <c r="A270" s="13" t="s">
        <v>377</v>
      </c>
      <c r="B270" s="14">
        <v>1</v>
      </c>
    </row>
    <row r="271" spans="1:2" x14ac:dyDescent="0.4">
      <c r="A271" s="13" t="s">
        <v>64</v>
      </c>
      <c r="B271" s="14">
        <v>1</v>
      </c>
    </row>
    <row r="272" spans="1:2" x14ac:dyDescent="0.4">
      <c r="A272" s="13" t="s">
        <v>199</v>
      </c>
      <c r="B272" s="14">
        <v>1</v>
      </c>
    </row>
    <row r="273" spans="1:2" x14ac:dyDescent="0.4">
      <c r="A273" s="13" t="s">
        <v>374</v>
      </c>
      <c r="B273" s="14">
        <v>1</v>
      </c>
    </row>
    <row r="274" spans="1:2" x14ac:dyDescent="0.4">
      <c r="A274" s="13" t="s">
        <v>185</v>
      </c>
      <c r="B274" s="14">
        <v>1</v>
      </c>
    </row>
    <row r="275" spans="1:2" x14ac:dyDescent="0.4">
      <c r="A275" s="13" t="s">
        <v>354</v>
      </c>
      <c r="B275" s="14">
        <v>1</v>
      </c>
    </row>
    <row r="276" spans="1:2" x14ac:dyDescent="0.4">
      <c r="A276" s="13" t="s">
        <v>314</v>
      </c>
      <c r="B276" s="14">
        <v>1</v>
      </c>
    </row>
    <row r="277" spans="1:2" x14ac:dyDescent="0.4">
      <c r="A277" s="13" t="s">
        <v>270</v>
      </c>
      <c r="B277" s="14">
        <v>2</v>
      </c>
    </row>
    <row r="278" spans="1:2" x14ac:dyDescent="0.4">
      <c r="A278" s="13" t="s">
        <v>20</v>
      </c>
      <c r="B278" s="14">
        <v>1</v>
      </c>
    </row>
    <row r="279" spans="1:2" x14ac:dyDescent="0.4">
      <c r="A279" s="13" t="s">
        <v>406</v>
      </c>
      <c r="B279" s="14">
        <v>1</v>
      </c>
    </row>
    <row r="280" spans="1:2" x14ac:dyDescent="0.4">
      <c r="A280" s="13" t="s">
        <v>11</v>
      </c>
      <c r="B280" s="14">
        <v>1</v>
      </c>
    </row>
    <row r="281" spans="1:2" x14ac:dyDescent="0.4">
      <c r="A281" s="13" t="s">
        <v>424</v>
      </c>
      <c r="B281" s="14">
        <v>1</v>
      </c>
    </row>
    <row r="282" spans="1:2" x14ac:dyDescent="0.4">
      <c r="A282" s="13" t="s">
        <v>58</v>
      </c>
      <c r="B282" s="14">
        <v>1</v>
      </c>
    </row>
    <row r="283" spans="1:2" x14ac:dyDescent="0.4">
      <c r="A283" s="13" t="s">
        <v>217</v>
      </c>
      <c r="B283" s="14">
        <v>1</v>
      </c>
    </row>
    <row r="284" spans="1:2" x14ac:dyDescent="0.4">
      <c r="A284" s="13" t="s">
        <v>306</v>
      </c>
      <c r="B284" s="14">
        <v>1</v>
      </c>
    </row>
    <row r="285" spans="1:2" x14ac:dyDescent="0.4">
      <c r="A285" s="13" t="s">
        <v>186</v>
      </c>
      <c r="B285" s="14">
        <v>2</v>
      </c>
    </row>
    <row r="286" spans="1:2" x14ac:dyDescent="0.4">
      <c r="A286" s="13" t="s">
        <v>53</v>
      </c>
      <c r="B286" s="14">
        <v>1</v>
      </c>
    </row>
    <row r="287" spans="1:2" x14ac:dyDescent="0.4">
      <c r="A287" s="13" t="s">
        <v>387</v>
      </c>
      <c r="B287" s="14">
        <v>1</v>
      </c>
    </row>
    <row r="288" spans="1:2" x14ac:dyDescent="0.4">
      <c r="A288" s="13" t="s">
        <v>268</v>
      </c>
      <c r="B288" s="14">
        <v>1</v>
      </c>
    </row>
    <row r="289" spans="1:2" x14ac:dyDescent="0.4">
      <c r="A289" s="13" t="s">
        <v>434</v>
      </c>
      <c r="B289" s="14">
        <v>1</v>
      </c>
    </row>
    <row r="290" spans="1:2" x14ac:dyDescent="0.4">
      <c r="A290" s="13" t="s">
        <v>73</v>
      </c>
      <c r="B290" s="14">
        <v>3</v>
      </c>
    </row>
    <row r="291" spans="1:2" x14ac:dyDescent="0.4">
      <c r="A291" s="13" t="s">
        <v>450</v>
      </c>
      <c r="B291" s="14">
        <v>1</v>
      </c>
    </row>
    <row r="292" spans="1:2" x14ac:dyDescent="0.4">
      <c r="A292" s="13" t="s">
        <v>439</v>
      </c>
      <c r="B292" s="14">
        <v>1</v>
      </c>
    </row>
    <row r="293" spans="1:2" x14ac:dyDescent="0.4">
      <c r="A293" s="13" t="s">
        <v>273</v>
      </c>
      <c r="B293" s="14">
        <v>1</v>
      </c>
    </row>
    <row r="294" spans="1:2" x14ac:dyDescent="0.4">
      <c r="A294" s="13" t="s">
        <v>77</v>
      </c>
      <c r="B294" s="14">
        <v>1</v>
      </c>
    </row>
    <row r="295" spans="1:2" x14ac:dyDescent="0.4">
      <c r="A295" s="13" t="s">
        <v>32</v>
      </c>
      <c r="B295" s="14">
        <v>2</v>
      </c>
    </row>
    <row r="296" spans="1:2" x14ac:dyDescent="0.4">
      <c r="A296" s="13" t="s">
        <v>461</v>
      </c>
      <c r="B296" s="14">
        <v>1</v>
      </c>
    </row>
    <row r="297" spans="1:2" x14ac:dyDescent="0.4">
      <c r="A297" s="13" t="s">
        <v>385</v>
      </c>
      <c r="B297" s="14">
        <v>2</v>
      </c>
    </row>
    <row r="298" spans="1:2" x14ac:dyDescent="0.4">
      <c r="A298" s="13" t="s">
        <v>9</v>
      </c>
      <c r="B298" s="14">
        <v>1</v>
      </c>
    </row>
    <row r="299" spans="1:2" x14ac:dyDescent="0.4">
      <c r="A299" s="13" t="s">
        <v>444</v>
      </c>
      <c r="B299" s="14">
        <v>1</v>
      </c>
    </row>
    <row r="300" spans="1:2" x14ac:dyDescent="0.4">
      <c r="A300" s="13" t="s">
        <v>353</v>
      </c>
      <c r="B300" s="14">
        <v>2</v>
      </c>
    </row>
    <row r="301" spans="1:2" x14ac:dyDescent="0.4">
      <c r="A301" s="13" t="s">
        <v>348</v>
      </c>
      <c r="B301" s="14">
        <v>1</v>
      </c>
    </row>
    <row r="302" spans="1:2" x14ac:dyDescent="0.4">
      <c r="A302" s="13" t="s">
        <v>357</v>
      </c>
      <c r="B302" s="14">
        <v>1</v>
      </c>
    </row>
    <row r="303" spans="1:2" x14ac:dyDescent="0.4">
      <c r="A303" s="13" t="s">
        <v>283</v>
      </c>
      <c r="B303" s="14">
        <v>1</v>
      </c>
    </row>
    <row r="304" spans="1:2" x14ac:dyDescent="0.4">
      <c r="A304" s="13" t="s">
        <v>335</v>
      </c>
      <c r="B304" s="14">
        <v>1</v>
      </c>
    </row>
    <row r="305" spans="1:2" x14ac:dyDescent="0.4">
      <c r="A305" s="13" t="s">
        <v>267</v>
      </c>
      <c r="B305" s="14">
        <v>1</v>
      </c>
    </row>
    <row r="306" spans="1:2" x14ac:dyDescent="0.4">
      <c r="A306" s="13" t="s">
        <v>235</v>
      </c>
      <c r="B306" s="14">
        <v>1</v>
      </c>
    </row>
    <row r="307" spans="1:2" x14ac:dyDescent="0.4">
      <c r="A307" s="13" t="s">
        <v>115</v>
      </c>
      <c r="B307" s="14">
        <v>3</v>
      </c>
    </row>
    <row r="308" spans="1:2" x14ac:dyDescent="0.4">
      <c r="A308" s="13" t="s">
        <v>432</v>
      </c>
      <c r="B308" s="14">
        <v>1</v>
      </c>
    </row>
    <row r="309" spans="1:2" x14ac:dyDescent="0.4">
      <c r="A309" s="13" t="s">
        <v>38</v>
      </c>
      <c r="B309" s="14">
        <v>1</v>
      </c>
    </row>
    <row r="310" spans="1:2" x14ac:dyDescent="0.4">
      <c r="A310" s="13" t="s">
        <v>277</v>
      </c>
      <c r="B310" s="14">
        <v>2</v>
      </c>
    </row>
    <row r="311" spans="1:2" x14ac:dyDescent="0.4">
      <c r="A311" s="13" t="s">
        <v>297</v>
      </c>
      <c r="B311" s="14">
        <v>1</v>
      </c>
    </row>
    <row r="312" spans="1:2" x14ac:dyDescent="0.4">
      <c r="A312" s="13" t="s">
        <v>290</v>
      </c>
      <c r="B312" s="14">
        <v>1</v>
      </c>
    </row>
    <row r="313" spans="1:2" x14ac:dyDescent="0.4">
      <c r="A313" s="13" t="s">
        <v>221</v>
      </c>
      <c r="B313" s="14">
        <v>1</v>
      </c>
    </row>
    <row r="314" spans="1:2" x14ac:dyDescent="0.4">
      <c r="A314" s="13" t="s">
        <v>399</v>
      </c>
      <c r="B314" s="14">
        <v>1</v>
      </c>
    </row>
    <row r="315" spans="1:2" x14ac:dyDescent="0.4">
      <c r="A315" s="13" t="s">
        <v>454</v>
      </c>
      <c r="B315" s="14">
        <v>1</v>
      </c>
    </row>
    <row r="316" spans="1:2" x14ac:dyDescent="0.4">
      <c r="A316" s="13" t="s">
        <v>22</v>
      </c>
      <c r="B316" s="14">
        <v>1</v>
      </c>
    </row>
    <row r="317" spans="1:2" x14ac:dyDescent="0.4">
      <c r="A317" s="13" t="s">
        <v>243</v>
      </c>
      <c r="B317" s="14">
        <v>1</v>
      </c>
    </row>
    <row r="318" spans="1:2" x14ac:dyDescent="0.4">
      <c r="A318" s="13" t="s">
        <v>287</v>
      </c>
      <c r="B318" s="14">
        <v>1</v>
      </c>
    </row>
    <row r="319" spans="1:2" x14ac:dyDescent="0.4">
      <c r="A319" s="13" t="s">
        <v>282</v>
      </c>
      <c r="B319" s="14">
        <v>1</v>
      </c>
    </row>
    <row r="320" spans="1:2" x14ac:dyDescent="0.4">
      <c r="A320" s="13" t="s">
        <v>352</v>
      </c>
      <c r="B320" s="14">
        <v>1</v>
      </c>
    </row>
    <row r="321" spans="1:2" x14ac:dyDescent="0.4">
      <c r="A321" s="13" t="s">
        <v>359</v>
      </c>
      <c r="B321" s="14">
        <v>1</v>
      </c>
    </row>
    <row r="322" spans="1:2" x14ac:dyDescent="0.4">
      <c r="A322" s="13" t="s">
        <v>346</v>
      </c>
      <c r="B322" s="14">
        <v>1</v>
      </c>
    </row>
    <row r="323" spans="1:2" x14ac:dyDescent="0.4">
      <c r="A323" s="13" t="s">
        <v>390</v>
      </c>
      <c r="B323" s="14">
        <v>1</v>
      </c>
    </row>
    <row r="324" spans="1:2" x14ac:dyDescent="0.4">
      <c r="A324" s="13" t="s">
        <v>164</v>
      </c>
      <c r="B324" s="14">
        <v>1</v>
      </c>
    </row>
    <row r="325" spans="1:2" x14ac:dyDescent="0.4">
      <c r="A325" s="13" t="s">
        <v>198</v>
      </c>
      <c r="B325" s="14">
        <v>1</v>
      </c>
    </row>
    <row r="326" spans="1:2" x14ac:dyDescent="0.4">
      <c r="A326" s="13" t="s">
        <v>201</v>
      </c>
      <c r="B326" s="14">
        <v>1</v>
      </c>
    </row>
    <row r="327" spans="1:2" x14ac:dyDescent="0.4">
      <c r="A327" s="13" t="s">
        <v>66</v>
      </c>
      <c r="B327" s="14">
        <v>1</v>
      </c>
    </row>
    <row r="328" spans="1:2" x14ac:dyDescent="0.4">
      <c r="A328" s="13" t="s">
        <v>92</v>
      </c>
      <c r="B328" s="14">
        <v>1</v>
      </c>
    </row>
    <row r="329" spans="1:2" x14ac:dyDescent="0.4">
      <c r="A329" s="13" t="s">
        <v>462</v>
      </c>
      <c r="B329" s="14">
        <v>1</v>
      </c>
    </row>
    <row r="330" spans="1:2" x14ac:dyDescent="0.4">
      <c r="A330" s="13" t="s">
        <v>109</v>
      </c>
      <c r="B330" s="14">
        <v>3</v>
      </c>
    </row>
    <row r="331" spans="1:2" x14ac:dyDescent="0.4">
      <c r="A331" s="13" t="s">
        <v>322</v>
      </c>
      <c r="B331" s="14">
        <v>1</v>
      </c>
    </row>
    <row r="332" spans="1:2" x14ac:dyDescent="0.4">
      <c r="A332" s="13" t="s">
        <v>182</v>
      </c>
      <c r="B332" s="14">
        <v>3</v>
      </c>
    </row>
    <row r="333" spans="1:2" x14ac:dyDescent="0.4">
      <c r="A333" s="13" t="s">
        <v>98</v>
      </c>
      <c r="B333" s="14">
        <v>1</v>
      </c>
    </row>
    <row r="334" spans="1:2" x14ac:dyDescent="0.4">
      <c r="A334" s="13" t="s">
        <v>123</v>
      </c>
      <c r="B334" s="14">
        <v>2</v>
      </c>
    </row>
    <row r="335" spans="1:2" x14ac:dyDescent="0.4">
      <c r="A335" s="13" t="s">
        <v>118</v>
      </c>
      <c r="B335" s="14">
        <v>2</v>
      </c>
    </row>
    <row r="336" spans="1:2" x14ac:dyDescent="0.4">
      <c r="A336" s="13" t="s">
        <v>143</v>
      </c>
      <c r="B336" s="14">
        <v>2</v>
      </c>
    </row>
    <row r="337" spans="1:2" x14ac:dyDescent="0.4">
      <c r="A337" s="13" t="s">
        <v>124</v>
      </c>
      <c r="B337" s="14">
        <v>4</v>
      </c>
    </row>
    <row r="338" spans="1:2" x14ac:dyDescent="0.4">
      <c r="A338" s="13" t="s">
        <v>134</v>
      </c>
      <c r="B338" s="14">
        <v>2</v>
      </c>
    </row>
    <row r="339" spans="1:2" x14ac:dyDescent="0.4">
      <c r="A339" s="13" t="s">
        <v>135</v>
      </c>
      <c r="B339" s="14">
        <v>2</v>
      </c>
    </row>
    <row r="340" spans="1:2" x14ac:dyDescent="0.4">
      <c r="A340" s="13" t="s">
        <v>131</v>
      </c>
      <c r="B340" s="14">
        <v>2</v>
      </c>
    </row>
    <row r="341" spans="1:2" x14ac:dyDescent="0.4">
      <c r="A341" s="13" t="s">
        <v>184</v>
      </c>
      <c r="B341" s="14">
        <v>2</v>
      </c>
    </row>
    <row r="342" spans="1:2" x14ac:dyDescent="0.4">
      <c r="A342" s="13" t="s">
        <v>166</v>
      </c>
      <c r="B342" s="14">
        <v>3</v>
      </c>
    </row>
    <row r="343" spans="1:2" x14ac:dyDescent="0.4">
      <c r="A343" s="13" t="s">
        <v>174</v>
      </c>
      <c r="B343" s="14">
        <v>1</v>
      </c>
    </row>
    <row r="344" spans="1:2" x14ac:dyDescent="0.4">
      <c r="A344" s="13" t="s">
        <v>153</v>
      </c>
      <c r="B344" s="14">
        <v>2</v>
      </c>
    </row>
    <row r="345" spans="1:2" x14ac:dyDescent="0.4">
      <c r="A345" s="13" t="s">
        <v>154</v>
      </c>
      <c r="B345" s="14">
        <v>1</v>
      </c>
    </row>
    <row r="346" spans="1:2" x14ac:dyDescent="0.4">
      <c r="A346" s="13" t="s">
        <v>161</v>
      </c>
      <c r="B346" s="14">
        <v>2</v>
      </c>
    </row>
    <row r="347" spans="1:2" x14ac:dyDescent="0.4">
      <c r="A347" s="13" t="s">
        <v>203</v>
      </c>
      <c r="B347" s="14">
        <v>1</v>
      </c>
    </row>
    <row r="348" spans="1:2" x14ac:dyDescent="0.4">
      <c r="A348" s="13" t="s">
        <v>226</v>
      </c>
      <c r="B348" s="14">
        <v>1</v>
      </c>
    </row>
    <row r="349" spans="1:2" x14ac:dyDescent="0.4">
      <c r="A349" s="13" t="s">
        <v>173</v>
      </c>
      <c r="B349" s="14">
        <v>2</v>
      </c>
    </row>
    <row r="350" spans="1:2" x14ac:dyDescent="0.4">
      <c r="A350" s="13" t="s">
        <v>169</v>
      </c>
      <c r="B350" s="14">
        <v>1</v>
      </c>
    </row>
    <row r="351" spans="1:2" x14ac:dyDescent="0.4">
      <c r="A351" s="13" t="s">
        <v>175</v>
      </c>
      <c r="B351" s="14">
        <v>1</v>
      </c>
    </row>
    <row r="352" spans="1:2" x14ac:dyDescent="0.4">
      <c r="A352" s="13" t="s">
        <v>172</v>
      </c>
      <c r="B352" s="14">
        <v>2</v>
      </c>
    </row>
    <row r="353" spans="1:2" x14ac:dyDescent="0.4">
      <c r="A353" s="13" t="s">
        <v>160</v>
      </c>
      <c r="B353" s="14">
        <v>2</v>
      </c>
    </row>
    <row r="354" spans="1:2" x14ac:dyDescent="0.4">
      <c r="A354" s="13" t="s">
        <v>181</v>
      </c>
      <c r="B354" s="14">
        <v>2</v>
      </c>
    </row>
    <row r="355" spans="1:2" x14ac:dyDescent="0.4">
      <c r="A355" s="13" t="s">
        <v>136</v>
      </c>
      <c r="B355" s="14">
        <v>1</v>
      </c>
    </row>
    <row r="356" spans="1:2" x14ac:dyDescent="0.4">
      <c r="A356" s="13" t="s">
        <v>157</v>
      </c>
      <c r="B356" s="14">
        <v>1</v>
      </c>
    </row>
    <row r="357" spans="1:2" x14ac:dyDescent="0.4">
      <c r="A357" s="13" t="s">
        <v>159</v>
      </c>
      <c r="B357" s="14">
        <v>3</v>
      </c>
    </row>
    <row r="358" spans="1:2" x14ac:dyDescent="0.4">
      <c r="A358" s="13" t="s">
        <v>170</v>
      </c>
      <c r="B358" s="14">
        <v>1</v>
      </c>
    </row>
    <row r="359" spans="1:2" x14ac:dyDescent="0.4">
      <c r="A359" s="13" t="s">
        <v>194</v>
      </c>
      <c r="B359" s="14">
        <v>1</v>
      </c>
    </row>
    <row r="360" spans="1:2" x14ac:dyDescent="0.4">
      <c r="A360" s="13" t="s">
        <v>171</v>
      </c>
      <c r="B360" s="14">
        <v>1</v>
      </c>
    </row>
    <row r="361" spans="1:2" x14ac:dyDescent="0.4">
      <c r="A361" s="13" t="s">
        <v>163</v>
      </c>
      <c r="B361" s="14">
        <v>1</v>
      </c>
    </row>
    <row r="362" spans="1:2" x14ac:dyDescent="0.4">
      <c r="A362" s="13" t="s">
        <v>177</v>
      </c>
      <c r="B362" s="14">
        <v>3</v>
      </c>
    </row>
    <row r="363" spans="1:2" x14ac:dyDescent="0.4">
      <c r="A363" s="13" t="s">
        <v>162</v>
      </c>
      <c r="B363" s="14">
        <v>2</v>
      </c>
    </row>
    <row r="364" spans="1:2" x14ac:dyDescent="0.4">
      <c r="A364" s="13" t="s">
        <v>121</v>
      </c>
      <c r="B364" s="14">
        <v>1</v>
      </c>
    </row>
    <row r="365" spans="1:2" x14ac:dyDescent="0.4">
      <c r="A365" s="13" t="s">
        <v>110</v>
      </c>
      <c r="B365" s="14">
        <v>2</v>
      </c>
    </row>
    <row r="366" spans="1:2" x14ac:dyDescent="0.4">
      <c r="A366" s="13" t="s">
        <v>220</v>
      </c>
      <c r="B366" s="14">
        <v>1</v>
      </c>
    </row>
    <row r="367" spans="1:2" x14ac:dyDescent="0.4">
      <c r="A367" s="13" t="s">
        <v>447</v>
      </c>
      <c r="B367" s="14">
        <v>1</v>
      </c>
    </row>
    <row r="368" spans="1:2" x14ac:dyDescent="0.4">
      <c r="A368" s="13" t="s">
        <v>17</v>
      </c>
      <c r="B368" s="14">
        <v>2</v>
      </c>
    </row>
    <row r="369" spans="1:2" x14ac:dyDescent="0.4">
      <c r="A369" s="13" t="s">
        <v>244</v>
      </c>
      <c r="B369" s="14">
        <v>1</v>
      </c>
    </row>
    <row r="370" spans="1:2" x14ac:dyDescent="0.4">
      <c r="A370" s="13" t="s">
        <v>262</v>
      </c>
      <c r="B370" s="14">
        <v>1</v>
      </c>
    </row>
    <row r="371" spans="1:2" x14ac:dyDescent="0.4">
      <c r="A371" s="13" t="s">
        <v>214</v>
      </c>
      <c r="B371" s="14">
        <v>2</v>
      </c>
    </row>
    <row r="372" spans="1:2" x14ac:dyDescent="0.4">
      <c r="A372" s="13" t="s">
        <v>257</v>
      </c>
      <c r="B372" s="14">
        <v>1</v>
      </c>
    </row>
    <row r="373" spans="1:2" x14ac:dyDescent="0.4">
      <c r="A373" s="13" t="s">
        <v>2</v>
      </c>
      <c r="B373" s="14">
        <v>1</v>
      </c>
    </row>
    <row r="374" spans="1:2" x14ac:dyDescent="0.4">
      <c r="A374" s="13" t="s">
        <v>370</v>
      </c>
      <c r="B374" s="14">
        <v>1</v>
      </c>
    </row>
    <row r="375" spans="1:2" x14ac:dyDescent="0.4">
      <c r="A375" s="13" t="s">
        <v>26</v>
      </c>
      <c r="B375" s="14">
        <v>1</v>
      </c>
    </row>
    <row r="376" spans="1:2" x14ac:dyDescent="0.4">
      <c r="A376" s="13" t="s">
        <v>288</v>
      </c>
      <c r="B376" s="14">
        <v>1</v>
      </c>
    </row>
    <row r="377" spans="1:2" x14ac:dyDescent="0.4">
      <c r="A377" s="13" t="s">
        <v>251</v>
      </c>
      <c r="B377" s="14">
        <v>2</v>
      </c>
    </row>
    <row r="378" spans="1:2" x14ac:dyDescent="0.4">
      <c r="A378" s="13" t="s">
        <v>358</v>
      </c>
      <c r="B378" s="14">
        <v>1</v>
      </c>
    </row>
    <row r="379" spans="1:2" x14ac:dyDescent="0.4">
      <c r="A379" s="13" t="s">
        <v>158</v>
      </c>
      <c r="B379" s="14">
        <v>1</v>
      </c>
    </row>
    <row r="380" spans="1:2" x14ac:dyDescent="0.4">
      <c r="A380" s="13" t="s">
        <v>261</v>
      </c>
      <c r="B380" s="14">
        <v>2</v>
      </c>
    </row>
    <row r="381" spans="1:2" x14ac:dyDescent="0.4">
      <c r="A381" s="13" t="s">
        <v>67</v>
      </c>
      <c r="B381" s="14">
        <v>1</v>
      </c>
    </row>
    <row r="382" spans="1:2" x14ac:dyDescent="0.4">
      <c r="A382" s="13" t="s">
        <v>7</v>
      </c>
      <c r="B382" s="14">
        <v>1</v>
      </c>
    </row>
    <row r="383" spans="1:2" x14ac:dyDescent="0.4">
      <c r="A383" s="13" t="s">
        <v>33</v>
      </c>
      <c r="B383" s="14">
        <v>1</v>
      </c>
    </row>
    <row r="384" spans="1:2" x14ac:dyDescent="0.4">
      <c r="A384" s="13" t="s">
        <v>361</v>
      </c>
      <c r="B384" s="14">
        <v>1</v>
      </c>
    </row>
    <row r="385" spans="1:2" x14ac:dyDescent="0.4">
      <c r="A385" s="13" t="s">
        <v>87</v>
      </c>
      <c r="B385" s="14">
        <v>1</v>
      </c>
    </row>
    <row r="386" spans="1:2" x14ac:dyDescent="0.4">
      <c r="A386" s="13" t="s">
        <v>84</v>
      </c>
      <c r="B386" s="14">
        <v>1</v>
      </c>
    </row>
    <row r="387" spans="1:2" x14ac:dyDescent="0.4">
      <c r="A387" s="13" t="s">
        <v>60</v>
      </c>
      <c r="B387" s="14">
        <v>1</v>
      </c>
    </row>
    <row r="388" spans="1:2" x14ac:dyDescent="0.4">
      <c r="A388" s="13" t="s">
        <v>292</v>
      </c>
      <c r="B388" s="14">
        <v>1</v>
      </c>
    </row>
    <row r="389" spans="1:2" x14ac:dyDescent="0.4">
      <c r="A389" s="13" t="s">
        <v>126</v>
      </c>
      <c r="B389" s="14">
        <v>1</v>
      </c>
    </row>
    <row r="390" spans="1:2" x14ac:dyDescent="0.4">
      <c r="A390" s="13" t="s">
        <v>442</v>
      </c>
      <c r="B390" s="14">
        <v>1</v>
      </c>
    </row>
    <row r="391" spans="1:2" x14ac:dyDescent="0.4">
      <c r="A391" s="13" t="s">
        <v>237</v>
      </c>
      <c r="B391" s="14">
        <v>1</v>
      </c>
    </row>
    <row r="392" spans="1:2" x14ac:dyDescent="0.4">
      <c r="A392" s="13" t="s">
        <v>271</v>
      </c>
      <c r="B392" s="14">
        <v>1</v>
      </c>
    </row>
    <row r="393" spans="1:2" x14ac:dyDescent="0.4">
      <c r="A393" s="13" t="s">
        <v>65</v>
      </c>
      <c r="B393" s="14">
        <v>1</v>
      </c>
    </row>
    <row r="394" spans="1:2" x14ac:dyDescent="0.4">
      <c r="A394" s="13" t="s">
        <v>278</v>
      </c>
      <c r="B394" s="14">
        <v>2</v>
      </c>
    </row>
    <row r="395" spans="1:2" x14ac:dyDescent="0.4">
      <c r="A395" s="13" t="s">
        <v>404</v>
      </c>
      <c r="B395" s="14">
        <v>1</v>
      </c>
    </row>
    <row r="396" spans="1:2" x14ac:dyDescent="0.4">
      <c r="A396" s="13" t="s">
        <v>45</v>
      </c>
      <c r="B396" s="14">
        <v>2</v>
      </c>
    </row>
    <row r="397" spans="1:2" x14ac:dyDescent="0.4">
      <c r="A397" s="13" t="s">
        <v>75</v>
      </c>
      <c r="B397" s="14">
        <v>1</v>
      </c>
    </row>
    <row r="398" spans="1:2" x14ac:dyDescent="0.4">
      <c r="A398" s="13" t="s">
        <v>207</v>
      </c>
      <c r="B398" s="14">
        <v>1</v>
      </c>
    </row>
    <row r="399" spans="1:2" x14ac:dyDescent="0.4">
      <c r="A399" s="13" t="s">
        <v>93</v>
      </c>
      <c r="B399" s="14">
        <v>1</v>
      </c>
    </row>
    <row r="400" spans="1:2" x14ac:dyDescent="0.4">
      <c r="A400" s="13" t="s">
        <v>265</v>
      </c>
      <c r="B400" s="14">
        <v>1</v>
      </c>
    </row>
    <row r="401" spans="1:2" x14ac:dyDescent="0.4">
      <c r="A401" s="13" t="s">
        <v>231</v>
      </c>
      <c r="B401" s="14">
        <v>3</v>
      </c>
    </row>
    <row r="402" spans="1:2" x14ac:dyDescent="0.4">
      <c r="A402" s="13" t="s">
        <v>190</v>
      </c>
      <c r="B402" s="14">
        <v>1</v>
      </c>
    </row>
    <row r="403" spans="1:2" x14ac:dyDescent="0.4">
      <c r="A403" s="13" t="s">
        <v>236</v>
      </c>
      <c r="B403" s="14">
        <v>1</v>
      </c>
    </row>
    <row r="404" spans="1:2" x14ac:dyDescent="0.4">
      <c r="A404" s="13" t="s">
        <v>240</v>
      </c>
      <c r="B404" s="14">
        <v>1</v>
      </c>
    </row>
    <row r="405" spans="1:2" x14ac:dyDescent="0.4">
      <c r="A405" s="13" t="s">
        <v>336</v>
      </c>
      <c r="B405" s="14">
        <v>1</v>
      </c>
    </row>
    <row r="406" spans="1:2" x14ac:dyDescent="0.4">
      <c r="A406" s="13" t="s">
        <v>324</v>
      </c>
      <c r="B406" s="14">
        <v>1</v>
      </c>
    </row>
    <row r="407" spans="1:2" x14ac:dyDescent="0.4">
      <c r="A407" s="13" t="s">
        <v>246</v>
      </c>
      <c r="B407" s="14">
        <v>1</v>
      </c>
    </row>
    <row r="408" spans="1:2" x14ac:dyDescent="0.4">
      <c r="A408" s="13" t="s">
        <v>8</v>
      </c>
      <c r="B408" s="14">
        <v>1</v>
      </c>
    </row>
    <row r="409" spans="1:2" x14ac:dyDescent="0.4">
      <c r="A409" s="13" t="s">
        <v>345</v>
      </c>
      <c r="B409" s="14">
        <v>1</v>
      </c>
    </row>
    <row r="410" spans="1:2" x14ac:dyDescent="0.4">
      <c r="A410" s="13" t="s">
        <v>216</v>
      </c>
      <c r="B410" s="14">
        <v>1</v>
      </c>
    </row>
    <row r="411" spans="1:2" x14ac:dyDescent="0.4">
      <c r="A411" s="13" t="s">
        <v>379</v>
      </c>
      <c r="B411" s="14">
        <v>1</v>
      </c>
    </row>
    <row r="412" spans="1:2" x14ac:dyDescent="0.4">
      <c r="A412" s="13" t="s">
        <v>68</v>
      </c>
      <c r="B412" s="14">
        <v>1</v>
      </c>
    </row>
    <row r="413" spans="1:2" x14ac:dyDescent="0.4">
      <c r="A413" s="13" t="s">
        <v>409</v>
      </c>
      <c r="B413" s="14">
        <v>1</v>
      </c>
    </row>
    <row r="414" spans="1:2" x14ac:dyDescent="0.4">
      <c r="A414" s="13" t="s">
        <v>386</v>
      </c>
      <c r="B414" s="14">
        <v>1</v>
      </c>
    </row>
    <row r="415" spans="1:2" x14ac:dyDescent="0.4">
      <c r="A415" s="13" t="s">
        <v>301</v>
      </c>
      <c r="B415" s="14">
        <v>1</v>
      </c>
    </row>
    <row r="416" spans="1:2" x14ac:dyDescent="0.4">
      <c r="A416" s="13" t="s">
        <v>74</v>
      </c>
      <c r="B416" s="14">
        <v>1</v>
      </c>
    </row>
    <row r="417" spans="1:2" x14ac:dyDescent="0.4">
      <c r="A417" s="13" t="s">
        <v>428</v>
      </c>
      <c r="B417" s="14">
        <v>1</v>
      </c>
    </row>
    <row r="418" spans="1:2" x14ac:dyDescent="0.4">
      <c r="A418" s="13" t="s">
        <v>79</v>
      </c>
      <c r="B418" s="14">
        <v>1</v>
      </c>
    </row>
    <row r="419" spans="1:2" x14ac:dyDescent="0.4">
      <c r="A419" s="13" t="s">
        <v>241</v>
      </c>
      <c r="B419" s="14">
        <v>1</v>
      </c>
    </row>
    <row r="420" spans="1:2" x14ac:dyDescent="0.4">
      <c r="A420" s="13" t="s">
        <v>59</v>
      </c>
      <c r="B420" s="14">
        <v>2</v>
      </c>
    </row>
    <row r="421" spans="1:2" x14ac:dyDescent="0.4">
      <c r="A421" s="13" t="s">
        <v>416</v>
      </c>
      <c r="B421" s="14">
        <v>1</v>
      </c>
    </row>
    <row r="422" spans="1:2" x14ac:dyDescent="0.4">
      <c r="A422" s="13" t="s">
        <v>94</v>
      </c>
      <c r="B422" s="14">
        <v>1</v>
      </c>
    </row>
    <row r="423" spans="1:2" x14ac:dyDescent="0.4">
      <c r="A423" s="13" t="s">
        <v>15</v>
      </c>
      <c r="B423" s="14">
        <v>1</v>
      </c>
    </row>
    <row r="424" spans="1:2" x14ac:dyDescent="0.4">
      <c r="A424" s="13" t="s">
        <v>39</v>
      </c>
      <c r="B424" s="14">
        <v>1</v>
      </c>
    </row>
    <row r="425" spans="1:2" x14ac:dyDescent="0.4">
      <c r="A425" s="13" t="s">
        <v>339</v>
      </c>
      <c r="B425" s="14">
        <v>1</v>
      </c>
    </row>
    <row r="426" spans="1:2" x14ac:dyDescent="0.4">
      <c r="A426" s="13" t="s">
        <v>247</v>
      </c>
      <c r="B426" s="14">
        <v>1</v>
      </c>
    </row>
    <row r="427" spans="1:2" x14ac:dyDescent="0.4">
      <c r="A427" s="13" t="s">
        <v>341</v>
      </c>
      <c r="B427" s="14">
        <v>1</v>
      </c>
    </row>
    <row r="428" spans="1:2" x14ac:dyDescent="0.4">
      <c r="A428" s="13" t="s">
        <v>249</v>
      </c>
      <c r="B428" s="14">
        <v>1</v>
      </c>
    </row>
    <row r="429" spans="1:2" x14ac:dyDescent="0.4">
      <c r="A429" s="13" t="s">
        <v>180</v>
      </c>
      <c r="B429" s="14">
        <v>2</v>
      </c>
    </row>
    <row r="430" spans="1:2" x14ac:dyDescent="0.4">
      <c r="A430" s="13" t="s">
        <v>312</v>
      </c>
      <c r="B430" s="14">
        <v>1</v>
      </c>
    </row>
    <row r="431" spans="1:2" x14ac:dyDescent="0.4">
      <c r="A431" s="13" t="s">
        <v>318</v>
      </c>
      <c r="B431" s="14">
        <v>1</v>
      </c>
    </row>
    <row r="432" spans="1:2" x14ac:dyDescent="0.4">
      <c r="A432" s="13" t="s">
        <v>23</v>
      </c>
      <c r="B432" s="14">
        <v>1</v>
      </c>
    </row>
    <row r="433" spans="1:2" x14ac:dyDescent="0.4">
      <c r="A433" s="13" t="s">
        <v>204</v>
      </c>
      <c r="B433" s="14">
        <v>1</v>
      </c>
    </row>
    <row r="434" spans="1:2" x14ac:dyDescent="0.4">
      <c r="A434" s="13" t="s">
        <v>397</v>
      </c>
      <c r="B434" s="14">
        <v>1</v>
      </c>
    </row>
    <row r="435" spans="1:2" x14ac:dyDescent="0.4">
      <c r="A435" s="13" t="s">
        <v>187</v>
      </c>
      <c r="B435" s="14">
        <v>3</v>
      </c>
    </row>
    <row r="436" spans="1:2" x14ac:dyDescent="0.4">
      <c r="A436" s="13" t="s">
        <v>133</v>
      </c>
      <c r="B436" s="14">
        <v>3</v>
      </c>
    </row>
    <row r="437" spans="1:2" x14ac:dyDescent="0.4">
      <c r="A437" s="13" t="s">
        <v>317</v>
      </c>
      <c r="B437" s="14">
        <v>1</v>
      </c>
    </row>
    <row r="438" spans="1:2" x14ac:dyDescent="0.4">
      <c r="A438" s="13" t="s">
        <v>113</v>
      </c>
      <c r="B438" s="14">
        <v>2</v>
      </c>
    </row>
    <row r="439" spans="1:2" x14ac:dyDescent="0.4">
      <c r="A439" s="13" t="s">
        <v>108</v>
      </c>
      <c r="B439" s="14">
        <v>3</v>
      </c>
    </row>
    <row r="440" spans="1:2" x14ac:dyDescent="0.4">
      <c r="A440" s="13" t="s">
        <v>127</v>
      </c>
      <c r="B440" s="14">
        <v>1</v>
      </c>
    </row>
    <row r="441" spans="1:2" x14ac:dyDescent="0.4">
      <c r="A441" s="13" t="s">
        <v>111</v>
      </c>
      <c r="B441" s="14">
        <v>2</v>
      </c>
    </row>
    <row r="442" spans="1:2" x14ac:dyDescent="0.4">
      <c r="A442" s="13" t="s">
        <v>114</v>
      </c>
      <c r="B442" s="14">
        <v>2</v>
      </c>
    </row>
    <row r="443" spans="1:2" x14ac:dyDescent="0.4">
      <c r="A443" s="13" t="s">
        <v>316</v>
      </c>
      <c r="B443" s="14">
        <v>1</v>
      </c>
    </row>
    <row r="444" spans="1:2" x14ac:dyDescent="0.4">
      <c r="A444" s="13" t="s">
        <v>206</v>
      </c>
      <c r="B444" s="14">
        <v>1</v>
      </c>
    </row>
    <row r="445" spans="1:2" x14ac:dyDescent="0.4">
      <c r="A445" s="13" t="s">
        <v>373</v>
      </c>
      <c r="B445" s="14">
        <v>1</v>
      </c>
    </row>
    <row r="446" spans="1:2" x14ac:dyDescent="0.4">
      <c r="A446" s="13" t="s">
        <v>210</v>
      </c>
      <c r="B446" s="14">
        <v>1</v>
      </c>
    </row>
    <row r="447" spans="1:2" x14ac:dyDescent="0.4">
      <c r="A447" s="13" t="s">
        <v>298</v>
      </c>
      <c r="B447" s="14">
        <v>1</v>
      </c>
    </row>
    <row r="448" spans="1:2" x14ac:dyDescent="0.4">
      <c r="A448" s="13" t="s">
        <v>460</v>
      </c>
      <c r="B448" s="14">
        <v>1</v>
      </c>
    </row>
    <row r="449" spans="1:2" x14ac:dyDescent="0.4">
      <c r="A449" s="13" t="s">
        <v>366</v>
      </c>
      <c r="B449" s="14">
        <v>1</v>
      </c>
    </row>
    <row r="450" spans="1:2" x14ac:dyDescent="0.4">
      <c r="A450" s="13" t="s">
        <v>464</v>
      </c>
      <c r="B450" s="14">
        <v>1</v>
      </c>
    </row>
    <row r="451" spans="1:2" x14ac:dyDescent="0.4">
      <c r="A451" s="13" t="s">
        <v>50</v>
      </c>
      <c r="B451" s="14">
        <v>2</v>
      </c>
    </row>
    <row r="452" spans="1:2" x14ac:dyDescent="0.4">
      <c r="A452" s="13" t="s">
        <v>453</v>
      </c>
      <c r="B452" s="14">
        <v>1</v>
      </c>
    </row>
    <row r="453" spans="1:2" x14ac:dyDescent="0.4">
      <c r="A453" s="13" t="s">
        <v>459</v>
      </c>
      <c r="B453" s="14">
        <v>1</v>
      </c>
    </row>
    <row r="454" spans="1:2" x14ac:dyDescent="0.4">
      <c r="A454" s="13" t="s">
        <v>13</v>
      </c>
      <c r="B454" s="14">
        <v>3</v>
      </c>
    </row>
    <row r="455" spans="1:2" x14ac:dyDescent="0.4">
      <c r="A455" s="13" t="s">
        <v>195</v>
      </c>
      <c r="B455" s="14">
        <v>1</v>
      </c>
    </row>
    <row r="456" spans="1:2" x14ac:dyDescent="0.4">
      <c r="A456" s="13" t="s">
        <v>371</v>
      </c>
      <c r="B456" s="14">
        <v>1</v>
      </c>
    </row>
    <row r="457" spans="1:2" x14ac:dyDescent="0.4">
      <c r="A457" s="13" t="s">
        <v>340</v>
      </c>
      <c r="B457" s="14">
        <v>1</v>
      </c>
    </row>
    <row r="458" spans="1:2" x14ac:dyDescent="0.4">
      <c r="A458" s="13" t="s">
        <v>24</v>
      </c>
      <c r="B458" s="14">
        <v>3</v>
      </c>
    </row>
    <row r="459" spans="1:2" x14ac:dyDescent="0.4">
      <c r="A459" s="13" t="s">
        <v>369</v>
      </c>
      <c r="B459" s="14">
        <v>1</v>
      </c>
    </row>
    <row r="460" spans="1:2" x14ac:dyDescent="0.4">
      <c r="A460" s="13" t="s">
        <v>334</v>
      </c>
      <c r="B460" s="14">
        <v>1</v>
      </c>
    </row>
    <row r="461" spans="1:2" x14ac:dyDescent="0.4">
      <c r="A461" s="13" t="s">
        <v>259</v>
      </c>
      <c r="B461" s="14">
        <v>1</v>
      </c>
    </row>
    <row r="462" spans="1:2" x14ac:dyDescent="0.4">
      <c r="A462" s="13" t="s">
        <v>12</v>
      </c>
      <c r="B462" s="14">
        <v>1</v>
      </c>
    </row>
    <row r="463" spans="1:2" x14ac:dyDescent="0.4">
      <c r="A463" s="13" t="s">
        <v>76</v>
      </c>
      <c r="B463" s="14">
        <v>1</v>
      </c>
    </row>
    <row r="464" spans="1:2" x14ac:dyDescent="0.4">
      <c r="A464" s="13" t="s">
        <v>456</v>
      </c>
      <c r="B464" s="14">
        <v>1</v>
      </c>
    </row>
    <row r="465" spans="1:2" x14ac:dyDescent="0.4">
      <c r="A465" s="13" t="s">
        <v>470</v>
      </c>
      <c r="B465" s="14">
        <v>600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9"/>
  <sheetViews>
    <sheetView workbookViewId="0">
      <selection activeCell="F12" sqref="F12"/>
    </sheetView>
  </sheetViews>
  <sheetFormatPr defaultRowHeight="14.6" x14ac:dyDescent="0.4"/>
  <sheetData>
    <row r="1" spans="1:7" x14ac:dyDescent="0.4">
      <c r="A1" s="7" t="s">
        <v>100</v>
      </c>
      <c r="B1" s="7" t="s">
        <v>101</v>
      </c>
      <c r="C1" s="9" t="s">
        <v>102</v>
      </c>
      <c r="D1" s="9" t="s">
        <v>103</v>
      </c>
      <c r="E1" s="7" t="s">
        <v>104</v>
      </c>
      <c r="F1" s="7" t="s">
        <v>105</v>
      </c>
      <c r="G1" s="8" t="s">
        <v>106</v>
      </c>
    </row>
    <row r="2" spans="1:7" x14ac:dyDescent="0.4">
      <c r="A2" s="1">
        <v>1</v>
      </c>
      <c r="B2" t="s">
        <v>0</v>
      </c>
      <c r="C2" s="10">
        <v>10.25</v>
      </c>
      <c r="D2" s="10">
        <v>3.1</v>
      </c>
      <c r="E2" s="4">
        <v>43.36</v>
      </c>
      <c r="F2" s="5">
        <v>197131</v>
      </c>
      <c r="G2" s="6" t="s">
        <v>107</v>
      </c>
    </row>
    <row r="3" spans="1:7" x14ac:dyDescent="0.4">
      <c r="A3" s="1">
        <v>2</v>
      </c>
      <c r="B3" t="s">
        <v>1</v>
      </c>
      <c r="C3" s="10">
        <v>5.25</v>
      </c>
      <c r="D3" s="10">
        <v>1.4</v>
      </c>
      <c r="E3" s="4">
        <v>36.36</v>
      </c>
      <c r="F3" s="5">
        <v>201412</v>
      </c>
      <c r="G3" s="6" t="s">
        <v>107</v>
      </c>
    </row>
    <row r="4" spans="1:7" x14ac:dyDescent="0.4">
      <c r="A4" s="1">
        <v>3</v>
      </c>
      <c r="B4" t="s">
        <v>2</v>
      </c>
      <c r="C4" s="10">
        <v>4.03</v>
      </c>
      <c r="D4" s="10">
        <v>1.04</v>
      </c>
      <c r="E4" s="4">
        <v>34.78</v>
      </c>
      <c r="F4" s="5">
        <v>4348632</v>
      </c>
      <c r="G4" s="6" t="s">
        <v>107</v>
      </c>
    </row>
    <row r="5" spans="1:7" x14ac:dyDescent="0.4">
      <c r="A5" s="1">
        <v>4</v>
      </c>
      <c r="B5" t="s">
        <v>3</v>
      </c>
      <c r="C5" s="10">
        <v>6.19</v>
      </c>
      <c r="D5" s="10">
        <v>1.53</v>
      </c>
      <c r="E5" s="4">
        <v>32.83</v>
      </c>
      <c r="F5" s="5">
        <v>138297</v>
      </c>
      <c r="G5" s="6" t="s">
        <v>107</v>
      </c>
    </row>
    <row r="6" spans="1:7" x14ac:dyDescent="0.4">
      <c r="A6" s="1">
        <v>5</v>
      </c>
      <c r="B6" t="s">
        <v>4</v>
      </c>
      <c r="C6" s="10">
        <v>30</v>
      </c>
      <c r="D6" s="10">
        <v>5.95</v>
      </c>
      <c r="E6" s="4">
        <v>24.74</v>
      </c>
      <c r="F6" s="5">
        <v>3345036</v>
      </c>
      <c r="G6" s="6" t="s">
        <v>107</v>
      </c>
    </row>
    <row r="7" spans="1:7" x14ac:dyDescent="0.4">
      <c r="A7" s="1">
        <v>6</v>
      </c>
      <c r="B7" t="s">
        <v>5</v>
      </c>
      <c r="C7" s="10">
        <v>9</v>
      </c>
      <c r="D7" s="10">
        <v>1.6</v>
      </c>
      <c r="E7" s="4">
        <v>21.62</v>
      </c>
      <c r="F7" s="5">
        <v>5980</v>
      </c>
      <c r="G7" s="6" t="s">
        <v>107</v>
      </c>
    </row>
    <row r="8" spans="1:7" x14ac:dyDescent="0.4">
      <c r="A8" s="1">
        <v>7</v>
      </c>
      <c r="B8" t="s">
        <v>6</v>
      </c>
      <c r="C8" s="10">
        <v>51.65</v>
      </c>
      <c r="D8" s="10">
        <v>9.0500000000000007</v>
      </c>
      <c r="E8" s="4">
        <v>21.24</v>
      </c>
      <c r="F8" s="5">
        <v>9745776</v>
      </c>
      <c r="G8" s="6" t="s">
        <v>107</v>
      </c>
    </row>
    <row r="9" spans="1:7" x14ac:dyDescent="0.4">
      <c r="A9" s="1">
        <v>8</v>
      </c>
      <c r="B9" t="s">
        <v>7</v>
      </c>
      <c r="C9" s="10">
        <v>12.95</v>
      </c>
      <c r="D9" s="10">
        <v>2.25</v>
      </c>
      <c r="E9" s="4">
        <v>21.03</v>
      </c>
      <c r="F9" s="5">
        <v>2722265</v>
      </c>
      <c r="G9" s="6" t="s">
        <v>107</v>
      </c>
    </row>
    <row r="10" spans="1:7" x14ac:dyDescent="0.4">
      <c r="A10" s="1">
        <v>9</v>
      </c>
      <c r="B10" t="s">
        <v>8</v>
      </c>
      <c r="C10" s="10">
        <v>4.34</v>
      </c>
      <c r="D10" s="10">
        <v>0.75</v>
      </c>
      <c r="E10" s="4">
        <v>20.89</v>
      </c>
      <c r="F10" s="5">
        <v>367931</v>
      </c>
      <c r="G10" s="6" t="s">
        <v>107</v>
      </c>
    </row>
    <row r="11" spans="1:7" x14ac:dyDescent="0.4">
      <c r="A11" s="1">
        <v>10</v>
      </c>
      <c r="B11" t="s">
        <v>9</v>
      </c>
      <c r="C11" s="10">
        <v>6.83</v>
      </c>
      <c r="D11" s="10">
        <v>1.18</v>
      </c>
      <c r="E11" s="4">
        <v>20.88</v>
      </c>
      <c r="F11" s="5">
        <v>19314646</v>
      </c>
      <c r="G11" s="6" t="s">
        <v>107</v>
      </c>
    </row>
    <row r="12" spans="1:7" x14ac:dyDescent="0.4">
      <c r="A12" s="1">
        <v>11</v>
      </c>
      <c r="B12" t="s">
        <v>10</v>
      </c>
      <c r="C12" s="10">
        <v>10.8</v>
      </c>
      <c r="D12" s="10">
        <v>1.8</v>
      </c>
      <c r="E12" s="4">
        <v>20</v>
      </c>
      <c r="F12" s="5"/>
      <c r="G12" s="6" t="s">
        <v>107</v>
      </c>
    </row>
    <row r="13" spans="1:7" x14ac:dyDescent="0.4">
      <c r="A13" s="1">
        <v>12</v>
      </c>
      <c r="B13" t="s">
        <v>11</v>
      </c>
      <c r="C13" s="10">
        <v>6.96</v>
      </c>
      <c r="D13" s="10">
        <v>1.02</v>
      </c>
      <c r="E13" s="4">
        <v>17.170000000000002</v>
      </c>
      <c r="F13" s="5">
        <v>982829</v>
      </c>
      <c r="G13" s="6" t="s">
        <v>107</v>
      </c>
    </row>
    <row r="14" spans="1:7" x14ac:dyDescent="0.4">
      <c r="A14" s="1">
        <v>13</v>
      </c>
      <c r="B14" t="s">
        <v>12</v>
      </c>
      <c r="C14" s="10">
        <v>4.01</v>
      </c>
      <c r="D14" s="10">
        <v>0.55000000000000004</v>
      </c>
      <c r="E14" s="4">
        <v>15.9</v>
      </c>
      <c r="F14" s="5">
        <v>2939738</v>
      </c>
      <c r="G14" s="6" t="s">
        <v>107</v>
      </c>
    </row>
    <row r="15" spans="1:7" x14ac:dyDescent="0.4">
      <c r="A15" s="1">
        <v>14</v>
      </c>
      <c r="B15" t="s">
        <v>13</v>
      </c>
      <c r="C15" s="10">
        <v>3.3</v>
      </c>
      <c r="D15" s="10">
        <v>0.45</v>
      </c>
      <c r="E15" s="4">
        <v>15.79</v>
      </c>
      <c r="F15" s="5">
        <v>23897</v>
      </c>
      <c r="G15" s="6" t="s">
        <v>107</v>
      </c>
    </row>
    <row r="16" spans="1:7" x14ac:dyDescent="0.4">
      <c r="A16" s="1">
        <v>15</v>
      </c>
      <c r="B16" t="s">
        <v>14</v>
      </c>
      <c r="C16" s="10">
        <v>16.28</v>
      </c>
      <c r="D16" s="10">
        <v>2.19</v>
      </c>
      <c r="E16" s="4">
        <v>15.54</v>
      </c>
      <c r="F16" s="5">
        <v>10057461</v>
      </c>
      <c r="G16" s="6" t="s">
        <v>107</v>
      </c>
    </row>
    <row r="17" spans="1:7" x14ac:dyDescent="0.4">
      <c r="A17" s="1">
        <v>16</v>
      </c>
      <c r="B17" t="s">
        <v>15</v>
      </c>
      <c r="C17" s="10">
        <v>40.840000000000003</v>
      </c>
      <c r="D17" s="10">
        <v>5.22</v>
      </c>
      <c r="E17" s="4">
        <v>14.65</v>
      </c>
      <c r="F17" s="5">
        <v>11458193</v>
      </c>
      <c r="G17" s="6" t="s">
        <v>107</v>
      </c>
    </row>
    <row r="18" spans="1:7" x14ac:dyDescent="0.4">
      <c r="A18" s="1">
        <v>17</v>
      </c>
      <c r="B18" t="s">
        <v>16</v>
      </c>
      <c r="C18" s="10">
        <v>10.75</v>
      </c>
      <c r="D18" s="10">
        <v>1.3</v>
      </c>
      <c r="E18" s="4">
        <v>13.76</v>
      </c>
      <c r="F18" s="5">
        <v>553281</v>
      </c>
      <c r="G18" s="6" t="s">
        <v>107</v>
      </c>
    </row>
    <row r="19" spans="1:7" x14ac:dyDescent="0.4">
      <c r="A19" s="1">
        <v>18</v>
      </c>
      <c r="B19" t="s">
        <v>17</v>
      </c>
      <c r="C19" s="10">
        <v>12</v>
      </c>
      <c r="D19" s="10">
        <v>1.44</v>
      </c>
      <c r="E19" s="4">
        <v>13.59</v>
      </c>
      <c r="F19" s="5">
        <v>26763</v>
      </c>
      <c r="G19" s="6" t="s">
        <v>107</v>
      </c>
    </row>
    <row r="20" spans="1:7" x14ac:dyDescent="0.4">
      <c r="A20" s="1">
        <v>19</v>
      </c>
      <c r="B20" t="s">
        <v>18</v>
      </c>
      <c r="C20" s="10">
        <v>34.74</v>
      </c>
      <c r="D20" s="10">
        <v>4.03</v>
      </c>
      <c r="E20" s="4">
        <v>13.12</v>
      </c>
      <c r="F20" s="5">
        <v>116691</v>
      </c>
      <c r="G20" s="6" t="s">
        <v>107</v>
      </c>
    </row>
    <row r="21" spans="1:7" x14ac:dyDescent="0.4">
      <c r="A21" s="1">
        <v>20</v>
      </c>
      <c r="B21" t="s">
        <v>19</v>
      </c>
      <c r="C21" s="10">
        <v>15.11</v>
      </c>
      <c r="D21" s="10">
        <v>1.75</v>
      </c>
      <c r="E21" s="4">
        <v>13.1</v>
      </c>
      <c r="F21" s="5">
        <v>1300766</v>
      </c>
      <c r="G21" s="6" t="s">
        <v>107</v>
      </c>
    </row>
    <row r="22" spans="1:7" x14ac:dyDescent="0.4">
      <c r="A22" s="1">
        <v>21</v>
      </c>
      <c r="B22" t="s">
        <v>20</v>
      </c>
      <c r="C22" s="10">
        <v>5.83</v>
      </c>
      <c r="D22" s="10">
        <v>0.67</v>
      </c>
      <c r="E22" s="4">
        <v>12.98</v>
      </c>
      <c r="F22" s="5">
        <v>1934098</v>
      </c>
      <c r="G22" s="6" t="s">
        <v>107</v>
      </c>
    </row>
    <row r="23" spans="1:7" x14ac:dyDescent="0.4">
      <c r="A23" s="1">
        <v>22</v>
      </c>
      <c r="B23" t="s">
        <v>21</v>
      </c>
      <c r="C23" s="10">
        <v>2.89</v>
      </c>
      <c r="D23" s="10">
        <v>0.33</v>
      </c>
      <c r="E23" s="4">
        <v>12.89</v>
      </c>
      <c r="F23" s="5">
        <v>6110467</v>
      </c>
      <c r="G23" s="6" t="s">
        <v>107</v>
      </c>
    </row>
    <row r="24" spans="1:7" x14ac:dyDescent="0.4">
      <c r="A24" s="1">
        <v>23</v>
      </c>
      <c r="B24" t="s">
        <v>22</v>
      </c>
      <c r="C24" s="10">
        <v>36.35</v>
      </c>
      <c r="D24" s="10">
        <v>4.1500000000000004</v>
      </c>
      <c r="E24" s="4">
        <v>12.89</v>
      </c>
      <c r="F24" s="5">
        <v>156177</v>
      </c>
      <c r="G24" s="6" t="s">
        <v>107</v>
      </c>
    </row>
    <row r="25" spans="1:7" x14ac:dyDescent="0.4">
      <c r="A25" s="1">
        <v>24</v>
      </c>
      <c r="B25" t="s">
        <v>23</v>
      </c>
      <c r="C25" s="10">
        <v>51</v>
      </c>
      <c r="D25" s="10">
        <v>5.78</v>
      </c>
      <c r="E25" s="4">
        <v>12.78</v>
      </c>
      <c r="F25" s="5">
        <v>209395</v>
      </c>
      <c r="G25" s="6" t="s">
        <v>107</v>
      </c>
    </row>
    <row r="26" spans="1:7" x14ac:dyDescent="0.4">
      <c r="A26" s="1">
        <v>25</v>
      </c>
      <c r="B26" t="s">
        <v>24</v>
      </c>
      <c r="C26" s="10">
        <v>8.41</v>
      </c>
      <c r="D26" s="10">
        <v>0.95</v>
      </c>
      <c r="E26" s="4">
        <v>12.73</v>
      </c>
      <c r="F26" s="5">
        <v>449050</v>
      </c>
      <c r="G26" s="6" t="s">
        <v>107</v>
      </c>
    </row>
    <row r="27" spans="1:7" x14ac:dyDescent="0.4">
      <c r="A27" s="1">
        <v>26</v>
      </c>
      <c r="B27" t="s">
        <v>25</v>
      </c>
      <c r="C27" s="10">
        <v>3.5</v>
      </c>
      <c r="D27" s="10">
        <v>0.38</v>
      </c>
      <c r="E27" s="4">
        <v>12.18</v>
      </c>
      <c r="F27" s="5">
        <v>3640</v>
      </c>
      <c r="G27" s="6" t="s">
        <v>107</v>
      </c>
    </row>
    <row r="28" spans="1:7" x14ac:dyDescent="0.4">
      <c r="A28" s="1">
        <v>27</v>
      </c>
      <c r="B28" t="s">
        <v>26</v>
      </c>
      <c r="C28" s="10">
        <v>22.03</v>
      </c>
      <c r="D28" s="10">
        <v>2.37</v>
      </c>
      <c r="E28" s="4">
        <v>12.05</v>
      </c>
      <c r="F28" s="5">
        <v>2956879</v>
      </c>
      <c r="G28" s="6" t="s">
        <v>107</v>
      </c>
    </row>
    <row r="29" spans="1:7" x14ac:dyDescent="0.4">
      <c r="A29" s="1">
        <v>28</v>
      </c>
      <c r="B29" t="s">
        <v>27</v>
      </c>
      <c r="C29" s="10">
        <v>60.49</v>
      </c>
      <c r="D29" s="10">
        <v>6.43</v>
      </c>
      <c r="E29" s="4">
        <v>11.89</v>
      </c>
      <c r="F29" s="5">
        <v>38203</v>
      </c>
      <c r="G29" s="6" t="s">
        <v>107</v>
      </c>
    </row>
    <row r="30" spans="1:7" x14ac:dyDescent="0.4">
      <c r="A30" s="1">
        <v>29</v>
      </c>
      <c r="B30" t="s">
        <v>28</v>
      </c>
      <c r="C30" s="10">
        <v>8.2100000000000009</v>
      </c>
      <c r="D30" s="10">
        <v>0.87</v>
      </c>
      <c r="E30" s="4">
        <v>11.85</v>
      </c>
      <c r="F30" s="5">
        <v>2974383</v>
      </c>
      <c r="G30" s="6" t="s">
        <v>107</v>
      </c>
    </row>
    <row r="31" spans="1:7" x14ac:dyDescent="0.4">
      <c r="A31" s="1">
        <v>30</v>
      </c>
      <c r="B31" t="s">
        <v>29</v>
      </c>
      <c r="C31" s="10">
        <v>53.98</v>
      </c>
      <c r="D31" s="10">
        <v>5.59</v>
      </c>
      <c r="E31" s="4">
        <v>11.55</v>
      </c>
      <c r="F31" s="5">
        <v>572974</v>
      </c>
      <c r="G31" s="6" t="s">
        <v>107</v>
      </c>
    </row>
    <row r="32" spans="1:7" x14ac:dyDescent="0.4">
      <c r="A32" s="1">
        <v>31</v>
      </c>
      <c r="B32" t="s">
        <v>30</v>
      </c>
      <c r="C32" s="10">
        <v>6.96</v>
      </c>
      <c r="D32" s="10">
        <v>0.72</v>
      </c>
      <c r="E32" s="4">
        <v>11.54</v>
      </c>
      <c r="F32" s="5">
        <v>442431</v>
      </c>
      <c r="G32" s="6" t="s">
        <v>107</v>
      </c>
    </row>
    <row r="33" spans="1:7" x14ac:dyDescent="0.4">
      <c r="A33" s="1">
        <v>32</v>
      </c>
      <c r="B33" t="s">
        <v>31</v>
      </c>
      <c r="C33" s="10">
        <v>12.49</v>
      </c>
      <c r="D33" s="10">
        <v>1.29</v>
      </c>
      <c r="E33" s="4">
        <v>11.52</v>
      </c>
      <c r="F33" s="5">
        <v>508840</v>
      </c>
      <c r="G33" s="6" t="s">
        <v>107</v>
      </c>
    </row>
    <row r="34" spans="1:7" x14ac:dyDescent="0.4">
      <c r="A34" s="1">
        <v>33</v>
      </c>
      <c r="B34" t="s">
        <v>32</v>
      </c>
      <c r="C34" s="10">
        <v>12.21</v>
      </c>
      <c r="D34" s="10">
        <v>1.26</v>
      </c>
      <c r="E34" s="4">
        <v>11.51</v>
      </c>
      <c r="F34" s="5">
        <v>18627</v>
      </c>
      <c r="G34" s="6" t="s">
        <v>107</v>
      </c>
    </row>
    <row r="35" spans="1:7" x14ac:dyDescent="0.4">
      <c r="A35" s="1">
        <v>34</v>
      </c>
      <c r="B35" t="s">
        <v>33</v>
      </c>
      <c r="C35" s="10">
        <v>15.61</v>
      </c>
      <c r="D35" s="10">
        <v>1.61</v>
      </c>
      <c r="E35" s="4">
        <v>11.5</v>
      </c>
      <c r="F35" s="5">
        <v>545829</v>
      </c>
      <c r="G35" s="6" t="s">
        <v>107</v>
      </c>
    </row>
    <row r="36" spans="1:7" x14ac:dyDescent="0.4">
      <c r="A36" s="1">
        <v>35</v>
      </c>
      <c r="B36" t="s">
        <v>34</v>
      </c>
      <c r="C36" s="10">
        <v>43.88</v>
      </c>
      <c r="D36" s="10">
        <v>4.4800000000000004</v>
      </c>
      <c r="E36" s="4">
        <v>11.37</v>
      </c>
      <c r="F36" s="5">
        <v>66024556</v>
      </c>
      <c r="G36" s="6" t="s">
        <v>107</v>
      </c>
    </row>
    <row r="37" spans="1:7" x14ac:dyDescent="0.4">
      <c r="A37" s="1">
        <v>36</v>
      </c>
      <c r="B37" t="s">
        <v>35</v>
      </c>
      <c r="C37" s="10">
        <v>32.090000000000003</v>
      </c>
      <c r="D37" s="10">
        <v>3.27</v>
      </c>
      <c r="E37" s="4">
        <v>11.35</v>
      </c>
      <c r="F37" s="5">
        <v>2317148</v>
      </c>
      <c r="G37" s="6" t="s">
        <v>107</v>
      </c>
    </row>
    <row r="38" spans="1:7" x14ac:dyDescent="0.4">
      <c r="A38" s="1">
        <v>37</v>
      </c>
      <c r="B38" t="s">
        <v>36</v>
      </c>
      <c r="C38" s="10">
        <v>3.7</v>
      </c>
      <c r="D38" s="10">
        <v>0.37</v>
      </c>
      <c r="E38" s="4">
        <v>11.22</v>
      </c>
      <c r="F38" s="5">
        <v>28195</v>
      </c>
      <c r="G38" s="6" t="s">
        <v>107</v>
      </c>
    </row>
    <row r="39" spans="1:7" x14ac:dyDescent="0.4">
      <c r="A39" s="1">
        <v>38</v>
      </c>
      <c r="B39" t="s">
        <v>37</v>
      </c>
      <c r="C39" s="10">
        <v>32.78</v>
      </c>
      <c r="D39" s="10">
        <v>3.28</v>
      </c>
      <c r="E39" s="4">
        <v>11.12</v>
      </c>
      <c r="F39" s="5">
        <v>203788</v>
      </c>
      <c r="G39" s="6" t="s">
        <v>107</v>
      </c>
    </row>
    <row r="40" spans="1:7" x14ac:dyDescent="0.4">
      <c r="A40" s="1">
        <v>39</v>
      </c>
      <c r="B40" t="s">
        <v>38</v>
      </c>
      <c r="C40" s="10">
        <v>55</v>
      </c>
      <c r="D40" s="10">
        <v>5.5</v>
      </c>
      <c r="E40" s="4">
        <v>11.11</v>
      </c>
      <c r="F40" s="5">
        <v>4841277</v>
      </c>
      <c r="G40" s="6" t="s">
        <v>107</v>
      </c>
    </row>
    <row r="41" spans="1:7" x14ac:dyDescent="0.4">
      <c r="A41" s="1">
        <v>40</v>
      </c>
      <c r="B41" t="s">
        <v>39</v>
      </c>
      <c r="C41" s="10">
        <v>33.33</v>
      </c>
      <c r="D41" s="10">
        <v>3.3</v>
      </c>
      <c r="E41" s="4">
        <v>10.99</v>
      </c>
      <c r="F41" s="5">
        <v>1167037</v>
      </c>
      <c r="G41" s="6" t="s">
        <v>107</v>
      </c>
    </row>
    <row r="42" spans="1:7" x14ac:dyDescent="0.4">
      <c r="A42" s="1">
        <v>41</v>
      </c>
      <c r="B42" t="s">
        <v>40</v>
      </c>
      <c r="C42" s="10">
        <v>6.6</v>
      </c>
      <c r="D42" s="10">
        <v>0.65</v>
      </c>
      <c r="E42" s="4">
        <v>10.92</v>
      </c>
      <c r="F42" s="5">
        <v>133286</v>
      </c>
      <c r="G42" s="6" t="s">
        <v>107</v>
      </c>
    </row>
    <row r="43" spans="1:7" x14ac:dyDescent="0.4">
      <c r="A43" s="1">
        <v>42</v>
      </c>
      <c r="B43" t="s">
        <v>41</v>
      </c>
      <c r="C43" s="10">
        <v>6.34</v>
      </c>
      <c r="D43" s="10">
        <v>0.62</v>
      </c>
      <c r="E43" s="4">
        <v>10.87</v>
      </c>
      <c r="F43" s="5">
        <v>75053</v>
      </c>
      <c r="G43" s="6" t="s">
        <v>107</v>
      </c>
    </row>
    <row r="44" spans="1:7" x14ac:dyDescent="0.4">
      <c r="A44" s="1">
        <v>43</v>
      </c>
      <c r="B44" t="s">
        <v>42</v>
      </c>
      <c r="C44" s="10">
        <v>74.84</v>
      </c>
      <c r="D44" s="10">
        <v>7.27</v>
      </c>
      <c r="E44" s="4">
        <v>10.76</v>
      </c>
      <c r="F44" s="5">
        <v>196025</v>
      </c>
      <c r="G44" s="6" t="s">
        <v>107</v>
      </c>
    </row>
    <row r="45" spans="1:7" x14ac:dyDescent="0.4">
      <c r="A45" s="1">
        <v>44</v>
      </c>
      <c r="B45" t="s">
        <v>43</v>
      </c>
      <c r="C45" s="10">
        <v>29.9</v>
      </c>
      <c r="D45" s="10">
        <v>2.9</v>
      </c>
      <c r="E45" s="4">
        <v>10.74</v>
      </c>
      <c r="F45" s="5">
        <v>846996</v>
      </c>
      <c r="G45" s="6" t="s">
        <v>107</v>
      </c>
    </row>
    <row r="46" spans="1:7" x14ac:dyDescent="0.4">
      <c r="A46" s="1">
        <v>45</v>
      </c>
      <c r="B46" t="s">
        <v>44</v>
      </c>
      <c r="C46" s="10">
        <v>35.5</v>
      </c>
      <c r="D46" s="10">
        <v>3.44</v>
      </c>
      <c r="E46" s="4">
        <v>10.73</v>
      </c>
      <c r="F46" s="5">
        <v>210925</v>
      </c>
      <c r="G46" s="6" t="s">
        <v>107</v>
      </c>
    </row>
    <row r="47" spans="1:7" x14ac:dyDescent="0.4">
      <c r="A47" s="1">
        <v>46</v>
      </c>
      <c r="B47" t="s">
        <v>45</v>
      </c>
      <c r="C47" s="10">
        <v>104.56</v>
      </c>
      <c r="D47" s="10">
        <v>9.8800000000000008</v>
      </c>
      <c r="E47" s="4">
        <v>10.44</v>
      </c>
      <c r="F47" s="5">
        <v>8476242</v>
      </c>
      <c r="G47" s="6" t="s">
        <v>107</v>
      </c>
    </row>
    <row r="48" spans="1:7" x14ac:dyDescent="0.4">
      <c r="A48" s="1">
        <v>47</v>
      </c>
      <c r="B48" t="s">
        <v>46</v>
      </c>
      <c r="C48" s="10">
        <v>42.38</v>
      </c>
      <c r="D48" s="10">
        <v>3.99</v>
      </c>
      <c r="E48" s="4">
        <v>10.39</v>
      </c>
      <c r="F48" s="5">
        <v>90035</v>
      </c>
      <c r="G48" s="6" t="s">
        <v>107</v>
      </c>
    </row>
    <row r="49" spans="1:7" x14ac:dyDescent="0.4">
      <c r="A49" s="1">
        <v>48</v>
      </c>
      <c r="B49" t="s">
        <v>47</v>
      </c>
      <c r="C49" s="10">
        <v>23.8</v>
      </c>
      <c r="D49" s="10">
        <v>2.23</v>
      </c>
      <c r="E49" s="4">
        <v>10.34</v>
      </c>
      <c r="F49" s="5">
        <v>947053</v>
      </c>
      <c r="G49" s="6" t="s">
        <v>107</v>
      </c>
    </row>
    <row r="50" spans="1:7" x14ac:dyDescent="0.4">
      <c r="A50" s="1">
        <v>49</v>
      </c>
      <c r="B50" t="s">
        <v>48</v>
      </c>
      <c r="C50" s="10">
        <v>98.22</v>
      </c>
      <c r="D50" s="10">
        <v>9.1999999999999993</v>
      </c>
      <c r="E50" s="4">
        <v>10.33</v>
      </c>
      <c r="F50" s="5">
        <v>151391</v>
      </c>
      <c r="G50" s="6" t="s">
        <v>107</v>
      </c>
    </row>
    <row r="51" spans="1:7" x14ac:dyDescent="0.4">
      <c r="A51" s="1">
        <v>50</v>
      </c>
      <c r="B51" t="s">
        <v>49</v>
      </c>
      <c r="C51" s="10">
        <v>150</v>
      </c>
      <c r="D51" s="10">
        <v>13.98</v>
      </c>
      <c r="E51" s="4">
        <v>10.28</v>
      </c>
      <c r="F51" s="5">
        <v>1368906</v>
      </c>
      <c r="G51" s="6" t="s">
        <v>107</v>
      </c>
    </row>
    <row r="52" spans="1:7" x14ac:dyDescent="0.4">
      <c r="A52" s="1">
        <v>51</v>
      </c>
      <c r="B52" t="s">
        <v>50</v>
      </c>
      <c r="C52" s="10">
        <v>2.92</v>
      </c>
      <c r="D52" s="10">
        <v>0.27</v>
      </c>
      <c r="E52" s="4">
        <v>10.18</v>
      </c>
      <c r="F52" s="5">
        <v>17287</v>
      </c>
      <c r="G52" s="6" t="s">
        <v>107</v>
      </c>
    </row>
    <row r="53" spans="1:7" x14ac:dyDescent="0.4">
      <c r="A53" s="1">
        <v>52</v>
      </c>
      <c r="B53" t="s">
        <v>51</v>
      </c>
      <c r="C53" s="10">
        <v>2.61</v>
      </c>
      <c r="D53" s="10">
        <v>0.24</v>
      </c>
      <c r="E53" s="4">
        <v>10.130000000000001</v>
      </c>
      <c r="F53" s="5">
        <v>839482</v>
      </c>
      <c r="G53" s="6" t="s">
        <v>107</v>
      </c>
    </row>
    <row r="54" spans="1:7" x14ac:dyDescent="0.4">
      <c r="A54" s="1">
        <v>53</v>
      </c>
      <c r="B54" t="s">
        <v>52</v>
      </c>
      <c r="C54" s="10">
        <v>4.3499999999999996</v>
      </c>
      <c r="D54" s="10">
        <v>0.4</v>
      </c>
      <c r="E54" s="4">
        <v>10.130000000000001</v>
      </c>
      <c r="F54" s="5">
        <v>596428</v>
      </c>
      <c r="G54" s="6" t="s">
        <v>107</v>
      </c>
    </row>
    <row r="55" spans="1:7" x14ac:dyDescent="0.4">
      <c r="A55" s="1">
        <v>54</v>
      </c>
      <c r="B55" t="s">
        <v>53</v>
      </c>
      <c r="C55" s="10">
        <v>28.75</v>
      </c>
      <c r="D55" s="10">
        <v>2.63</v>
      </c>
      <c r="E55" s="4">
        <v>10.07</v>
      </c>
      <c r="F55" s="5">
        <v>19433739</v>
      </c>
      <c r="G55" s="6" t="s">
        <v>107</v>
      </c>
    </row>
    <row r="56" spans="1:7" x14ac:dyDescent="0.4">
      <c r="A56" s="1">
        <v>55</v>
      </c>
      <c r="B56" t="s">
        <v>54</v>
      </c>
      <c r="C56" s="10">
        <v>7.7</v>
      </c>
      <c r="D56" s="10">
        <v>0.7</v>
      </c>
      <c r="E56" s="4">
        <v>10</v>
      </c>
      <c r="F56" s="5">
        <v>1266948</v>
      </c>
      <c r="G56" s="6" t="s">
        <v>107</v>
      </c>
    </row>
    <row r="57" spans="1:7" x14ac:dyDescent="0.4">
      <c r="A57" s="1">
        <v>56</v>
      </c>
      <c r="B57" t="s">
        <v>55</v>
      </c>
      <c r="C57" s="10">
        <v>4.2</v>
      </c>
      <c r="D57" s="10">
        <v>0.37</v>
      </c>
      <c r="E57" s="4">
        <v>9.66</v>
      </c>
      <c r="F57" s="5">
        <v>361069</v>
      </c>
      <c r="G57" s="6" t="s">
        <v>107</v>
      </c>
    </row>
    <row r="58" spans="1:7" x14ac:dyDescent="0.4">
      <c r="A58" s="1">
        <v>57</v>
      </c>
      <c r="B58" t="s">
        <v>56</v>
      </c>
      <c r="C58" s="10">
        <v>20.45</v>
      </c>
      <c r="D58" s="10">
        <v>1.8</v>
      </c>
      <c r="E58" s="4">
        <v>9.65</v>
      </c>
      <c r="F58" s="5">
        <v>236494</v>
      </c>
      <c r="G58" s="6" t="s">
        <v>107</v>
      </c>
    </row>
    <row r="59" spans="1:7" x14ac:dyDescent="0.4">
      <c r="A59" s="1">
        <v>58</v>
      </c>
      <c r="B59" t="s">
        <v>57</v>
      </c>
      <c r="C59" s="10">
        <v>33.24</v>
      </c>
      <c r="D59" s="10">
        <v>2.9</v>
      </c>
      <c r="E59" s="4">
        <v>9.56</v>
      </c>
      <c r="F59" s="5">
        <v>1254218</v>
      </c>
      <c r="G59" s="6" t="s">
        <v>107</v>
      </c>
    </row>
    <row r="60" spans="1:7" x14ac:dyDescent="0.4">
      <c r="A60" s="1">
        <v>59</v>
      </c>
      <c r="B60" t="s">
        <v>58</v>
      </c>
      <c r="C60" s="10">
        <v>7.49</v>
      </c>
      <c r="D60" s="10">
        <v>0.65</v>
      </c>
      <c r="E60" s="4">
        <v>9.5</v>
      </c>
      <c r="F60" s="5">
        <v>78369</v>
      </c>
      <c r="G60" s="6" t="s">
        <v>107</v>
      </c>
    </row>
    <row r="61" spans="1:7" x14ac:dyDescent="0.4">
      <c r="A61" s="1">
        <v>60</v>
      </c>
      <c r="B61" t="s">
        <v>59</v>
      </c>
      <c r="C61" s="10">
        <v>2.9</v>
      </c>
      <c r="D61" s="10">
        <v>0.25</v>
      </c>
      <c r="E61" s="4">
        <v>9.43</v>
      </c>
      <c r="F61" s="5">
        <v>123465</v>
      </c>
      <c r="G61" s="6" t="s">
        <v>107</v>
      </c>
    </row>
    <row r="62" spans="1:7" x14ac:dyDescent="0.4">
      <c r="A62" s="1">
        <v>61</v>
      </c>
      <c r="B62" t="s">
        <v>60</v>
      </c>
      <c r="C62" s="10">
        <v>49.4</v>
      </c>
      <c r="D62" s="10">
        <v>4.25</v>
      </c>
      <c r="E62" s="4">
        <v>9.41</v>
      </c>
      <c r="F62" s="5">
        <v>20692</v>
      </c>
      <c r="G62" s="6" t="s">
        <v>107</v>
      </c>
    </row>
    <row r="63" spans="1:7" x14ac:dyDescent="0.4">
      <c r="A63" s="1">
        <v>62</v>
      </c>
      <c r="B63" t="s">
        <v>61</v>
      </c>
      <c r="C63" s="10">
        <v>66.400000000000006</v>
      </c>
      <c r="D63" s="10">
        <v>5.68</v>
      </c>
      <c r="E63" s="4">
        <v>9.35</v>
      </c>
      <c r="F63" s="5">
        <v>993736</v>
      </c>
      <c r="G63" s="6" t="s">
        <v>107</v>
      </c>
    </row>
    <row r="64" spans="1:7" x14ac:dyDescent="0.4">
      <c r="A64" s="1">
        <v>63</v>
      </c>
      <c r="B64" t="s">
        <v>62</v>
      </c>
      <c r="C64" s="10">
        <v>6.83</v>
      </c>
      <c r="D64" s="10">
        <v>0.57999999999999996</v>
      </c>
      <c r="E64" s="4">
        <v>9.2799999999999994</v>
      </c>
      <c r="F64" s="5">
        <v>3239214</v>
      </c>
      <c r="G64" s="6" t="s">
        <v>107</v>
      </c>
    </row>
    <row r="65" spans="1:7" x14ac:dyDescent="0.4">
      <c r="A65" s="1">
        <v>64</v>
      </c>
      <c r="B65" t="s">
        <v>63</v>
      </c>
      <c r="C65" s="10">
        <v>3.8</v>
      </c>
      <c r="D65" s="10">
        <v>0.32</v>
      </c>
      <c r="E65" s="4">
        <v>9.1999999999999993</v>
      </c>
      <c r="F65" s="5">
        <v>78463</v>
      </c>
      <c r="G65" s="6" t="s">
        <v>107</v>
      </c>
    </row>
    <row r="66" spans="1:7" x14ac:dyDescent="0.4">
      <c r="A66" s="1">
        <v>65</v>
      </c>
      <c r="B66" t="s">
        <v>64</v>
      </c>
      <c r="C66" s="10">
        <v>4.04</v>
      </c>
      <c r="D66" s="10">
        <v>0.34</v>
      </c>
      <c r="E66" s="4">
        <v>9.19</v>
      </c>
      <c r="F66" s="5">
        <v>702191</v>
      </c>
      <c r="G66" s="6" t="s">
        <v>107</v>
      </c>
    </row>
    <row r="67" spans="1:7" x14ac:dyDescent="0.4">
      <c r="A67" s="1">
        <v>66</v>
      </c>
      <c r="B67" t="s">
        <v>65</v>
      </c>
      <c r="C67" s="10">
        <v>3</v>
      </c>
      <c r="D67" s="10">
        <v>0.25</v>
      </c>
      <c r="E67" s="4">
        <v>9.09</v>
      </c>
      <c r="F67" s="5">
        <v>82055</v>
      </c>
      <c r="G67" s="6" t="s">
        <v>107</v>
      </c>
    </row>
    <row r="68" spans="1:7" x14ac:dyDescent="0.4">
      <c r="A68" s="1">
        <v>67</v>
      </c>
      <c r="B68" t="s">
        <v>66</v>
      </c>
      <c r="C68" s="10">
        <v>96.5</v>
      </c>
      <c r="D68" s="10">
        <v>8</v>
      </c>
      <c r="E68" s="4">
        <v>9.0399999999999991</v>
      </c>
      <c r="F68" s="5">
        <v>2647</v>
      </c>
      <c r="G68" s="6" t="s">
        <v>107</v>
      </c>
    </row>
    <row r="69" spans="1:7" x14ac:dyDescent="0.4">
      <c r="A69" s="1">
        <v>68</v>
      </c>
      <c r="B69" t="s">
        <v>67</v>
      </c>
      <c r="C69" s="10">
        <v>14.4</v>
      </c>
      <c r="D69" s="10">
        <v>1.19</v>
      </c>
      <c r="E69" s="4">
        <v>9.01</v>
      </c>
      <c r="F69" s="5">
        <v>821038</v>
      </c>
      <c r="G69" s="6" t="s">
        <v>107</v>
      </c>
    </row>
    <row r="70" spans="1:7" x14ac:dyDescent="0.4">
      <c r="A70" s="1">
        <v>69</v>
      </c>
      <c r="B70" t="s">
        <v>68</v>
      </c>
      <c r="C70" s="10">
        <v>49.02</v>
      </c>
      <c r="D70" s="10">
        <v>4.05</v>
      </c>
      <c r="E70" s="4">
        <v>9.01</v>
      </c>
      <c r="F70" s="5">
        <v>9339837</v>
      </c>
      <c r="G70" s="6" t="s">
        <v>107</v>
      </c>
    </row>
    <row r="71" spans="1:7" x14ac:dyDescent="0.4">
      <c r="A71" s="1">
        <v>70</v>
      </c>
      <c r="B71" t="s">
        <v>69</v>
      </c>
      <c r="C71" s="10">
        <v>35.47</v>
      </c>
      <c r="D71" s="10">
        <v>2.93</v>
      </c>
      <c r="E71" s="4">
        <v>9</v>
      </c>
      <c r="F71" s="5">
        <v>102875</v>
      </c>
      <c r="G71" s="6" t="s">
        <v>107</v>
      </c>
    </row>
    <row r="72" spans="1:7" x14ac:dyDescent="0.4">
      <c r="A72" s="1">
        <v>71</v>
      </c>
      <c r="B72" t="s">
        <v>70</v>
      </c>
      <c r="C72" s="10">
        <v>137.66999999999999</v>
      </c>
      <c r="D72" s="10">
        <v>11.35</v>
      </c>
      <c r="E72" s="4">
        <v>8.99</v>
      </c>
      <c r="F72" s="5">
        <v>672023</v>
      </c>
      <c r="G72" s="6" t="s">
        <v>107</v>
      </c>
    </row>
    <row r="73" spans="1:7" x14ac:dyDescent="0.4">
      <c r="A73" s="1">
        <v>72</v>
      </c>
      <c r="B73" t="s">
        <v>71</v>
      </c>
      <c r="C73" s="10">
        <v>2.5499999999999998</v>
      </c>
      <c r="D73" s="10">
        <v>0.21</v>
      </c>
      <c r="E73" s="4">
        <v>8.9700000000000006</v>
      </c>
      <c r="F73" s="5">
        <v>193662</v>
      </c>
      <c r="G73" s="6" t="s">
        <v>107</v>
      </c>
    </row>
    <row r="74" spans="1:7" x14ac:dyDescent="0.4">
      <c r="A74" s="1">
        <v>73</v>
      </c>
      <c r="B74" t="s">
        <v>72</v>
      </c>
      <c r="C74" s="10">
        <v>35.799999999999997</v>
      </c>
      <c r="D74" s="10">
        <v>2.92</v>
      </c>
      <c r="E74" s="4">
        <v>8.9</v>
      </c>
      <c r="F74" s="5">
        <v>732141</v>
      </c>
      <c r="G74" s="6" t="s">
        <v>107</v>
      </c>
    </row>
    <row r="75" spans="1:7" x14ac:dyDescent="0.4">
      <c r="A75" s="1">
        <v>74</v>
      </c>
      <c r="B75" t="s">
        <v>73</v>
      </c>
      <c r="C75" s="10">
        <v>4.92</v>
      </c>
      <c r="D75" s="10">
        <v>0.4</v>
      </c>
      <c r="E75" s="4">
        <v>8.85</v>
      </c>
      <c r="F75" s="5">
        <v>47998</v>
      </c>
      <c r="G75" s="6" t="s">
        <v>107</v>
      </c>
    </row>
    <row r="76" spans="1:7" x14ac:dyDescent="0.4">
      <c r="A76" s="1">
        <v>75</v>
      </c>
      <c r="B76" t="s">
        <v>74</v>
      </c>
      <c r="C76" s="10">
        <v>13.05</v>
      </c>
      <c r="D76" s="10">
        <v>1.05</v>
      </c>
      <c r="E76" s="4">
        <v>8.75</v>
      </c>
      <c r="F76" s="5">
        <v>2761746</v>
      </c>
      <c r="G76" s="6" t="s">
        <v>107</v>
      </c>
    </row>
    <row r="77" spans="1:7" x14ac:dyDescent="0.4">
      <c r="A77" s="1">
        <v>76</v>
      </c>
      <c r="B77" t="s">
        <v>75</v>
      </c>
      <c r="C77" s="10">
        <v>33.950000000000003</v>
      </c>
      <c r="D77" s="10">
        <v>2.72</v>
      </c>
      <c r="E77" s="4">
        <v>8.7100000000000009</v>
      </c>
      <c r="F77" s="5">
        <v>439120</v>
      </c>
      <c r="G77" s="6" t="s">
        <v>107</v>
      </c>
    </row>
    <row r="78" spans="1:7" x14ac:dyDescent="0.4">
      <c r="A78" s="1">
        <v>77</v>
      </c>
      <c r="B78" t="s">
        <v>76</v>
      </c>
      <c r="C78" s="10">
        <v>38.700000000000003</v>
      </c>
      <c r="D78" s="10">
        <v>3.1</v>
      </c>
      <c r="E78" s="4">
        <v>8.7100000000000009</v>
      </c>
      <c r="F78" s="5">
        <v>1220416</v>
      </c>
      <c r="G78" s="6" t="s">
        <v>107</v>
      </c>
    </row>
    <row r="79" spans="1:7" x14ac:dyDescent="0.4">
      <c r="A79" s="1">
        <v>78</v>
      </c>
      <c r="B79" t="s">
        <v>77</v>
      </c>
      <c r="C79" s="10">
        <v>20.239999999999998</v>
      </c>
      <c r="D79" s="10">
        <v>1.61</v>
      </c>
      <c r="E79" s="4">
        <v>8.64</v>
      </c>
      <c r="F79" s="5">
        <v>9140</v>
      </c>
      <c r="G79" s="6" t="s">
        <v>107</v>
      </c>
    </row>
    <row r="80" spans="1:7" x14ac:dyDescent="0.4">
      <c r="A80" s="1">
        <v>79</v>
      </c>
      <c r="B80" t="s">
        <v>78</v>
      </c>
      <c r="C80" s="10">
        <v>2.52</v>
      </c>
      <c r="D80" s="10">
        <v>0.2</v>
      </c>
      <c r="E80" s="4">
        <v>8.6199999999999992</v>
      </c>
      <c r="F80" s="5">
        <v>218893</v>
      </c>
      <c r="G80" s="6" t="s">
        <v>107</v>
      </c>
    </row>
    <row r="81" spans="1:7" x14ac:dyDescent="0.4">
      <c r="A81" s="1">
        <v>80</v>
      </c>
      <c r="B81" t="s">
        <v>79</v>
      </c>
      <c r="C81" s="10">
        <v>21.45</v>
      </c>
      <c r="D81" s="10">
        <v>1.7</v>
      </c>
      <c r="E81" s="4">
        <v>8.61</v>
      </c>
      <c r="F81" s="5">
        <v>2012494</v>
      </c>
      <c r="G81" s="6" t="s">
        <v>107</v>
      </c>
    </row>
    <row r="82" spans="1:7" x14ac:dyDescent="0.4">
      <c r="A82" s="1">
        <v>81</v>
      </c>
      <c r="B82" t="s">
        <v>80</v>
      </c>
      <c r="C82" s="10">
        <v>118.79</v>
      </c>
      <c r="D82" s="10">
        <v>9.32</v>
      </c>
      <c r="E82" s="4">
        <v>8.51</v>
      </c>
      <c r="F82" s="5">
        <v>683621</v>
      </c>
      <c r="G82" s="6" t="s">
        <v>107</v>
      </c>
    </row>
    <row r="83" spans="1:7" x14ac:dyDescent="0.4">
      <c r="A83" s="1">
        <v>82</v>
      </c>
      <c r="B83" t="s">
        <v>81</v>
      </c>
      <c r="C83" s="10">
        <v>2.4300000000000002</v>
      </c>
      <c r="D83" s="10">
        <v>0.19</v>
      </c>
      <c r="E83" s="4">
        <v>8.48</v>
      </c>
      <c r="F83" s="5">
        <v>7692</v>
      </c>
      <c r="G83" s="6" t="s">
        <v>107</v>
      </c>
    </row>
    <row r="84" spans="1:7" x14ac:dyDescent="0.4">
      <c r="A84" s="1">
        <v>83</v>
      </c>
      <c r="B84" t="s">
        <v>82</v>
      </c>
      <c r="C84" s="10">
        <v>92.29</v>
      </c>
      <c r="D84" s="10">
        <v>7.17</v>
      </c>
      <c r="E84" s="4">
        <v>8.42</v>
      </c>
      <c r="F84" s="5">
        <v>1432477</v>
      </c>
      <c r="G84" s="6" t="s">
        <v>107</v>
      </c>
    </row>
    <row r="85" spans="1:7" x14ac:dyDescent="0.4">
      <c r="A85" s="1">
        <v>84</v>
      </c>
      <c r="B85" t="s">
        <v>83</v>
      </c>
      <c r="C85" s="10">
        <v>13.02</v>
      </c>
      <c r="D85" s="10">
        <v>1.01</v>
      </c>
      <c r="E85" s="4">
        <v>8.41</v>
      </c>
      <c r="F85" s="5">
        <v>1805398</v>
      </c>
      <c r="G85" s="6" t="s">
        <v>107</v>
      </c>
    </row>
    <row r="86" spans="1:7" x14ac:dyDescent="0.4">
      <c r="A86" s="1">
        <v>85</v>
      </c>
      <c r="B86" t="s">
        <v>84</v>
      </c>
      <c r="C86" s="10">
        <v>3.27</v>
      </c>
      <c r="D86" s="10">
        <v>0.25</v>
      </c>
      <c r="E86" s="4">
        <v>8.2799999999999994</v>
      </c>
      <c r="F86" s="5">
        <v>790396</v>
      </c>
      <c r="G86" s="6" t="s">
        <v>107</v>
      </c>
    </row>
    <row r="87" spans="1:7" x14ac:dyDescent="0.4">
      <c r="A87" s="1">
        <v>86</v>
      </c>
      <c r="B87" t="s">
        <v>85</v>
      </c>
      <c r="C87" s="10">
        <v>5.25</v>
      </c>
      <c r="D87" s="10">
        <v>0.4</v>
      </c>
      <c r="E87" s="4">
        <v>8.25</v>
      </c>
      <c r="F87" s="5">
        <v>133920</v>
      </c>
      <c r="G87" s="6" t="s">
        <v>107</v>
      </c>
    </row>
    <row r="88" spans="1:7" x14ac:dyDescent="0.4">
      <c r="A88" s="1">
        <v>87</v>
      </c>
      <c r="B88" t="s">
        <v>86</v>
      </c>
      <c r="C88" s="10">
        <v>3.83</v>
      </c>
      <c r="D88" s="10">
        <v>0.28999999999999998</v>
      </c>
      <c r="E88" s="4">
        <v>8.19</v>
      </c>
      <c r="F88" s="5">
        <v>179059</v>
      </c>
      <c r="G88" s="6" t="s">
        <v>107</v>
      </c>
    </row>
    <row r="89" spans="1:7" x14ac:dyDescent="0.4">
      <c r="A89" s="1">
        <v>88</v>
      </c>
      <c r="B89" t="s">
        <v>87</v>
      </c>
      <c r="C89" s="10">
        <v>179.96</v>
      </c>
      <c r="D89" s="10">
        <v>13.6</v>
      </c>
      <c r="E89" s="4">
        <v>8.18</v>
      </c>
      <c r="F89" s="5">
        <v>5526778</v>
      </c>
      <c r="G89" s="6" t="s">
        <v>107</v>
      </c>
    </row>
    <row r="90" spans="1:7" x14ac:dyDescent="0.4">
      <c r="A90" s="1">
        <v>89</v>
      </c>
      <c r="B90" t="s">
        <v>88</v>
      </c>
      <c r="C90" s="10">
        <v>4.78</v>
      </c>
      <c r="D90" s="10">
        <v>0.36</v>
      </c>
      <c r="E90" s="4">
        <v>8.14</v>
      </c>
      <c r="F90" s="5">
        <v>1440743</v>
      </c>
      <c r="G90" s="6" t="s">
        <v>107</v>
      </c>
    </row>
    <row r="91" spans="1:7" x14ac:dyDescent="0.4">
      <c r="A91" s="1">
        <v>90</v>
      </c>
      <c r="B91" t="s">
        <v>89</v>
      </c>
      <c r="C91" s="10">
        <v>52.3</v>
      </c>
      <c r="D91" s="10">
        <v>3.92</v>
      </c>
      <c r="E91" s="4">
        <v>8.1</v>
      </c>
      <c r="F91" s="5">
        <v>399085</v>
      </c>
      <c r="G91" s="6" t="s">
        <v>107</v>
      </c>
    </row>
    <row r="92" spans="1:7" x14ac:dyDescent="0.4">
      <c r="A92" s="1">
        <v>91</v>
      </c>
      <c r="B92" t="s">
        <v>90</v>
      </c>
      <c r="C92" s="10">
        <v>26.55</v>
      </c>
      <c r="D92" s="10">
        <v>1.98</v>
      </c>
      <c r="E92" s="4">
        <v>8.06</v>
      </c>
      <c r="F92" s="5">
        <v>7036067</v>
      </c>
      <c r="G92" s="6" t="s">
        <v>107</v>
      </c>
    </row>
    <row r="93" spans="1:7" x14ac:dyDescent="0.4">
      <c r="A93" s="1">
        <v>92</v>
      </c>
      <c r="B93" t="s">
        <v>91</v>
      </c>
      <c r="C93" s="10">
        <v>8.75</v>
      </c>
      <c r="D93" s="10">
        <v>0.65</v>
      </c>
      <c r="E93" s="4">
        <v>8.02</v>
      </c>
      <c r="F93" s="5">
        <v>108014</v>
      </c>
      <c r="G93" s="6" t="s">
        <v>107</v>
      </c>
    </row>
    <row r="94" spans="1:7" x14ac:dyDescent="0.4">
      <c r="A94" s="1">
        <v>93</v>
      </c>
      <c r="B94" t="s">
        <v>92</v>
      </c>
      <c r="C94" s="10">
        <v>125.96</v>
      </c>
      <c r="D94" s="10">
        <v>9.33</v>
      </c>
      <c r="E94" s="4">
        <v>8</v>
      </c>
      <c r="F94" s="5">
        <v>46483</v>
      </c>
      <c r="G94" s="6" t="s">
        <v>107</v>
      </c>
    </row>
    <row r="95" spans="1:7" x14ac:dyDescent="0.4">
      <c r="A95" s="1">
        <v>94</v>
      </c>
      <c r="B95" t="s">
        <v>93</v>
      </c>
      <c r="C95" s="10">
        <v>10.29</v>
      </c>
      <c r="D95" s="10">
        <v>0.76</v>
      </c>
      <c r="E95" s="4">
        <v>7.97</v>
      </c>
      <c r="F95" s="5">
        <v>4026480</v>
      </c>
      <c r="G95" s="6" t="s">
        <v>107</v>
      </c>
    </row>
    <row r="96" spans="1:7" x14ac:dyDescent="0.4">
      <c r="A96" s="1">
        <v>95</v>
      </c>
      <c r="B96" t="s">
        <v>94</v>
      </c>
      <c r="C96" s="10">
        <v>22.9</v>
      </c>
      <c r="D96" s="10">
        <v>1.68</v>
      </c>
      <c r="E96" s="4">
        <v>7.92</v>
      </c>
      <c r="F96" s="5">
        <v>544125</v>
      </c>
      <c r="G96" s="6" t="s">
        <v>107</v>
      </c>
    </row>
    <row r="97" spans="1:7" x14ac:dyDescent="0.4">
      <c r="A97" s="1">
        <v>96</v>
      </c>
      <c r="B97" t="s">
        <v>95</v>
      </c>
      <c r="C97" s="10">
        <v>18.03</v>
      </c>
      <c r="D97" s="10">
        <v>1.32</v>
      </c>
      <c r="E97" s="4">
        <v>7.9</v>
      </c>
      <c r="F97" s="5">
        <v>5918137</v>
      </c>
      <c r="G97" s="6" t="s">
        <v>107</v>
      </c>
    </row>
    <row r="98" spans="1:7" x14ac:dyDescent="0.4">
      <c r="A98" s="1">
        <v>97</v>
      </c>
      <c r="B98" t="s">
        <v>96</v>
      </c>
      <c r="C98" s="10">
        <v>22.7</v>
      </c>
      <c r="D98" s="10">
        <v>1.66</v>
      </c>
      <c r="E98" s="4">
        <v>7.89</v>
      </c>
      <c r="F98" s="5">
        <v>6412297</v>
      </c>
      <c r="G98" s="6" t="s">
        <v>107</v>
      </c>
    </row>
    <row r="99" spans="1:7" x14ac:dyDescent="0.4">
      <c r="A99" s="1">
        <v>98</v>
      </c>
      <c r="B99" t="s">
        <v>97</v>
      </c>
      <c r="C99" s="10">
        <v>2.63</v>
      </c>
      <c r="D99" s="10">
        <v>0.19</v>
      </c>
      <c r="E99" s="4">
        <v>7.79</v>
      </c>
      <c r="F99" s="5">
        <v>26202</v>
      </c>
      <c r="G99" s="6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dailyMovers_Data</vt:lpstr>
      <vt:lpstr>Pivot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2018-02-13T04:02:09Z</dcterms:modified>
</cp:coreProperties>
</file>